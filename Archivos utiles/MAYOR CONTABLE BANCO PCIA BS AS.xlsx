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mas\Downloads\sma2025infoparaconciliacionbancopciabsas\"/>
    </mc:Choice>
  </mc:AlternateContent>
  <xr:revisionPtr revIDLastSave="0" documentId="13_ncr:1_{E3799163-2FC5-4BD4-99C4-A2975D29E3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yor banco Pcia Bs 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<sst xmlns="http://schemas.openxmlformats.org/spreadsheetml/2006/main" count="121" uniqueCount="66">
  <si>
    <t>FECHA ATO</t>
  </si>
  <si>
    <t>FECHA COMP</t>
  </si>
  <si>
    <t>DETALLE</t>
  </si>
  <si>
    <t>NOMBRE_CUENTA</t>
  </si>
  <si>
    <t>IMPORTE_DEBE</t>
  </si>
  <si>
    <t>IMPORTE_HABER</t>
  </si>
  <si>
    <t>NETO</t>
  </si>
  <si>
    <t>ACUM</t>
  </si>
  <si>
    <t>RC Nº: A000100001719    00180 - GRUPO MP SALUD E0089F0</t>
  </si>
  <si>
    <t>BANCO PROVINCIA C-C.</t>
  </si>
  <si>
    <t>RC Nº: B000100001115    01030 - CONEXION SALUD E0068F0</t>
  </si>
  <si>
    <t>RC Nº: B000100001148    00022 - IOMA           -CATEGORIA II</t>
  </si>
  <si>
    <t>RC Nº: B000100001149    00022 - IOMA           -CATEGORIA II</t>
  </si>
  <si>
    <t>OP Nº: 09236621   GASTO: GTOS BANCARIOS</t>
  </si>
  <si>
    <t>RC Nº: B000100001179    00022 - IOMA           -CATEGORIA II</t>
  </si>
  <si>
    <t>RC Nº: A000100001726    00180 - GRUPO MP SALUD E0089F0</t>
  </si>
  <si>
    <t>RC Nº: A000100001727    00194 - SALUD INTEGRAL MEPLIFE SRL E</t>
  </si>
  <si>
    <t>RC Nº: A000100001728    00194 - SALUD INTEGRAL MEPLIFE SRL E</t>
  </si>
  <si>
    <t>RC Nº: A000100001729    01030 - CONEXION SALUD E0068F0</t>
  </si>
  <si>
    <t>OP Nº: 09236834   GASTO: GTOS BANCARIOS</t>
  </si>
  <si>
    <t>RC Nº: B000100001182    00022 - IOMA           -CATEGORIA II</t>
  </si>
  <si>
    <t>RC Nº: B000100001183    00022 - IOMA           -CATEGORIA II</t>
  </si>
  <si>
    <t>RC Nº: B000100001184    00022 - IOMA           -CATEGORIA II</t>
  </si>
  <si>
    <t>RC Nº: B000100001202    00180 - GRUPO MP SALUD E0089F0</t>
  </si>
  <si>
    <t>RC Nº: B000100001201    01030 - CONEXION SALUD E0068F0</t>
  </si>
  <si>
    <t>RC Nº: B000100001125    00194 - SALUD INTEGRAL MEPLIFE SRL E</t>
  </si>
  <si>
    <t>RC Nº: B000100001189    00022 - IOMA           -CATEGORIA II</t>
  </si>
  <si>
    <t>RC Nº: B000100001190    00022 - IOMA           -CATEGORIA II</t>
  </si>
  <si>
    <t>RC Nº: B000100001191    00022 - IOMA           -CATEGORIA II</t>
  </si>
  <si>
    <t>RC Nº: A000100001775    00155 - GRUPO ROI SA- PLAN DOCTORED</t>
  </si>
  <si>
    <t>RC Nº: A000100001776    00180 - GRUPO MP SALUD E0089F0</t>
  </si>
  <si>
    <t>RC Nº: A000100001777    00180 - GRUPO MP SALUD E0089F0</t>
  </si>
  <si>
    <t>RC Nº: A000100001778    00194 - SALUD INTEGRAL MEPLIFE SRL E</t>
  </si>
  <si>
    <t>RC Nº: B000100001198    00022 - IOMA           -CATEGORIA II</t>
  </si>
  <si>
    <t>RC Nº: B000100001199    00022 - IOMA           -CATEGORIA II</t>
  </si>
  <si>
    <t>RC Nº: B000100001227    00022 - IOMA           -CATEGORIA II</t>
  </si>
  <si>
    <t>RC Nº: B000100001230    00022 - IOMA           -CATEGORIA II</t>
  </si>
  <si>
    <t>RC Nº: B000100001232    00022 - IOMA           -CATEGORIA II</t>
  </si>
  <si>
    <t>RC Nº: B000100001233    00022 - IOMA           -CATEGORIA II</t>
  </si>
  <si>
    <t>OP Nº: 09237522   GASTO: DIRECTORES</t>
  </si>
  <si>
    <t>RC Nº: B000100001207    00180 - GRUPO MP SALUD E0089F0</t>
  </si>
  <si>
    <t>RC Nº: B000100001241    00022 - IOMA           -CATEGORIA II</t>
  </si>
  <si>
    <t>RC Nº: B000100001242    00022 - IOMA           -CATEGORIA II</t>
  </si>
  <si>
    <t>RC Nº: B000100001243    00022 - IOMA           -CATEGORIA II</t>
  </si>
  <si>
    <t>RC Nº: B000100001208    00180 - GRUPO MP SALUD E0089F0</t>
  </si>
  <si>
    <t>RC Nº: B000100001244    00022 - IOMA           -CATEGORIA II</t>
  </si>
  <si>
    <t>RC Nº: B000100001245    00022 - IOMA           -CATEGORIA II</t>
  </si>
  <si>
    <t>RC Nº: B000100001209    00180 - GRUPO MP SALUD E0089F0</t>
  </si>
  <si>
    <t>RC Nº: B000100001210    00155 - GRUPO ROI SA- PLAN DOCTORED</t>
  </si>
  <si>
    <t>RC Nº: B000100001252    00022 - IOMA           -CATEGORIA II</t>
  </si>
  <si>
    <t>RC Nº: B000100001253    00022 - IOMA           -CATEGORIA II</t>
  </si>
  <si>
    <t>RC Nº: B000100001263    00022 - IOMA           -CATEGORIA II</t>
  </si>
  <si>
    <t>RC Nº: B000100001268    00022 - IOMA           -CATEGORIA II</t>
  </si>
  <si>
    <t>RC Nº: B000100001214    00155 - GRUPO ROI SA- PLAN DOCTORED</t>
  </si>
  <si>
    <t>RC Nº: B000100001271    00022 - IOMA           -CATEGORIA II</t>
  </si>
  <si>
    <t>RC Nº: B000100001213    00194 - SALUD INTEGRAL MEPLIFE SRL E</t>
  </si>
  <si>
    <t>RC Nº: B000100001272    00022 - IOMA           -CATEGORIA II</t>
  </si>
  <si>
    <t>RC Nº: B000100001273    00022 - IOMA           -CATEGORIA II</t>
  </si>
  <si>
    <t>RC Nº: B000100001277    00022 - IOMA           -CATEGORIA II</t>
  </si>
  <si>
    <t>RC Nº: B000100001278    00022 - IOMA           -CATEGORIA II</t>
  </si>
  <si>
    <t>RC Nº: B000100001279    00022 - IOMA           -CATEGORIA II</t>
  </si>
  <si>
    <t>RC Nº: B000100001289    00022 - IOMA           -CATEGORIA II</t>
  </si>
  <si>
    <t>RC Nº: B000100001290    00022 - IOMA           -CATEGORIA II</t>
  </si>
  <si>
    <t>RC Nº: B000100001291    00022 - IOMA           -CATEGORIA II</t>
  </si>
  <si>
    <t>RC Nº: B000100001292    00022 - IOMA           -CATEGORIA II</t>
  </si>
  <si>
    <t>SALDO DE APERTURA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</si>
</sst>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2" fontId="3" fillId="0" borderId="0" xfId="1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zoomScale="90" zoomScaleNormal="78" workbookViewId="0">
      <selection activeCell="J41" sqref="J41"/>
    </sheetView>
  </sheetViews>
  <sheetFormatPr baseColWidth="10" defaultColWidth="12.6640625" defaultRowHeight="15.6" x14ac:dyDescent="0.3"/>
  <cols>
    <col min="1" max="1" width="11.6640625" style="5" bestFit="1" customWidth="1"/>
    <col min="2" max="2" width="13.5546875" style="5" bestFit="1" customWidth="1"/>
    <col min="3" max="3" width="62.88671875" style="5" bestFit="1" customWidth="1"/>
    <col min="4" max="4" width="23" style="5" bestFit="1" customWidth="1"/>
    <col min="5" max="5" width="15.77734375" style="6" bestFit="1" customWidth="1"/>
    <col min="6" max="6" width="17.21875" style="6" bestFit="1" customWidth="1"/>
    <col min="7" max="7" width="12.33203125" style="6" bestFit="1" customWidth="1"/>
    <col min="8" max="8" width="12.6640625" style="6" bestFit="1" customWidth="1"/>
  </cols>
  <sheetData>
    <row r="1" spans="1:11" x14ac:dyDescent="0.3">
      <c r="A1" s="7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11" x14ac:dyDescent="0.3">
      <c r="A2" s="10" t="s">
        <v>65</v>
      </c>
      <c r="B2" s="10"/>
      <c r="C2" s="10"/>
      <c r="D2" s="10"/>
      <c r="E2" s="10"/>
      <c r="F2" s="10"/>
      <c r="G2" s="10"/>
      <c r="H2" s="2">
        <v>7601250</v>
      </c>
    </row>
    <row r="3" spans="1:11" x14ac:dyDescent="0.3">
      <c r="A3" s="3">
        <v>45560</v>
      </c>
      <c r="B3" s="3">
        <v>45560</v>
      </c>
      <c r="C3" s="4" t="s">
        <v>8</v>
      </c>
      <c r="D3" s="4" t="s">
        <v>9</v>
      </c>
      <c r="E3" s="2">
        <v>5315.32</v>
      </c>
      <c r="F3" s="2">
        <v>0</v>
      </c>
      <c r="G3" s="2">
        <f t="shared" ref="G3:H58" si="0">+E3-F3</f>
        <v>5315.32</v>
      </c>
      <c r="H3" s="2">
        <f>+E3-F3+H2</f>
        <v>7606565.3200000003</v>
      </c>
      <c r="J3" s="1"/>
      <c r="K3" s="1"/>
    </row>
    <row r="4" spans="1:11" x14ac:dyDescent="0.3">
      <c r="A4" s="3">
        <v>45560</v>
      </c>
      <c r="B4" s="3">
        <v>45560</v>
      </c>
      <c r="C4" s="4" t="s">
        <v>10</v>
      </c>
      <c r="D4" s="4" t="s">
        <v>9</v>
      </c>
      <c r="E4" s="2">
        <v>25040.14</v>
      </c>
      <c r="F4" s="2">
        <v>0</v>
      </c>
      <c r="G4" s="2">
        <f t="shared" si="0"/>
        <v>25040.14</v>
      </c>
      <c r="H4" s="2">
        <f>+E4-F4+H3</f>
        <v>7631605.46</v>
      </c>
      <c r="J4" s="1"/>
      <c r="K4" s="1"/>
    </row>
    <row r="5" spans="1:11" x14ac:dyDescent="0.3">
      <c r="A5" s="3">
        <v>45562</v>
      </c>
      <c r="B5" s="3">
        <v>45562</v>
      </c>
      <c r="C5" s="4" t="s">
        <v>11</v>
      </c>
      <c r="D5" s="4" t="s">
        <v>9</v>
      </c>
      <c r="E5" s="2">
        <v>197572.97</v>
      </c>
      <c r="F5" s="2">
        <v>0</v>
      </c>
      <c r="G5" s="2">
        <f t="shared" si="0"/>
        <v>197572.97</v>
      </c>
      <c r="H5" s="2">
        <f t="shared" ref="H5:H58" si="1">+E5-F5+H4</f>
        <v>7829178.4299999997</v>
      </c>
      <c r="J5" s="1"/>
      <c r="K5" s="1"/>
    </row>
    <row r="6" spans="1:11" x14ac:dyDescent="0.3">
      <c r="A6" s="3">
        <v>45562</v>
      </c>
      <c r="B6" s="3">
        <v>45562</v>
      </c>
      <c r="C6" s="4" t="s">
        <v>12</v>
      </c>
      <c r="D6" s="4" t="s">
        <v>9</v>
      </c>
      <c r="E6" s="2">
        <v>52519.8</v>
      </c>
      <c r="F6" s="2">
        <v>0</v>
      </c>
      <c r="G6" s="2">
        <f t="shared" si="0"/>
        <v>52519.8</v>
      </c>
      <c r="H6" s="2">
        <f t="shared" si="1"/>
        <v>7881698.2299999995</v>
      </c>
      <c r="J6" s="1"/>
      <c r="K6" s="1"/>
    </row>
    <row r="7" spans="1:11" x14ac:dyDescent="0.3">
      <c r="A7" s="3">
        <v>45562</v>
      </c>
      <c r="B7" s="3">
        <v>45562</v>
      </c>
      <c r="C7" s="4" t="s">
        <v>13</v>
      </c>
      <c r="D7" s="4" t="s">
        <v>9</v>
      </c>
      <c r="E7" s="2">
        <v>0</v>
      </c>
      <c r="F7" s="2">
        <v>23805.66</v>
      </c>
      <c r="G7" s="2">
        <f t="shared" si="0"/>
        <v>-23805.66</v>
      </c>
      <c r="H7" s="2">
        <f t="shared" si="1"/>
        <v>7857892.5699999994</v>
      </c>
      <c r="J7" s="1"/>
      <c r="K7" s="1"/>
    </row>
    <row r="8" spans="1:11" x14ac:dyDescent="0.3">
      <c r="A8" s="3">
        <v>45582</v>
      </c>
      <c r="B8" s="3">
        <v>45582</v>
      </c>
      <c r="C8" s="4" t="s">
        <v>14</v>
      </c>
      <c r="D8" s="4" t="s">
        <v>9</v>
      </c>
      <c r="E8" s="2">
        <v>5671.36</v>
      </c>
      <c r="F8" s="2">
        <v>0</v>
      </c>
      <c r="G8" s="2">
        <f t="shared" si="0"/>
        <v>5671.36</v>
      </c>
      <c r="H8" s="2">
        <f t="shared" si="1"/>
        <v>7863563.9299999997</v>
      </c>
      <c r="J8" s="1"/>
      <c r="K8" s="1"/>
    </row>
    <row r="9" spans="1:11" x14ac:dyDescent="0.3">
      <c r="A9" s="3">
        <v>45586</v>
      </c>
      <c r="B9" s="3">
        <v>45586</v>
      </c>
      <c r="C9" s="4" t="s">
        <v>15</v>
      </c>
      <c r="D9" s="4" t="s">
        <v>9</v>
      </c>
      <c r="E9" s="2">
        <v>78428.39</v>
      </c>
      <c r="F9" s="2">
        <v>0</v>
      </c>
      <c r="G9" s="2">
        <f t="shared" si="0"/>
        <v>78428.39</v>
      </c>
      <c r="H9" s="2">
        <f t="shared" si="1"/>
        <v>7941992.3199999994</v>
      </c>
      <c r="J9" s="1"/>
      <c r="K9" s="1"/>
    </row>
    <row r="10" spans="1:11" x14ac:dyDescent="0.3">
      <c r="A10" s="3">
        <v>45587</v>
      </c>
      <c r="B10" s="3">
        <v>45587</v>
      </c>
      <c r="C10" s="4" t="s">
        <v>16</v>
      </c>
      <c r="D10" s="4" t="s">
        <v>9</v>
      </c>
      <c r="E10" s="2">
        <v>43014</v>
      </c>
      <c r="F10" s="2">
        <v>0</v>
      </c>
      <c r="G10" s="2">
        <f t="shared" si="0"/>
        <v>43014</v>
      </c>
      <c r="H10" s="2">
        <f t="shared" si="1"/>
        <v>7985006.3199999994</v>
      </c>
      <c r="J10" s="1"/>
      <c r="K10" s="1"/>
    </row>
    <row r="11" spans="1:11" x14ac:dyDescent="0.3">
      <c r="A11" s="3">
        <v>45588</v>
      </c>
      <c r="B11" s="3">
        <v>45588</v>
      </c>
      <c r="C11" s="4" t="s">
        <v>17</v>
      </c>
      <c r="D11" s="4" t="s">
        <v>9</v>
      </c>
      <c r="E11" s="2">
        <v>38882.71</v>
      </c>
      <c r="F11" s="2">
        <v>0</v>
      </c>
      <c r="G11" s="2">
        <f t="shared" si="0"/>
        <v>38882.71</v>
      </c>
      <c r="H11" s="2">
        <f t="shared" si="1"/>
        <v>8023889.0299999993</v>
      </c>
      <c r="J11" s="1"/>
      <c r="K11" s="1"/>
    </row>
    <row r="12" spans="1:11" x14ac:dyDescent="0.3">
      <c r="A12" s="3">
        <v>45590</v>
      </c>
      <c r="B12" s="3">
        <v>45590</v>
      </c>
      <c r="C12" s="4" t="s">
        <v>18</v>
      </c>
      <c r="D12" s="4" t="s">
        <v>9</v>
      </c>
      <c r="E12" s="2">
        <v>14617.94</v>
      </c>
      <c r="F12" s="2">
        <v>0</v>
      </c>
      <c r="G12" s="2">
        <f t="shared" si="0"/>
        <v>14617.94</v>
      </c>
      <c r="H12" s="2">
        <f t="shared" si="1"/>
        <v>8038506.9699999997</v>
      </c>
      <c r="J12" s="1"/>
      <c r="K12" s="1"/>
    </row>
    <row r="13" spans="1:11" x14ac:dyDescent="0.3">
      <c r="A13" s="3">
        <v>45596</v>
      </c>
      <c r="B13" s="3">
        <v>45596</v>
      </c>
      <c r="C13" s="4" t="s">
        <v>19</v>
      </c>
      <c r="D13" s="4" t="s">
        <v>9</v>
      </c>
      <c r="E13" s="2">
        <v>0</v>
      </c>
      <c r="F13" s="2">
        <v>20622.939999999999</v>
      </c>
      <c r="G13" s="2">
        <f t="shared" si="0"/>
        <v>-20622.939999999999</v>
      </c>
      <c r="H13" s="2">
        <f t="shared" si="1"/>
        <v>8017884.0299999993</v>
      </c>
      <c r="J13" s="1"/>
      <c r="K13" s="1"/>
    </row>
    <row r="14" spans="1:11" x14ac:dyDescent="0.3">
      <c r="A14" s="3">
        <v>45597</v>
      </c>
      <c r="B14" s="3">
        <v>45597</v>
      </c>
      <c r="C14" s="4" t="s">
        <v>20</v>
      </c>
      <c r="D14" s="4" t="s">
        <v>9</v>
      </c>
      <c r="E14" s="2">
        <v>52519.8</v>
      </c>
      <c r="F14" s="2">
        <v>0</v>
      </c>
      <c r="G14" s="2">
        <f t="shared" si="0"/>
        <v>52519.8</v>
      </c>
      <c r="H14" s="2">
        <f t="shared" si="1"/>
        <v>8070403.8299999991</v>
      </c>
      <c r="J14" s="1"/>
      <c r="K14" s="1"/>
    </row>
    <row r="15" spans="1:11" x14ac:dyDescent="0.3">
      <c r="A15" s="3">
        <v>45597</v>
      </c>
      <c r="B15" s="3">
        <v>45597</v>
      </c>
      <c r="C15" s="4" t="s">
        <v>21</v>
      </c>
      <c r="D15" s="4" t="s">
        <v>9</v>
      </c>
      <c r="E15" s="2">
        <v>29383.74</v>
      </c>
      <c r="F15" s="2">
        <v>0</v>
      </c>
      <c r="G15" s="2">
        <f t="shared" si="0"/>
        <v>29383.74</v>
      </c>
      <c r="H15" s="2">
        <f t="shared" si="1"/>
        <v>8099787.5699999994</v>
      </c>
      <c r="J15" s="1"/>
      <c r="K15" s="1"/>
    </row>
    <row r="16" spans="1:11" x14ac:dyDescent="0.3">
      <c r="A16" s="3">
        <v>45601</v>
      </c>
      <c r="B16" s="3">
        <v>45601</v>
      </c>
      <c r="C16" s="4" t="s">
        <v>22</v>
      </c>
      <c r="D16" s="4" t="s">
        <v>9</v>
      </c>
      <c r="E16" s="2">
        <v>599425.66</v>
      </c>
      <c r="F16" s="2">
        <v>0</v>
      </c>
      <c r="G16" s="2">
        <f t="shared" si="0"/>
        <v>599425.66</v>
      </c>
      <c r="H16" s="2">
        <f t="shared" si="1"/>
        <v>8699213.2299999986</v>
      </c>
      <c r="J16" s="1"/>
      <c r="K16" s="1"/>
    </row>
    <row r="17" spans="1:11" x14ac:dyDescent="0.3">
      <c r="A17" s="3">
        <v>45611</v>
      </c>
      <c r="B17" s="3">
        <v>45611</v>
      </c>
      <c r="C17" s="4" t="s">
        <v>23</v>
      </c>
      <c r="D17" s="4" t="s">
        <v>9</v>
      </c>
      <c r="E17" s="2">
        <v>126550.96</v>
      </c>
      <c r="F17" s="2">
        <v>0</v>
      </c>
      <c r="G17" s="2">
        <f t="shared" si="0"/>
        <v>126550.96</v>
      </c>
      <c r="H17" s="2">
        <f t="shared" si="1"/>
        <v>8825764.1899999995</v>
      </c>
      <c r="J17" s="1"/>
      <c r="K17" s="1"/>
    </row>
    <row r="18" spans="1:11" x14ac:dyDescent="0.3">
      <c r="A18" s="3">
        <v>45623</v>
      </c>
      <c r="B18" s="3">
        <v>45623</v>
      </c>
      <c r="C18" s="4" t="s">
        <v>24</v>
      </c>
      <c r="D18" s="4" t="s">
        <v>9</v>
      </c>
      <c r="E18" s="2">
        <v>23342.28</v>
      </c>
      <c r="F18" s="2">
        <v>0</v>
      </c>
      <c r="G18" s="2">
        <f t="shared" si="0"/>
        <v>23342.28</v>
      </c>
      <c r="H18" s="2">
        <f t="shared" si="1"/>
        <v>8849106.4699999988</v>
      </c>
      <c r="J18" s="1"/>
      <c r="K18" s="1"/>
    </row>
    <row r="19" spans="1:11" x14ac:dyDescent="0.3">
      <c r="A19" s="3">
        <v>45625</v>
      </c>
      <c r="B19" s="3">
        <v>45625</v>
      </c>
      <c r="C19" s="4" t="s">
        <v>25</v>
      </c>
      <c r="D19" s="4" t="s">
        <v>9</v>
      </c>
      <c r="E19" s="2">
        <v>30581.01</v>
      </c>
      <c r="F19" s="2">
        <v>0</v>
      </c>
      <c r="G19" s="2">
        <f t="shared" si="0"/>
        <v>30581.01</v>
      </c>
      <c r="H19" s="2">
        <f t="shared" si="1"/>
        <v>8879687.4799999986</v>
      </c>
      <c r="J19" s="1"/>
      <c r="K19" s="1"/>
    </row>
    <row r="20" spans="1:11" x14ac:dyDescent="0.3">
      <c r="A20" s="3">
        <v>45625</v>
      </c>
      <c r="B20" s="3">
        <v>45625</v>
      </c>
      <c r="C20" s="4" t="s">
        <v>26</v>
      </c>
      <c r="D20" s="4" t="s">
        <v>9</v>
      </c>
      <c r="E20" s="2">
        <v>90635.82</v>
      </c>
      <c r="F20" s="2">
        <v>0</v>
      </c>
      <c r="G20" s="2">
        <f t="shared" si="0"/>
        <v>90635.82</v>
      </c>
      <c r="H20" s="2">
        <f t="shared" si="1"/>
        <v>8970323.2999999989</v>
      </c>
      <c r="J20" s="1"/>
      <c r="K20" s="1"/>
    </row>
    <row r="21" spans="1:11" x14ac:dyDescent="0.3">
      <c r="A21" s="3">
        <v>45629</v>
      </c>
      <c r="B21" s="3">
        <v>45629</v>
      </c>
      <c r="C21" s="4" t="s">
        <v>27</v>
      </c>
      <c r="D21" s="4" t="s">
        <v>9</v>
      </c>
      <c r="E21" s="2">
        <v>52519.8</v>
      </c>
      <c r="F21" s="2">
        <v>0</v>
      </c>
      <c r="G21" s="2">
        <f t="shared" si="0"/>
        <v>52519.8</v>
      </c>
      <c r="H21" s="2">
        <f t="shared" si="1"/>
        <v>9022843.0999999996</v>
      </c>
      <c r="J21" s="1"/>
      <c r="K21" s="1"/>
    </row>
    <row r="22" spans="1:11" x14ac:dyDescent="0.3">
      <c r="A22" s="3">
        <v>45629</v>
      </c>
      <c r="B22" s="3">
        <v>45629</v>
      </c>
      <c r="C22" s="4" t="s">
        <v>28</v>
      </c>
      <c r="D22" s="4" t="s">
        <v>9</v>
      </c>
      <c r="E22" s="2">
        <v>33841.78</v>
      </c>
      <c r="F22" s="2">
        <v>0</v>
      </c>
      <c r="G22" s="2">
        <f t="shared" si="0"/>
        <v>33841.78</v>
      </c>
      <c r="H22" s="2">
        <f t="shared" si="1"/>
        <v>9056684.879999999</v>
      </c>
      <c r="J22" s="1"/>
      <c r="K22" s="1"/>
    </row>
    <row r="23" spans="1:11" x14ac:dyDescent="0.3">
      <c r="A23" s="3">
        <v>45649</v>
      </c>
      <c r="B23" s="3">
        <v>45649</v>
      </c>
      <c r="C23" s="4" t="s">
        <v>29</v>
      </c>
      <c r="D23" s="4" t="s">
        <v>9</v>
      </c>
      <c r="E23" s="2">
        <v>12885.98</v>
      </c>
      <c r="F23" s="2">
        <v>0</v>
      </c>
      <c r="G23" s="2">
        <f t="shared" si="0"/>
        <v>12885.98</v>
      </c>
      <c r="H23" s="2">
        <f t="shared" si="1"/>
        <v>9069570.8599999994</v>
      </c>
      <c r="J23" s="1"/>
      <c r="K23" s="1"/>
    </row>
    <row r="24" spans="1:11" x14ac:dyDescent="0.3">
      <c r="A24" s="3">
        <v>45649</v>
      </c>
      <c r="B24" s="3">
        <v>45649</v>
      </c>
      <c r="C24" s="4" t="s">
        <v>30</v>
      </c>
      <c r="D24" s="4" t="s">
        <v>9</v>
      </c>
      <c r="E24" s="2">
        <v>235644.89</v>
      </c>
      <c r="F24" s="2">
        <v>0</v>
      </c>
      <c r="G24" s="2">
        <f t="shared" si="0"/>
        <v>235644.89</v>
      </c>
      <c r="H24" s="2">
        <f t="shared" si="1"/>
        <v>9305215.75</v>
      </c>
      <c r="J24" s="1"/>
      <c r="K24" s="1"/>
    </row>
    <row r="25" spans="1:11" x14ac:dyDescent="0.3">
      <c r="A25" s="3">
        <v>45653</v>
      </c>
      <c r="B25" s="3">
        <v>45653</v>
      </c>
      <c r="C25" s="4" t="s">
        <v>31</v>
      </c>
      <c r="D25" s="4" t="s">
        <v>9</v>
      </c>
      <c r="E25" s="2">
        <v>115080.35</v>
      </c>
      <c r="F25" s="2">
        <v>0</v>
      </c>
      <c r="G25" s="2">
        <f t="shared" si="0"/>
        <v>115080.35</v>
      </c>
      <c r="H25" s="2">
        <f t="shared" si="1"/>
        <v>9420296.0999999996</v>
      </c>
      <c r="J25" s="1"/>
      <c r="K25" s="1"/>
    </row>
    <row r="26" spans="1:11" x14ac:dyDescent="0.3">
      <c r="A26" s="3">
        <v>45653</v>
      </c>
      <c r="B26" s="3">
        <v>45653</v>
      </c>
      <c r="C26" s="4" t="s">
        <v>32</v>
      </c>
      <c r="D26" s="4" t="s">
        <v>9</v>
      </c>
      <c r="E26" s="2">
        <v>47393.62</v>
      </c>
      <c r="F26" s="2">
        <v>0</v>
      </c>
      <c r="G26" s="2">
        <f t="shared" si="0"/>
        <v>47393.62</v>
      </c>
      <c r="H26" s="2">
        <f t="shared" si="1"/>
        <v>9467689.7199999988</v>
      </c>
      <c r="J26" s="1"/>
      <c r="K26" s="1"/>
    </row>
    <row r="27" spans="1:11" x14ac:dyDescent="0.3">
      <c r="A27" s="3">
        <v>45660</v>
      </c>
      <c r="B27" s="3">
        <v>45660</v>
      </c>
      <c r="C27" s="4" t="s">
        <v>33</v>
      </c>
      <c r="D27" s="4" t="s">
        <v>9</v>
      </c>
      <c r="E27" s="2">
        <v>31729.15</v>
      </c>
      <c r="F27" s="2">
        <v>0</v>
      </c>
      <c r="G27" s="2">
        <f t="shared" si="0"/>
        <v>31729.15</v>
      </c>
      <c r="H27" s="2">
        <f t="shared" si="1"/>
        <v>9499418.8699999992</v>
      </c>
      <c r="J27" s="1"/>
      <c r="K27" s="1"/>
    </row>
    <row r="28" spans="1:11" x14ac:dyDescent="0.3">
      <c r="A28" s="3">
        <v>45664</v>
      </c>
      <c r="B28" s="3">
        <v>45664</v>
      </c>
      <c r="C28" s="4" t="s">
        <v>34</v>
      </c>
      <c r="D28" s="4" t="s">
        <v>9</v>
      </c>
      <c r="E28" s="2">
        <v>52519.8</v>
      </c>
      <c r="F28" s="2">
        <v>0</v>
      </c>
      <c r="G28" s="2">
        <f t="shared" si="0"/>
        <v>52519.8</v>
      </c>
      <c r="H28" s="2">
        <f t="shared" si="1"/>
        <v>9551938.6699999999</v>
      </c>
      <c r="J28" s="1"/>
      <c r="K28" s="1"/>
    </row>
    <row r="29" spans="1:11" x14ac:dyDescent="0.3">
      <c r="A29" s="3">
        <v>45673</v>
      </c>
      <c r="B29" s="3">
        <v>45673</v>
      </c>
      <c r="C29" s="4" t="s">
        <v>35</v>
      </c>
      <c r="D29" s="4" t="s">
        <v>9</v>
      </c>
      <c r="E29" s="2">
        <v>33841.78</v>
      </c>
      <c r="F29" s="2">
        <v>0</v>
      </c>
      <c r="G29" s="2">
        <f t="shared" si="0"/>
        <v>33841.78</v>
      </c>
      <c r="H29" s="2">
        <f t="shared" si="1"/>
        <v>9585780.4499999993</v>
      </c>
      <c r="J29" s="1"/>
      <c r="K29" s="1"/>
    </row>
    <row r="30" spans="1:11" x14ac:dyDescent="0.3">
      <c r="A30" s="3">
        <v>45687</v>
      </c>
      <c r="B30" s="3">
        <v>45687</v>
      </c>
      <c r="C30" s="4" t="s">
        <v>36</v>
      </c>
      <c r="D30" s="4" t="s">
        <v>9</v>
      </c>
      <c r="E30" s="2">
        <v>35060.71</v>
      </c>
      <c r="F30" s="2">
        <v>0</v>
      </c>
      <c r="G30" s="2">
        <f t="shared" si="0"/>
        <v>35060.71</v>
      </c>
      <c r="H30" s="2">
        <f t="shared" si="1"/>
        <v>9620841.1600000001</v>
      </c>
      <c r="J30" s="1"/>
      <c r="K30" s="1"/>
    </row>
    <row r="31" spans="1:11" x14ac:dyDescent="0.3">
      <c r="A31" s="3">
        <v>45687</v>
      </c>
      <c r="B31" s="3">
        <v>45687</v>
      </c>
      <c r="C31" s="4" t="s">
        <v>37</v>
      </c>
      <c r="D31" s="4" t="s">
        <v>9</v>
      </c>
      <c r="E31" s="2">
        <v>1750142.51</v>
      </c>
      <c r="F31" s="2">
        <v>0</v>
      </c>
      <c r="G31" s="2">
        <f t="shared" si="0"/>
        <v>1750142.51</v>
      </c>
      <c r="H31" s="2">
        <f t="shared" si="1"/>
        <v>11370983.67</v>
      </c>
      <c r="J31" s="1"/>
      <c r="K31" s="1"/>
    </row>
    <row r="32" spans="1:11" x14ac:dyDescent="0.3">
      <c r="A32" s="3">
        <v>45687</v>
      </c>
      <c r="B32" s="3">
        <v>45687</v>
      </c>
      <c r="C32" s="4" t="s">
        <v>38</v>
      </c>
      <c r="D32" s="4" t="s">
        <v>9</v>
      </c>
      <c r="E32" s="2">
        <v>52519.8</v>
      </c>
      <c r="F32" s="2">
        <v>0</v>
      </c>
      <c r="G32" s="2">
        <f t="shared" si="0"/>
        <v>52519.8</v>
      </c>
      <c r="H32" s="2">
        <f t="shared" si="1"/>
        <v>11423503.470000001</v>
      </c>
      <c r="J32" s="1"/>
      <c r="K32" s="1"/>
    </row>
    <row r="33" spans="1:11" x14ac:dyDescent="0.3">
      <c r="A33" s="3">
        <v>45701</v>
      </c>
      <c r="B33" s="3">
        <v>45701</v>
      </c>
      <c r="C33" s="4" t="s">
        <v>39</v>
      </c>
      <c r="D33" s="4" t="s">
        <v>9</v>
      </c>
      <c r="E33" s="2">
        <v>0</v>
      </c>
      <c r="F33" s="2">
        <v>6000000</v>
      </c>
      <c r="G33" s="2">
        <f t="shared" si="0"/>
        <v>-6000000</v>
      </c>
      <c r="H33" s="2">
        <f t="shared" si="1"/>
        <v>5423503.4700000007</v>
      </c>
      <c r="J33" s="1"/>
      <c r="K33" s="1"/>
    </row>
    <row r="34" spans="1:11" x14ac:dyDescent="0.3">
      <c r="A34" s="3">
        <v>45705</v>
      </c>
      <c r="B34" s="3">
        <v>45705</v>
      </c>
      <c r="C34" s="4" t="s">
        <v>40</v>
      </c>
      <c r="D34" s="4" t="s">
        <v>9</v>
      </c>
      <c r="E34" s="2">
        <v>927733.44</v>
      </c>
      <c r="F34" s="2">
        <v>0</v>
      </c>
      <c r="G34" s="2">
        <f t="shared" si="0"/>
        <v>927733.44</v>
      </c>
      <c r="H34" s="2">
        <f t="shared" si="1"/>
        <v>6351236.9100000001</v>
      </c>
      <c r="J34" s="1"/>
      <c r="K34" s="1"/>
    </row>
    <row r="35" spans="1:11" x14ac:dyDescent="0.3">
      <c r="A35" s="3">
        <v>45714</v>
      </c>
      <c r="B35" s="3">
        <v>45714</v>
      </c>
      <c r="C35" s="4" t="s">
        <v>41</v>
      </c>
      <c r="D35" s="4" t="s">
        <v>9</v>
      </c>
      <c r="E35" s="2">
        <v>1292228.1599999999</v>
      </c>
      <c r="F35" s="2">
        <v>0</v>
      </c>
      <c r="G35" s="2">
        <f t="shared" si="0"/>
        <v>1292228.1599999999</v>
      </c>
      <c r="H35" s="2">
        <f t="shared" si="1"/>
        <v>7643465.0700000003</v>
      </c>
      <c r="J35" s="1"/>
      <c r="K35" s="1"/>
    </row>
    <row r="36" spans="1:11" x14ac:dyDescent="0.3">
      <c r="A36" s="3">
        <v>45715</v>
      </c>
      <c r="B36" s="3">
        <v>45715</v>
      </c>
      <c r="C36" s="4" t="s">
        <v>42</v>
      </c>
      <c r="D36" s="4" t="s">
        <v>9</v>
      </c>
      <c r="E36" s="2">
        <v>35060.71</v>
      </c>
      <c r="F36" s="2">
        <v>0</v>
      </c>
      <c r="G36" s="2">
        <f t="shared" si="0"/>
        <v>35060.71</v>
      </c>
      <c r="H36" s="2">
        <f t="shared" si="1"/>
        <v>7678525.7800000003</v>
      </c>
      <c r="J36" s="1"/>
      <c r="K36" s="1"/>
    </row>
    <row r="37" spans="1:11" x14ac:dyDescent="0.3">
      <c r="A37" s="3">
        <v>45715</v>
      </c>
      <c r="B37" s="3">
        <v>45715</v>
      </c>
      <c r="C37" s="4" t="s">
        <v>43</v>
      </c>
      <c r="D37" s="4" t="s">
        <v>9</v>
      </c>
      <c r="E37" s="2">
        <v>52519.8</v>
      </c>
      <c r="F37" s="2">
        <v>0</v>
      </c>
      <c r="G37" s="2">
        <f t="shared" si="0"/>
        <v>52519.8</v>
      </c>
      <c r="H37" s="2">
        <f t="shared" si="1"/>
        <v>7731045.5800000001</v>
      </c>
      <c r="J37" s="1"/>
      <c r="K37" s="1"/>
    </row>
    <row r="38" spans="1:11" x14ac:dyDescent="0.3">
      <c r="A38" s="3">
        <v>45735</v>
      </c>
      <c r="B38" s="3">
        <v>45735</v>
      </c>
      <c r="C38" s="4" t="s">
        <v>44</v>
      </c>
      <c r="D38" s="4" t="s">
        <v>9</v>
      </c>
      <c r="E38" s="2">
        <v>62631.72</v>
      </c>
      <c r="F38" s="2">
        <v>0</v>
      </c>
      <c r="G38" s="2">
        <f t="shared" si="0"/>
        <v>62631.72</v>
      </c>
      <c r="H38" s="2">
        <f t="shared" si="1"/>
        <v>7793677.2999999998</v>
      </c>
      <c r="J38" s="1"/>
      <c r="K38" s="1"/>
    </row>
    <row r="39" spans="1:11" x14ac:dyDescent="0.3">
      <c r="A39" s="3">
        <v>45741</v>
      </c>
      <c r="B39" s="3">
        <v>45741</v>
      </c>
      <c r="C39" s="4" t="s">
        <v>45</v>
      </c>
      <c r="D39" s="4" t="s">
        <v>9</v>
      </c>
      <c r="E39" s="2">
        <v>63458.3</v>
      </c>
      <c r="F39" s="2">
        <v>0</v>
      </c>
      <c r="G39" s="2">
        <f t="shared" si="0"/>
        <v>63458.3</v>
      </c>
      <c r="H39" s="2">
        <f t="shared" si="1"/>
        <v>7857135.5999999996</v>
      </c>
      <c r="J39" s="1"/>
      <c r="K39" s="1"/>
    </row>
    <row r="40" spans="1:11" x14ac:dyDescent="0.3">
      <c r="A40" s="3">
        <v>45742</v>
      </c>
      <c r="B40" s="3">
        <v>45742</v>
      </c>
      <c r="C40" s="4" t="s">
        <v>46</v>
      </c>
      <c r="D40" s="4" t="s">
        <v>9</v>
      </c>
      <c r="E40" s="2">
        <v>52519.8</v>
      </c>
      <c r="F40" s="2">
        <v>0</v>
      </c>
      <c r="G40" s="2">
        <f t="shared" si="0"/>
        <v>52519.8</v>
      </c>
      <c r="H40" s="2">
        <f t="shared" si="1"/>
        <v>7909655.3999999994</v>
      </c>
      <c r="J40" s="1"/>
      <c r="K40" s="1"/>
    </row>
    <row r="41" spans="1:11" x14ac:dyDescent="0.3">
      <c r="A41" s="3">
        <v>45769</v>
      </c>
      <c r="B41" s="3">
        <v>45769</v>
      </c>
      <c r="C41" s="4" t="s">
        <v>47</v>
      </c>
      <c r="D41" s="4" t="s">
        <v>9</v>
      </c>
      <c r="E41" s="2">
        <v>289898.19</v>
      </c>
      <c r="F41" s="2">
        <v>0</v>
      </c>
      <c r="G41" s="2">
        <f t="shared" si="0"/>
        <v>289898.19</v>
      </c>
      <c r="H41" s="2">
        <f t="shared" si="1"/>
        <v>8199553.5899999999</v>
      </c>
      <c r="J41" s="1"/>
      <c r="K41" s="1"/>
    </row>
    <row r="42" spans="1:11" x14ac:dyDescent="0.3">
      <c r="A42" s="3">
        <v>45776</v>
      </c>
      <c r="B42" s="3">
        <v>45776</v>
      </c>
      <c r="C42" s="4" t="s">
        <v>48</v>
      </c>
      <c r="D42" s="4" t="s">
        <v>9</v>
      </c>
      <c r="E42" s="2">
        <v>25233.97</v>
      </c>
      <c r="F42" s="2">
        <v>0</v>
      </c>
      <c r="G42" s="2">
        <f t="shared" si="0"/>
        <v>25233.97</v>
      </c>
      <c r="H42" s="2">
        <f t="shared" si="1"/>
        <v>8224787.5599999996</v>
      </c>
      <c r="J42" s="1"/>
      <c r="K42" s="1"/>
    </row>
    <row r="43" spans="1:11" x14ac:dyDescent="0.3">
      <c r="A43" s="3">
        <v>45776</v>
      </c>
      <c r="B43" s="3">
        <v>45776</v>
      </c>
      <c r="C43" s="4" t="s">
        <v>49</v>
      </c>
      <c r="D43" s="4" t="s">
        <v>9</v>
      </c>
      <c r="E43" s="2">
        <v>52519.8</v>
      </c>
      <c r="F43" s="2">
        <v>0</v>
      </c>
      <c r="G43" s="2">
        <f t="shared" si="0"/>
        <v>52519.8</v>
      </c>
      <c r="H43" s="2">
        <f t="shared" si="1"/>
        <v>8277307.3599999994</v>
      </c>
      <c r="J43" s="1"/>
      <c r="K43" s="1"/>
    </row>
    <row r="44" spans="1:11" x14ac:dyDescent="0.3">
      <c r="A44" s="3">
        <v>45777</v>
      </c>
      <c r="B44" s="3">
        <v>45777</v>
      </c>
      <c r="C44" s="4" t="s">
        <v>50</v>
      </c>
      <c r="D44" s="4" t="s">
        <v>9</v>
      </c>
      <c r="E44" s="2">
        <v>1192099.52</v>
      </c>
      <c r="F44" s="2">
        <v>0</v>
      </c>
      <c r="G44" s="2">
        <f t="shared" si="0"/>
        <v>1192099.52</v>
      </c>
      <c r="H44" s="2">
        <f t="shared" si="1"/>
        <v>9469406.879999999</v>
      </c>
      <c r="J44" s="1"/>
      <c r="K44" s="1"/>
    </row>
    <row r="45" spans="1:11" x14ac:dyDescent="0.3">
      <c r="A45" s="3">
        <v>45806</v>
      </c>
      <c r="B45" s="3">
        <v>45806</v>
      </c>
      <c r="C45" s="4" t="s">
        <v>51</v>
      </c>
      <c r="D45" s="4" t="s">
        <v>9</v>
      </c>
      <c r="E45" s="2">
        <v>937825.38</v>
      </c>
      <c r="F45" s="2">
        <v>0</v>
      </c>
      <c r="G45" s="2">
        <f t="shared" si="0"/>
        <v>937825.38</v>
      </c>
      <c r="H45" s="2">
        <f t="shared" si="1"/>
        <v>10407232.26</v>
      </c>
      <c r="J45" s="1"/>
      <c r="K45" s="1"/>
    </row>
    <row r="46" spans="1:11" x14ac:dyDescent="0.3">
      <c r="A46" s="3">
        <v>45820</v>
      </c>
      <c r="B46" s="3">
        <v>45820</v>
      </c>
      <c r="C46" s="4" t="s">
        <v>52</v>
      </c>
      <c r="D46" s="4" t="s">
        <v>9</v>
      </c>
      <c r="E46" s="2">
        <v>52519.8</v>
      </c>
      <c r="F46" s="2">
        <v>0</v>
      </c>
      <c r="G46" s="2">
        <f t="shared" si="0"/>
        <v>52519.8</v>
      </c>
      <c r="H46" s="2">
        <f t="shared" si="1"/>
        <v>10459752.060000001</v>
      </c>
      <c r="J46" s="1"/>
      <c r="K46" s="1"/>
    </row>
    <row r="47" spans="1:11" x14ac:dyDescent="0.3">
      <c r="A47" s="3">
        <v>45833</v>
      </c>
      <c r="B47" s="3">
        <v>45833</v>
      </c>
      <c r="C47" s="4" t="s">
        <v>53</v>
      </c>
      <c r="D47" s="4" t="s">
        <v>9</v>
      </c>
      <c r="E47" s="2">
        <v>17200.099999999999</v>
      </c>
      <c r="F47" s="2">
        <v>0</v>
      </c>
      <c r="G47" s="2">
        <f t="shared" si="0"/>
        <v>17200.099999999999</v>
      </c>
      <c r="H47" s="2">
        <f t="shared" si="1"/>
        <v>10476952.16</v>
      </c>
      <c r="J47" s="1"/>
      <c r="K47" s="1"/>
    </row>
    <row r="48" spans="1:11" x14ac:dyDescent="0.3">
      <c r="A48" s="3">
        <v>45834</v>
      </c>
      <c r="B48" s="3">
        <v>45834</v>
      </c>
      <c r="C48" s="4" t="s">
        <v>54</v>
      </c>
      <c r="D48" s="4" t="s">
        <v>9</v>
      </c>
      <c r="E48" s="2">
        <v>234853.97</v>
      </c>
      <c r="F48" s="2">
        <v>0</v>
      </c>
      <c r="G48" s="2">
        <f t="shared" si="0"/>
        <v>234853.97</v>
      </c>
      <c r="H48" s="2">
        <f t="shared" si="1"/>
        <v>10711806.130000001</v>
      </c>
      <c r="J48" s="1"/>
      <c r="K48" s="1"/>
    </row>
    <row r="49" spans="1:11" x14ac:dyDescent="0.3">
      <c r="A49" s="3">
        <v>45838</v>
      </c>
      <c r="B49" s="3">
        <v>45838</v>
      </c>
      <c r="C49" s="4" t="s">
        <v>55</v>
      </c>
      <c r="D49" s="4" t="s">
        <v>9</v>
      </c>
      <c r="E49" s="2">
        <v>3052418.75</v>
      </c>
      <c r="F49" s="2">
        <v>0</v>
      </c>
      <c r="G49" s="2">
        <f t="shared" si="0"/>
        <v>3052418.75</v>
      </c>
      <c r="H49" s="2">
        <f t="shared" si="1"/>
        <v>13764224.880000001</v>
      </c>
      <c r="J49" s="1"/>
      <c r="K49" s="1"/>
    </row>
    <row r="50" spans="1:11" x14ac:dyDescent="0.3">
      <c r="A50" s="3">
        <v>45841</v>
      </c>
      <c r="B50" s="3">
        <v>45841</v>
      </c>
      <c r="C50" s="4" t="s">
        <v>56</v>
      </c>
      <c r="D50" s="4" t="s">
        <v>9</v>
      </c>
      <c r="E50" s="2">
        <v>39990.080000000002</v>
      </c>
      <c r="F50" s="2">
        <v>0</v>
      </c>
      <c r="G50" s="2">
        <f t="shared" si="0"/>
        <v>39990.080000000002</v>
      </c>
      <c r="H50" s="2">
        <f t="shared" si="1"/>
        <v>13804214.960000001</v>
      </c>
      <c r="J50" s="1"/>
      <c r="K50" s="1"/>
    </row>
    <row r="51" spans="1:11" x14ac:dyDescent="0.3">
      <c r="A51" s="3">
        <v>45841</v>
      </c>
      <c r="B51" s="3">
        <v>45841</v>
      </c>
      <c r="C51" s="4" t="s">
        <v>57</v>
      </c>
      <c r="D51" s="4" t="s">
        <v>9</v>
      </c>
      <c r="E51" s="2">
        <v>52519.8</v>
      </c>
      <c r="F51" s="2">
        <v>0</v>
      </c>
      <c r="G51" s="2">
        <f t="shared" si="0"/>
        <v>52519.8</v>
      </c>
      <c r="H51" s="2">
        <f t="shared" si="1"/>
        <v>13856734.760000002</v>
      </c>
      <c r="J51" s="1"/>
      <c r="K51" s="1"/>
    </row>
    <row r="52" spans="1:11" x14ac:dyDescent="0.3">
      <c r="A52" s="3">
        <v>45869</v>
      </c>
      <c r="B52" s="3">
        <v>45869</v>
      </c>
      <c r="C52" s="4" t="s">
        <v>58</v>
      </c>
      <c r="D52" s="4" t="s">
        <v>9</v>
      </c>
      <c r="E52" s="2">
        <v>156507.04</v>
      </c>
      <c r="F52" s="2">
        <v>0</v>
      </c>
      <c r="G52" s="2">
        <f t="shared" si="0"/>
        <v>156507.04</v>
      </c>
      <c r="H52" s="2">
        <f t="shared" si="1"/>
        <v>14013241.800000001</v>
      </c>
      <c r="J52" s="1"/>
      <c r="K52" s="1"/>
    </row>
    <row r="53" spans="1:11" x14ac:dyDescent="0.3">
      <c r="A53" s="3">
        <v>45869</v>
      </c>
      <c r="B53" s="3">
        <v>45869</v>
      </c>
      <c r="C53" s="4" t="s">
        <v>59</v>
      </c>
      <c r="D53" s="4" t="s">
        <v>9</v>
      </c>
      <c r="E53" s="2">
        <v>52519.8</v>
      </c>
      <c r="F53" s="2">
        <v>0</v>
      </c>
      <c r="G53" s="2">
        <f t="shared" si="0"/>
        <v>52519.8</v>
      </c>
      <c r="H53" s="2">
        <f t="shared" si="1"/>
        <v>14065761.600000001</v>
      </c>
      <c r="J53" s="1"/>
      <c r="K53" s="1"/>
    </row>
    <row r="54" spans="1:11" x14ac:dyDescent="0.3">
      <c r="A54" s="3">
        <v>45869</v>
      </c>
      <c r="B54" s="3">
        <v>45869</v>
      </c>
      <c r="C54" s="4" t="s">
        <v>60</v>
      </c>
      <c r="D54" s="4" t="s">
        <v>9</v>
      </c>
      <c r="E54" s="2">
        <v>39990.080000000002</v>
      </c>
      <c r="F54" s="2">
        <v>0</v>
      </c>
      <c r="G54" s="2">
        <f t="shared" si="0"/>
        <v>39990.080000000002</v>
      </c>
      <c r="H54" s="2">
        <f t="shared" si="1"/>
        <v>14105751.680000002</v>
      </c>
      <c r="J54" s="1"/>
      <c r="K54" s="1"/>
    </row>
    <row r="55" spans="1:11" x14ac:dyDescent="0.3">
      <c r="A55" s="3">
        <v>45897</v>
      </c>
      <c r="B55" s="3">
        <v>45897</v>
      </c>
      <c r="C55" s="4" t="s">
        <v>61</v>
      </c>
      <c r="D55" s="4" t="s">
        <v>9</v>
      </c>
      <c r="E55" s="2">
        <v>1679632.04</v>
      </c>
      <c r="F55" s="2">
        <v>0</v>
      </c>
      <c r="G55" s="2">
        <f t="shared" si="0"/>
        <v>1679632.04</v>
      </c>
      <c r="H55" s="2">
        <f t="shared" si="1"/>
        <v>15785383.720000003</v>
      </c>
      <c r="J55" s="1"/>
      <c r="K55" s="1"/>
    </row>
    <row r="56" spans="1:11" x14ac:dyDescent="0.3">
      <c r="A56" s="3">
        <v>45897</v>
      </c>
      <c r="B56" s="3">
        <v>45897</v>
      </c>
      <c r="C56" s="4" t="s">
        <v>62</v>
      </c>
      <c r="D56" s="4" t="s">
        <v>9</v>
      </c>
      <c r="E56" s="2">
        <v>560879.30000000005</v>
      </c>
      <c r="F56" s="2">
        <v>0</v>
      </c>
      <c r="G56" s="2">
        <f t="shared" si="0"/>
        <v>560879.30000000005</v>
      </c>
      <c r="H56" s="2">
        <f t="shared" si="1"/>
        <v>16346263.020000003</v>
      </c>
      <c r="J56" s="1"/>
      <c r="K56" s="1"/>
    </row>
    <row r="57" spans="1:11" x14ac:dyDescent="0.3">
      <c r="A57" s="3">
        <v>45897</v>
      </c>
      <c r="B57" s="3">
        <v>45897</v>
      </c>
      <c r="C57" s="4" t="s">
        <v>63</v>
      </c>
      <c r="D57" s="4" t="s">
        <v>9</v>
      </c>
      <c r="E57" s="2">
        <v>479553.7</v>
      </c>
      <c r="F57" s="2">
        <v>0</v>
      </c>
      <c r="G57" s="2">
        <f t="shared" si="0"/>
        <v>479553.7</v>
      </c>
      <c r="H57" s="2">
        <f t="shared" si="1"/>
        <v>16825816.720000003</v>
      </c>
      <c r="J57" s="1"/>
      <c r="K57" s="1"/>
    </row>
    <row r="58" spans="1:11" x14ac:dyDescent="0.3">
      <c r="A58" s="3">
        <v>45897</v>
      </c>
      <c r="B58" s="3">
        <v>45897</v>
      </c>
      <c r="C58" s="4" t="s">
        <v>64</v>
      </c>
      <c r="D58" s="4" t="s">
        <v>9</v>
      </c>
      <c r="E58" s="2">
        <v>7785.47</v>
      </c>
      <c r="F58" s="2">
        <v>0</v>
      </c>
      <c r="G58" s="2">
        <f t="shared" si="0"/>
        <v>7785.47</v>
      </c>
      <c r="H58" s="2">
        <f t="shared" si="1"/>
        <v>16833602.190000001</v>
      </c>
      <c r="J58" s="1"/>
      <c r="K58" s="1"/>
    </row>
  </sheetData>
  <mergeCells count="1">
    <mergeCell ref="A2:G2"/>
  </mergeCells>
  <phoneticPr fontId="2" type="noConversion"/>
  <conditionalFormatting sqref="G3:G58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mayor banco Pcia Bs 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outlet</dc:creator>
  <cp:lastModifiedBy>Tomas Tutor Onetto</cp:lastModifiedBy>
  <dcterms:created xsi:type="dcterms:W3CDTF">2026-02-12T11:40:44Z</dcterms:created>
  <dcterms:modified xsi:type="dcterms:W3CDTF">2026-02-12T12:26:14Z</dcterms:modified>
</cp:coreProperties>
</file>