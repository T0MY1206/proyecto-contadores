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bián\Downloads\"/>
    </mc:Choice>
  </mc:AlternateContent>
  <xr:revisionPtr revIDLastSave="0" documentId="13_ncr:1_{F1E3714E-D5D9-423C-BFAD-C5366E783E9B}" xr6:coauthVersionLast="47" xr6:coauthVersionMax="47" xr10:uidLastSave="{00000000-0000-0000-0000-000000000000}"/>
  <bookViews>
    <workbookView xWindow="-120" yWindow="-120" windowWidth="20730" windowHeight="11160" xr2:uid="{0CD47A28-0D7C-4494-9BFF-E8D3C559F9C4}"/>
  </bookViews>
  <sheets>
    <sheet name="Extractos" sheetId="1" r:id="rId1"/>
    <sheet name="Movimientos" sheetId="2" r:id="rId2"/>
    <sheet name="CH DIFERIDOS APERTURA" sheetId="4" r:id="rId3"/>
    <sheet name="Saldo Apertura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3" l="1"/>
  <c r="U24" i="4"/>
  <c r="U25" i="4"/>
  <c r="U48" i="4"/>
  <c r="U136" i="4"/>
  <c r="U125" i="4"/>
  <c r="U64" i="4"/>
  <c r="U106" i="4"/>
  <c r="U54" i="4"/>
  <c r="U122" i="4"/>
  <c r="U142" i="4"/>
  <c r="U69" i="4"/>
  <c r="U66" i="4"/>
  <c r="U51" i="4"/>
  <c r="U143" i="4"/>
  <c r="U141" i="4"/>
  <c r="U120" i="4"/>
  <c r="U137" i="4"/>
  <c r="U151" i="4"/>
  <c r="U147" i="4"/>
  <c r="U144" i="4"/>
  <c r="U107" i="4"/>
  <c r="U20" i="4"/>
  <c r="U150" i="4"/>
  <c r="U146" i="4"/>
  <c r="U65" i="4"/>
  <c r="U138" i="4"/>
  <c r="U145" i="4"/>
  <c r="U52" i="4"/>
  <c r="U9" i="4"/>
  <c r="U8" i="4"/>
  <c r="U71" i="4"/>
  <c r="U124" i="4"/>
  <c r="U82" i="4"/>
  <c r="U17" i="4"/>
  <c r="U127" i="4"/>
  <c r="U35" i="4"/>
  <c r="U116" i="4"/>
  <c r="U28" i="4"/>
  <c r="U110" i="4"/>
  <c r="U148" i="4"/>
  <c r="U132" i="4"/>
  <c r="U31" i="4"/>
  <c r="U115" i="4"/>
  <c r="U30" i="4"/>
  <c r="U140" i="4"/>
  <c r="U119" i="4"/>
  <c r="U114" i="4"/>
  <c r="U126" i="4"/>
  <c r="U113" i="4"/>
  <c r="U47" i="4"/>
  <c r="U22" i="4"/>
  <c r="U27" i="4"/>
  <c r="U108" i="4"/>
  <c r="U121" i="4"/>
  <c r="U123" i="4"/>
  <c r="U129" i="4"/>
  <c r="U60" i="4"/>
  <c r="U95" i="4"/>
  <c r="U42" i="4"/>
  <c r="U86" i="4"/>
  <c r="U36" i="4"/>
  <c r="U38" i="4"/>
  <c r="U80" i="4"/>
  <c r="U88" i="4"/>
  <c r="U152" i="4"/>
  <c r="U149" i="4"/>
  <c r="U134" i="4"/>
  <c r="U104" i="4"/>
  <c r="U46" i="4"/>
  <c r="U111" i="4"/>
  <c r="U112" i="4"/>
  <c r="U53" i="4"/>
  <c r="U63" i="4"/>
  <c r="U109" i="4"/>
  <c r="U94" i="4"/>
  <c r="U83" i="4"/>
  <c r="U19" i="4"/>
  <c r="U67" i="4"/>
  <c r="U7" i="4"/>
  <c r="U41" i="4"/>
  <c r="U78" i="4"/>
  <c r="U128" i="4"/>
  <c r="U93" i="4"/>
  <c r="U89" i="4"/>
  <c r="U26" i="4"/>
  <c r="U139" i="4"/>
  <c r="U117" i="4"/>
  <c r="U68" i="4"/>
  <c r="U131" i="4"/>
  <c r="U98" i="4"/>
  <c r="U72" i="4"/>
  <c r="U74" i="4"/>
  <c r="U79" i="4"/>
  <c r="U85" i="4"/>
  <c r="U29" i="4"/>
  <c r="U61" i="4"/>
  <c r="U97" i="4"/>
  <c r="U84" i="4"/>
  <c r="U37" i="4"/>
  <c r="U102" i="4"/>
  <c r="U87" i="4"/>
  <c r="U39" i="4"/>
  <c r="U21" i="4"/>
  <c r="U118" i="4"/>
  <c r="U90" i="4"/>
  <c r="U44" i="4"/>
  <c r="U133" i="4"/>
  <c r="U100" i="4"/>
  <c r="U70" i="4"/>
  <c r="U99" i="4"/>
  <c r="U91" i="4"/>
  <c r="U92" i="4"/>
  <c r="U103" i="4"/>
  <c r="U135" i="4"/>
  <c r="U101" i="4"/>
  <c r="U130" i="4"/>
  <c r="U96" i="4"/>
  <c r="U32" i="4"/>
  <c r="U62" i="4"/>
  <c r="U49" i="4"/>
  <c r="U50" i="4"/>
  <c r="U59" i="4"/>
  <c r="U23" i="4"/>
  <c r="U40" i="4"/>
  <c r="U81" i="4"/>
  <c r="U18" i="4"/>
  <c r="U73" i="4"/>
  <c r="U33" i="4"/>
  <c r="U34" i="4"/>
  <c r="U76" i="4"/>
  <c r="U77" i="4"/>
  <c r="U45" i="4"/>
  <c r="U75" i="4"/>
  <c r="U16" i="4"/>
  <c r="U10" i="4"/>
  <c r="U14" i="4"/>
  <c r="U105" i="4"/>
  <c r="U57" i="4"/>
  <c r="U11" i="4"/>
  <c r="U15" i="4"/>
  <c r="U13" i="4"/>
  <c r="U12" i="4"/>
  <c r="U58" i="4"/>
  <c r="U56" i="4"/>
  <c r="U55" i="4"/>
  <c r="U43" i="4"/>
  <c r="U4" i="4" l="1"/>
  <c r="E3" i="3" l="1"/>
  <c r="F4232" i="2"/>
  <c r="F4231" i="2"/>
  <c r="F4230" i="2"/>
  <c r="F4229" i="2"/>
  <c r="F4228" i="2"/>
  <c r="F4227" i="2"/>
  <c r="F4226" i="2"/>
  <c r="F4225" i="2"/>
  <c r="F4224" i="2"/>
  <c r="F4223" i="2"/>
  <c r="F4222" i="2"/>
  <c r="F4221" i="2"/>
  <c r="F4220" i="2"/>
  <c r="F4219" i="2"/>
  <c r="F4218" i="2"/>
  <c r="F4217" i="2"/>
  <c r="F4216" i="2"/>
  <c r="F4215" i="2"/>
  <c r="F4214" i="2"/>
  <c r="F4213" i="2"/>
  <c r="F4212" i="2"/>
  <c r="F4211" i="2"/>
  <c r="F4210" i="2"/>
  <c r="F4209" i="2"/>
  <c r="F4208" i="2"/>
  <c r="F4207" i="2"/>
  <c r="F4206" i="2"/>
  <c r="F4205" i="2"/>
  <c r="F4204" i="2"/>
  <c r="F4203" i="2"/>
  <c r="F4202" i="2"/>
  <c r="F4201" i="2"/>
  <c r="F4200" i="2"/>
  <c r="F4199" i="2"/>
  <c r="F4198" i="2"/>
  <c r="F4197" i="2"/>
  <c r="F4196" i="2"/>
  <c r="F4195" i="2"/>
  <c r="F4194" i="2"/>
  <c r="F4193" i="2"/>
  <c r="F4192" i="2"/>
  <c r="F4191" i="2"/>
  <c r="F4190" i="2"/>
  <c r="F4189" i="2"/>
  <c r="F4188" i="2"/>
  <c r="F4187" i="2"/>
  <c r="F4186" i="2"/>
  <c r="F4185" i="2"/>
  <c r="F4184" i="2"/>
  <c r="F4183" i="2"/>
  <c r="F4182" i="2"/>
  <c r="F4181" i="2"/>
  <c r="F4180" i="2"/>
  <c r="F4179" i="2"/>
  <c r="F4178" i="2"/>
  <c r="F4177" i="2"/>
  <c r="F4176" i="2"/>
  <c r="F4175" i="2"/>
  <c r="F4174" i="2"/>
  <c r="F4173" i="2"/>
  <c r="F4172" i="2"/>
  <c r="F4171" i="2"/>
  <c r="F4170" i="2"/>
  <c r="F4169" i="2"/>
  <c r="F4168" i="2"/>
  <c r="F4167" i="2"/>
  <c r="F4166" i="2"/>
  <c r="F4165" i="2"/>
  <c r="F4164" i="2"/>
  <c r="F4163" i="2"/>
  <c r="F4162" i="2"/>
  <c r="F4161" i="2"/>
  <c r="F4160" i="2"/>
  <c r="F4159" i="2"/>
  <c r="F4158" i="2"/>
  <c r="F4157" i="2"/>
  <c r="F4156" i="2"/>
  <c r="F4155" i="2"/>
  <c r="F4154" i="2"/>
  <c r="F4153" i="2"/>
  <c r="F4152" i="2"/>
  <c r="F4151" i="2"/>
  <c r="F4150" i="2"/>
  <c r="F4149" i="2"/>
  <c r="F4148" i="2"/>
  <c r="F4147" i="2"/>
  <c r="F4146" i="2"/>
  <c r="F4145" i="2"/>
  <c r="F4144" i="2"/>
  <c r="F4143" i="2"/>
  <c r="F4142" i="2"/>
  <c r="F4141" i="2"/>
  <c r="F4140" i="2"/>
  <c r="F4139" i="2"/>
  <c r="F4138" i="2"/>
  <c r="F4137" i="2"/>
  <c r="F4136" i="2"/>
  <c r="F4135" i="2"/>
  <c r="F4134" i="2"/>
  <c r="F4133" i="2"/>
  <c r="F4132" i="2"/>
  <c r="F4131" i="2"/>
  <c r="F4130" i="2"/>
  <c r="F4129" i="2"/>
  <c r="F4128" i="2"/>
  <c r="F4127" i="2"/>
  <c r="F4126" i="2"/>
  <c r="F4125" i="2"/>
  <c r="F4124" i="2"/>
  <c r="F4123" i="2"/>
  <c r="F4122" i="2"/>
  <c r="F4121" i="2"/>
  <c r="F4120" i="2"/>
  <c r="F4119" i="2"/>
  <c r="F4118" i="2"/>
  <c r="F4117" i="2"/>
  <c r="F4116" i="2"/>
  <c r="F4115" i="2"/>
  <c r="F4114" i="2"/>
  <c r="F4113" i="2"/>
  <c r="F4112" i="2"/>
  <c r="F4111" i="2"/>
  <c r="F4110" i="2"/>
  <c r="F4109" i="2"/>
  <c r="F4108" i="2"/>
  <c r="F4107" i="2"/>
  <c r="F4106" i="2"/>
  <c r="F4105" i="2"/>
  <c r="F4104" i="2"/>
  <c r="F4103" i="2"/>
  <c r="F4102" i="2"/>
  <c r="F4101" i="2"/>
  <c r="F4100" i="2"/>
  <c r="F4099" i="2"/>
  <c r="F4098" i="2"/>
  <c r="F4097" i="2"/>
  <c r="F4096" i="2"/>
  <c r="F4095" i="2"/>
  <c r="F4094" i="2"/>
  <c r="F4093" i="2"/>
  <c r="F4092" i="2"/>
  <c r="F4091" i="2"/>
  <c r="F4090" i="2"/>
  <c r="F4089" i="2"/>
  <c r="F4088" i="2"/>
  <c r="F4087" i="2"/>
  <c r="F4086" i="2"/>
  <c r="F4085" i="2"/>
  <c r="F4084" i="2"/>
  <c r="F4083" i="2"/>
  <c r="F4082" i="2"/>
  <c r="F4081" i="2"/>
  <c r="F4080" i="2"/>
  <c r="F4079" i="2"/>
  <c r="F4078" i="2"/>
  <c r="F4077" i="2"/>
  <c r="F4076" i="2"/>
  <c r="F4075" i="2"/>
  <c r="F4074" i="2"/>
  <c r="F4073" i="2"/>
  <c r="F4072" i="2"/>
  <c r="F4071" i="2"/>
  <c r="F4070" i="2"/>
  <c r="F4069" i="2"/>
  <c r="F4068" i="2"/>
  <c r="F4067" i="2"/>
  <c r="F4066" i="2"/>
  <c r="F4065" i="2"/>
  <c r="F4064" i="2"/>
  <c r="F4063" i="2"/>
  <c r="F4062" i="2"/>
  <c r="F4061" i="2"/>
  <c r="F4060" i="2"/>
  <c r="F4059" i="2"/>
  <c r="F4058" i="2"/>
  <c r="F4057" i="2"/>
  <c r="F4056" i="2"/>
  <c r="F4055" i="2"/>
  <c r="F4054" i="2"/>
  <c r="F4053" i="2"/>
  <c r="F4052" i="2"/>
  <c r="F4051" i="2"/>
  <c r="F4050" i="2"/>
  <c r="F4049" i="2"/>
  <c r="F4048" i="2"/>
  <c r="F4047" i="2"/>
  <c r="F4046" i="2"/>
  <c r="F4045" i="2"/>
  <c r="F4044" i="2"/>
  <c r="F4043" i="2"/>
  <c r="F4042" i="2"/>
  <c r="F4041" i="2"/>
  <c r="F4040" i="2"/>
  <c r="F4039" i="2"/>
  <c r="F4038" i="2"/>
  <c r="F4037" i="2"/>
  <c r="F4036" i="2"/>
  <c r="F4035" i="2"/>
  <c r="F4034" i="2"/>
  <c r="F4033" i="2"/>
  <c r="F4032" i="2"/>
  <c r="F4031" i="2"/>
  <c r="F4030" i="2"/>
  <c r="F4029" i="2"/>
  <c r="F4028" i="2"/>
  <c r="F4027" i="2"/>
  <c r="F4026" i="2"/>
  <c r="F4025" i="2"/>
  <c r="F4024" i="2"/>
  <c r="F4023" i="2"/>
  <c r="F4022" i="2"/>
  <c r="F4021" i="2"/>
  <c r="F4020" i="2"/>
  <c r="F4019" i="2"/>
  <c r="F4018" i="2"/>
  <c r="F4017" i="2"/>
  <c r="F4016" i="2"/>
  <c r="F4015" i="2"/>
  <c r="F4014" i="2"/>
  <c r="F4013" i="2"/>
  <c r="F4012" i="2"/>
  <c r="F4011" i="2"/>
  <c r="F4010" i="2"/>
  <c r="F4009" i="2"/>
  <c r="F4008" i="2"/>
  <c r="F4007" i="2"/>
  <c r="F4006" i="2"/>
  <c r="F4005" i="2"/>
  <c r="F4004" i="2"/>
  <c r="F4003" i="2"/>
  <c r="F4002" i="2"/>
  <c r="F4001" i="2"/>
  <c r="F4000" i="2"/>
  <c r="F3999" i="2"/>
  <c r="F3998" i="2"/>
  <c r="F3997" i="2"/>
  <c r="F3996" i="2"/>
  <c r="F3995" i="2"/>
  <c r="F3994" i="2"/>
  <c r="F3993" i="2"/>
  <c r="F3992" i="2"/>
  <c r="F3991" i="2"/>
  <c r="F3990" i="2"/>
  <c r="F3989" i="2"/>
  <c r="F3988" i="2"/>
  <c r="F3987" i="2"/>
  <c r="F3986" i="2"/>
  <c r="F3985" i="2"/>
  <c r="F3984" i="2"/>
  <c r="F3983" i="2"/>
  <c r="F3982" i="2"/>
  <c r="F3981" i="2"/>
  <c r="F3980" i="2"/>
  <c r="F3979" i="2"/>
  <c r="F3978" i="2"/>
  <c r="F3977" i="2"/>
  <c r="F3976" i="2"/>
  <c r="F3975" i="2"/>
  <c r="F3974" i="2"/>
  <c r="F3973" i="2"/>
  <c r="F3972" i="2"/>
  <c r="F3971" i="2"/>
  <c r="F3970" i="2"/>
  <c r="F3969" i="2"/>
  <c r="F3968" i="2"/>
  <c r="F3967" i="2"/>
  <c r="F3966" i="2"/>
  <c r="F3965" i="2"/>
  <c r="F3964" i="2"/>
  <c r="F3963" i="2"/>
  <c r="F3962" i="2"/>
  <c r="F3961" i="2"/>
  <c r="F3960" i="2"/>
  <c r="F3959" i="2"/>
  <c r="F3958" i="2"/>
  <c r="F3957" i="2"/>
  <c r="F3956" i="2"/>
  <c r="F3955" i="2"/>
  <c r="F3954" i="2"/>
  <c r="F3953" i="2"/>
  <c r="F3952" i="2"/>
  <c r="F3951" i="2"/>
  <c r="F3950" i="2"/>
  <c r="F3949" i="2"/>
  <c r="F3948" i="2"/>
  <c r="F3947" i="2"/>
  <c r="F3946" i="2"/>
  <c r="F3945" i="2"/>
  <c r="F3944" i="2"/>
  <c r="F3943" i="2"/>
  <c r="F3942" i="2"/>
  <c r="F3941" i="2"/>
  <c r="F3940" i="2"/>
  <c r="F3939" i="2"/>
  <c r="F3938" i="2"/>
  <c r="F3937" i="2"/>
  <c r="F3936" i="2"/>
  <c r="F3935" i="2"/>
  <c r="F3934" i="2"/>
  <c r="F3933" i="2"/>
  <c r="F3932" i="2"/>
  <c r="F3931" i="2"/>
  <c r="F3930" i="2"/>
  <c r="F3929" i="2"/>
  <c r="F3928" i="2"/>
  <c r="F3927" i="2"/>
  <c r="F3926" i="2"/>
  <c r="F3925" i="2"/>
  <c r="F3924" i="2"/>
  <c r="F3923" i="2"/>
  <c r="F3922" i="2"/>
  <c r="F3921" i="2"/>
  <c r="F3920" i="2"/>
  <c r="F3919" i="2"/>
  <c r="F3918" i="2"/>
  <c r="F3917" i="2"/>
  <c r="F3916" i="2"/>
  <c r="F3915" i="2"/>
  <c r="F3914" i="2"/>
  <c r="F3913" i="2"/>
  <c r="F3912" i="2"/>
  <c r="F3911" i="2"/>
  <c r="F3910" i="2"/>
  <c r="F3909" i="2"/>
  <c r="F3908" i="2"/>
  <c r="F3907" i="2"/>
  <c r="F3906" i="2"/>
  <c r="F3905" i="2"/>
  <c r="F3904" i="2"/>
  <c r="F3903" i="2"/>
  <c r="F3902" i="2"/>
  <c r="F3901" i="2"/>
  <c r="F3900" i="2"/>
  <c r="F3899" i="2"/>
  <c r="F3898" i="2"/>
  <c r="F3897" i="2"/>
  <c r="F3896" i="2"/>
  <c r="F3895" i="2"/>
  <c r="F3894" i="2"/>
  <c r="F3893" i="2"/>
  <c r="F3892" i="2"/>
  <c r="F3891" i="2"/>
  <c r="F3890" i="2"/>
  <c r="F3889" i="2"/>
  <c r="F3888" i="2"/>
  <c r="F3887" i="2"/>
  <c r="F3886" i="2"/>
  <c r="F3885" i="2"/>
  <c r="F3884" i="2"/>
  <c r="F3883" i="2"/>
  <c r="F3882" i="2"/>
  <c r="F3881" i="2"/>
  <c r="F3880" i="2"/>
  <c r="F3879" i="2"/>
  <c r="F3878" i="2"/>
  <c r="F3877" i="2"/>
  <c r="F3876" i="2"/>
  <c r="F3875" i="2"/>
  <c r="F3874" i="2"/>
  <c r="F3873" i="2"/>
  <c r="F3872" i="2"/>
  <c r="F3871" i="2"/>
  <c r="F3870" i="2"/>
  <c r="F3869" i="2"/>
  <c r="F3868" i="2"/>
  <c r="F3867" i="2"/>
  <c r="F3866" i="2"/>
  <c r="F3865" i="2"/>
  <c r="F3864" i="2"/>
  <c r="F3863" i="2"/>
  <c r="F3862" i="2"/>
  <c r="F3861" i="2"/>
  <c r="F3860" i="2"/>
  <c r="F3859" i="2"/>
  <c r="F3858" i="2"/>
  <c r="F3857" i="2"/>
  <c r="F3856" i="2"/>
  <c r="F3855" i="2"/>
  <c r="F3854" i="2"/>
  <c r="F3853" i="2"/>
  <c r="F3852" i="2"/>
  <c r="F3851" i="2"/>
  <c r="F3850" i="2"/>
  <c r="F3849" i="2"/>
  <c r="F3848" i="2"/>
  <c r="F3847" i="2"/>
  <c r="F3846" i="2"/>
  <c r="F3845" i="2"/>
  <c r="F3844" i="2"/>
  <c r="F3843" i="2"/>
  <c r="F3842" i="2"/>
  <c r="F3841" i="2"/>
  <c r="F3840" i="2"/>
  <c r="F3839" i="2"/>
  <c r="F3838" i="2"/>
  <c r="F3837" i="2"/>
  <c r="F3836" i="2"/>
  <c r="F3835" i="2"/>
  <c r="F3834" i="2"/>
  <c r="F3833" i="2"/>
  <c r="F3832" i="2"/>
  <c r="F3831" i="2"/>
  <c r="F3830" i="2"/>
  <c r="F3829" i="2"/>
  <c r="F3828" i="2"/>
  <c r="F3827" i="2"/>
  <c r="F3826" i="2"/>
  <c r="F3825" i="2"/>
  <c r="F3824" i="2"/>
  <c r="F3823" i="2"/>
  <c r="F3822" i="2"/>
  <c r="F3821" i="2"/>
  <c r="F3820" i="2"/>
  <c r="F3819" i="2"/>
  <c r="F3818" i="2"/>
  <c r="F3817" i="2"/>
  <c r="F3816" i="2"/>
  <c r="F3815" i="2"/>
  <c r="F3814" i="2"/>
  <c r="F3813" i="2"/>
  <c r="F3812" i="2"/>
  <c r="F3811" i="2"/>
  <c r="F3810" i="2"/>
  <c r="F3809" i="2"/>
  <c r="F3808" i="2"/>
  <c r="F3807" i="2"/>
  <c r="F3806" i="2"/>
  <c r="F3805" i="2"/>
  <c r="F3804" i="2"/>
  <c r="F3803" i="2"/>
  <c r="F3802" i="2"/>
  <c r="F3801" i="2"/>
  <c r="F3800" i="2"/>
  <c r="F3799" i="2"/>
  <c r="F3798" i="2"/>
  <c r="F3797" i="2"/>
  <c r="F3796" i="2"/>
  <c r="F3795" i="2"/>
  <c r="F3794" i="2"/>
  <c r="F3793" i="2"/>
  <c r="F3792" i="2"/>
  <c r="F3791" i="2"/>
  <c r="F3790" i="2"/>
  <c r="F3789" i="2"/>
  <c r="F3788" i="2"/>
  <c r="F3787" i="2"/>
  <c r="F3786" i="2"/>
  <c r="F3785" i="2"/>
  <c r="F3784" i="2"/>
  <c r="F3783" i="2"/>
  <c r="F3782" i="2"/>
  <c r="F3781" i="2"/>
  <c r="F3780" i="2"/>
  <c r="F3779" i="2"/>
  <c r="F3778" i="2"/>
  <c r="F3777" i="2"/>
  <c r="F3776" i="2"/>
  <c r="F3775" i="2"/>
  <c r="F3774" i="2"/>
  <c r="F3773" i="2"/>
  <c r="F3772" i="2"/>
  <c r="F3771" i="2"/>
  <c r="F3770" i="2"/>
  <c r="F3769" i="2"/>
  <c r="F3768" i="2"/>
  <c r="F3767" i="2"/>
  <c r="F3766" i="2"/>
  <c r="F3765" i="2"/>
  <c r="F3764" i="2"/>
  <c r="F3763" i="2"/>
  <c r="F3762" i="2"/>
  <c r="F3761" i="2"/>
  <c r="F3760" i="2"/>
  <c r="F3759" i="2"/>
  <c r="F3758" i="2"/>
  <c r="F3757" i="2"/>
  <c r="F3756" i="2"/>
  <c r="F3755" i="2"/>
  <c r="F3754" i="2"/>
  <c r="F3753" i="2"/>
  <c r="F3752" i="2"/>
  <c r="F3751" i="2"/>
  <c r="F3750" i="2"/>
  <c r="F3749" i="2"/>
  <c r="F3748" i="2"/>
  <c r="F3747" i="2"/>
  <c r="F3746" i="2"/>
  <c r="F3745" i="2"/>
  <c r="F3744" i="2"/>
  <c r="F3743" i="2"/>
  <c r="F3742" i="2"/>
  <c r="F3741" i="2"/>
  <c r="F3740" i="2"/>
  <c r="F3739" i="2"/>
  <c r="F3738" i="2"/>
  <c r="F3737" i="2"/>
  <c r="F3736" i="2"/>
  <c r="F3735" i="2"/>
  <c r="F3734" i="2"/>
  <c r="F3733" i="2"/>
  <c r="F3732" i="2"/>
  <c r="F3731" i="2"/>
  <c r="F3730" i="2"/>
  <c r="F3729" i="2"/>
  <c r="F3728" i="2"/>
  <c r="F3727" i="2"/>
  <c r="F3726" i="2"/>
  <c r="F3725" i="2"/>
  <c r="F3724" i="2"/>
  <c r="F3723" i="2"/>
  <c r="F3722" i="2"/>
  <c r="F3721" i="2"/>
  <c r="F3720" i="2"/>
  <c r="F3719" i="2"/>
  <c r="F3718" i="2"/>
  <c r="F3717" i="2"/>
  <c r="F3716" i="2"/>
  <c r="F3715" i="2"/>
  <c r="F3714" i="2"/>
  <c r="F3713" i="2"/>
  <c r="F3712" i="2"/>
  <c r="F3711" i="2"/>
  <c r="F3710" i="2"/>
  <c r="F3709" i="2"/>
  <c r="F3708" i="2"/>
  <c r="F3707" i="2"/>
  <c r="F3706" i="2"/>
  <c r="F3705" i="2"/>
  <c r="F3704" i="2"/>
  <c r="F3703" i="2"/>
  <c r="F3702" i="2"/>
  <c r="F3701" i="2"/>
  <c r="F3700" i="2"/>
  <c r="F3699" i="2"/>
  <c r="F3698" i="2"/>
  <c r="F3697" i="2"/>
  <c r="F3696" i="2"/>
  <c r="F3695" i="2"/>
  <c r="F3694" i="2"/>
  <c r="F3693" i="2"/>
  <c r="F3692" i="2"/>
  <c r="F3691" i="2"/>
  <c r="F3690" i="2"/>
  <c r="F3689" i="2"/>
  <c r="F3688" i="2"/>
  <c r="F3687" i="2"/>
  <c r="F3686" i="2"/>
  <c r="F3685" i="2"/>
  <c r="F3684" i="2"/>
  <c r="F3683" i="2"/>
  <c r="F3682" i="2"/>
  <c r="F3681" i="2"/>
  <c r="F3680" i="2"/>
  <c r="F3679" i="2"/>
  <c r="F3678" i="2"/>
  <c r="F3677" i="2"/>
  <c r="F3676" i="2"/>
  <c r="F3675" i="2"/>
  <c r="F3674" i="2"/>
  <c r="F3673" i="2"/>
  <c r="F3672" i="2"/>
  <c r="F3671" i="2"/>
  <c r="F3670" i="2"/>
  <c r="F3669" i="2"/>
  <c r="F3668" i="2"/>
  <c r="F3667" i="2"/>
  <c r="F3666" i="2"/>
  <c r="F3665" i="2"/>
  <c r="F3664" i="2"/>
  <c r="F3663" i="2"/>
  <c r="F3662" i="2"/>
  <c r="F3661" i="2"/>
  <c r="F3660" i="2"/>
  <c r="F3659" i="2"/>
  <c r="F3658" i="2"/>
  <c r="F3657" i="2"/>
  <c r="F3656" i="2"/>
  <c r="F3655" i="2"/>
  <c r="F3654" i="2"/>
  <c r="F3653" i="2"/>
  <c r="F3652" i="2"/>
  <c r="F3651" i="2"/>
  <c r="F3650" i="2"/>
  <c r="F3649" i="2"/>
  <c r="F3648" i="2"/>
  <c r="F3647" i="2"/>
  <c r="F3646" i="2"/>
  <c r="F3645" i="2"/>
  <c r="F3644" i="2"/>
  <c r="F3643" i="2"/>
  <c r="F3642" i="2"/>
  <c r="F3641" i="2"/>
  <c r="F3640" i="2"/>
  <c r="F3639" i="2"/>
  <c r="F3638" i="2"/>
  <c r="F3637" i="2"/>
  <c r="F3636" i="2"/>
  <c r="F3635" i="2"/>
  <c r="F3634" i="2"/>
  <c r="F3633" i="2"/>
  <c r="F3632" i="2"/>
  <c r="F3631" i="2"/>
  <c r="F3630" i="2"/>
  <c r="F3629" i="2"/>
  <c r="F3628" i="2"/>
  <c r="F3627" i="2"/>
  <c r="F3626" i="2"/>
  <c r="F3625" i="2"/>
  <c r="F3624" i="2"/>
  <c r="F3623" i="2"/>
  <c r="F3622" i="2"/>
  <c r="F3621" i="2"/>
  <c r="F3620" i="2"/>
  <c r="F3619" i="2"/>
  <c r="F3618" i="2"/>
  <c r="F3617" i="2"/>
  <c r="F3616" i="2"/>
  <c r="F3615" i="2"/>
  <c r="F3614" i="2"/>
  <c r="F3613" i="2"/>
  <c r="F3612" i="2"/>
  <c r="F3611" i="2"/>
  <c r="F3610" i="2"/>
  <c r="F3609" i="2"/>
  <c r="F3608" i="2"/>
  <c r="F3607" i="2"/>
  <c r="F3606" i="2"/>
  <c r="F3605" i="2"/>
  <c r="F3604" i="2"/>
  <c r="F3603" i="2"/>
  <c r="F3602" i="2"/>
  <c r="F3601" i="2"/>
  <c r="F3600" i="2"/>
  <c r="F3599" i="2"/>
  <c r="F3598" i="2"/>
  <c r="F3597" i="2"/>
  <c r="F3596" i="2"/>
  <c r="F3595" i="2"/>
  <c r="F3594" i="2"/>
  <c r="F3593" i="2"/>
  <c r="F3592" i="2"/>
  <c r="F3591" i="2"/>
  <c r="F3590" i="2"/>
  <c r="F3589" i="2"/>
  <c r="F3588" i="2"/>
  <c r="F3587" i="2"/>
  <c r="F3586" i="2"/>
  <c r="F3585" i="2"/>
  <c r="F3584" i="2"/>
  <c r="F3583" i="2"/>
  <c r="F3582" i="2"/>
  <c r="F3581" i="2"/>
  <c r="F3580" i="2"/>
  <c r="F3579" i="2"/>
  <c r="F3578" i="2"/>
  <c r="F3577" i="2"/>
  <c r="F3576" i="2"/>
  <c r="F3575" i="2"/>
  <c r="F3574" i="2"/>
  <c r="F3573" i="2"/>
  <c r="F3572" i="2"/>
  <c r="F3571" i="2"/>
  <c r="F3570" i="2"/>
  <c r="F3569" i="2"/>
  <c r="F3568" i="2"/>
  <c r="F3567" i="2"/>
  <c r="F3566" i="2"/>
  <c r="F3565" i="2"/>
  <c r="F3564" i="2"/>
  <c r="F3563" i="2"/>
  <c r="F3562" i="2"/>
  <c r="F3561" i="2"/>
  <c r="F3560" i="2"/>
  <c r="F3559" i="2"/>
  <c r="F3558" i="2"/>
  <c r="F3557" i="2"/>
  <c r="F3556" i="2"/>
  <c r="F3555" i="2"/>
  <c r="F3554" i="2"/>
  <c r="F3553" i="2"/>
  <c r="F3552" i="2"/>
  <c r="F3551" i="2"/>
  <c r="F3550" i="2"/>
  <c r="F3549" i="2"/>
  <c r="F3548" i="2"/>
  <c r="F3547" i="2"/>
  <c r="F3546" i="2"/>
  <c r="F3545" i="2"/>
  <c r="F3544" i="2"/>
  <c r="F3543" i="2"/>
  <c r="F3542" i="2"/>
  <c r="F3541" i="2"/>
  <c r="F3540" i="2"/>
  <c r="F3539" i="2"/>
  <c r="F3538" i="2"/>
  <c r="F3537" i="2"/>
  <c r="F3536" i="2"/>
  <c r="F3535" i="2"/>
  <c r="F3534" i="2"/>
  <c r="F3533" i="2"/>
  <c r="F3532" i="2"/>
  <c r="F3531" i="2"/>
  <c r="F3530" i="2"/>
  <c r="F3529" i="2"/>
  <c r="F3528" i="2"/>
  <c r="F3527" i="2"/>
  <c r="F3526" i="2"/>
  <c r="F3525" i="2"/>
  <c r="F3524" i="2"/>
  <c r="F3523" i="2"/>
  <c r="F3522" i="2"/>
  <c r="F3521" i="2"/>
  <c r="F3520" i="2"/>
  <c r="F3519" i="2"/>
  <c r="F3518" i="2"/>
  <c r="F3517" i="2"/>
  <c r="F3516" i="2"/>
  <c r="F3515" i="2"/>
  <c r="F3514" i="2"/>
  <c r="F3513" i="2"/>
  <c r="F3512" i="2"/>
  <c r="F3511" i="2"/>
  <c r="F3510" i="2"/>
  <c r="F3509" i="2"/>
  <c r="F3508" i="2"/>
  <c r="F3507" i="2"/>
  <c r="F3506" i="2"/>
  <c r="F3505" i="2"/>
  <c r="F3504" i="2"/>
  <c r="F3503" i="2"/>
  <c r="F3502" i="2"/>
  <c r="F3501" i="2"/>
  <c r="F3500" i="2"/>
  <c r="F3499" i="2"/>
  <c r="F3498" i="2"/>
  <c r="F3497" i="2"/>
  <c r="F3496" i="2"/>
  <c r="F3495" i="2"/>
  <c r="F3494" i="2"/>
  <c r="F3493" i="2"/>
  <c r="F3492" i="2"/>
  <c r="F3491" i="2"/>
  <c r="F3490" i="2"/>
  <c r="F3489" i="2"/>
  <c r="F3488" i="2"/>
  <c r="F3487" i="2"/>
  <c r="F3486" i="2"/>
  <c r="F3485" i="2"/>
  <c r="F3484" i="2"/>
  <c r="F3483" i="2"/>
  <c r="F3482" i="2"/>
  <c r="F3481" i="2"/>
  <c r="F3480" i="2"/>
  <c r="F3479" i="2"/>
  <c r="F3478" i="2"/>
  <c r="F3477" i="2"/>
  <c r="F3476" i="2"/>
  <c r="F3475" i="2"/>
  <c r="F3474" i="2"/>
  <c r="F3473" i="2"/>
  <c r="F3472" i="2"/>
  <c r="F3471" i="2"/>
  <c r="F3470" i="2"/>
  <c r="F3469" i="2"/>
  <c r="F3468" i="2"/>
  <c r="F3467" i="2"/>
  <c r="F3466" i="2"/>
  <c r="F3465" i="2"/>
  <c r="F3464" i="2"/>
  <c r="F3463" i="2"/>
  <c r="F3462" i="2"/>
  <c r="F3461" i="2"/>
  <c r="F3460" i="2"/>
  <c r="F3459" i="2"/>
  <c r="F3458" i="2"/>
  <c r="F3457" i="2"/>
  <c r="F3456" i="2"/>
  <c r="F3455" i="2"/>
  <c r="F3454" i="2"/>
  <c r="F3453" i="2"/>
  <c r="F3452" i="2"/>
  <c r="F3451" i="2"/>
  <c r="F3450" i="2"/>
  <c r="F3449" i="2"/>
  <c r="F3448" i="2"/>
  <c r="F3447" i="2"/>
  <c r="F3446" i="2"/>
  <c r="F3445" i="2"/>
  <c r="F3444" i="2"/>
  <c r="F3443" i="2"/>
  <c r="F3442" i="2"/>
  <c r="F3441" i="2"/>
  <c r="F3440" i="2"/>
  <c r="F3439" i="2"/>
  <c r="F3438" i="2"/>
  <c r="F3437" i="2"/>
  <c r="F3436" i="2"/>
  <c r="F3435" i="2"/>
  <c r="F3434" i="2"/>
  <c r="F3433" i="2"/>
  <c r="F3432" i="2"/>
  <c r="F3431" i="2"/>
  <c r="F3430" i="2"/>
  <c r="F3429" i="2"/>
  <c r="F3428" i="2"/>
  <c r="F3427" i="2"/>
  <c r="F3426" i="2"/>
  <c r="F3425" i="2"/>
  <c r="F3424" i="2"/>
  <c r="F3423" i="2"/>
  <c r="F3422" i="2"/>
  <c r="F3421" i="2"/>
  <c r="F3420" i="2"/>
  <c r="F3419" i="2"/>
  <c r="F3418" i="2"/>
  <c r="F3417" i="2"/>
  <c r="F3416" i="2"/>
  <c r="F3415" i="2"/>
  <c r="F3414" i="2"/>
  <c r="F3413" i="2"/>
  <c r="F3412" i="2"/>
  <c r="F3411" i="2"/>
  <c r="F3410" i="2"/>
  <c r="F3409" i="2"/>
  <c r="F3408" i="2"/>
  <c r="F3407" i="2"/>
  <c r="F3406" i="2"/>
  <c r="F3405" i="2"/>
  <c r="F3404" i="2"/>
  <c r="F3403" i="2"/>
  <c r="F3402" i="2"/>
  <c r="F3401" i="2"/>
  <c r="F3400" i="2"/>
  <c r="F3399" i="2"/>
  <c r="F3398" i="2"/>
  <c r="F3397" i="2"/>
  <c r="F3396" i="2"/>
  <c r="F3395" i="2"/>
  <c r="F3394" i="2"/>
  <c r="F3393" i="2"/>
  <c r="F3392" i="2"/>
  <c r="F3391" i="2"/>
  <c r="F3390" i="2"/>
  <c r="F3389" i="2"/>
  <c r="F3388" i="2"/>
  <c r="F3387" i="2"/>
  <c r="F3386" i="2"/>
  <c r="F3385" i="2"/>
  <c r="F3384" i="2"/>
  <c r="F3383" i="2"/>
  <c r="F3382" i="2"/>
  <c r="F3381" i="2"/>
  <c r="F3380" i="2"/>
  <c r="F3379" i="2"/>
  <c r="F3378" i="2"/>
  <c r="F3377" i="2"/>
  <c r="F3376" i="2"/>
  <c r="F3375" i="2"/>
  <c r="F3374" i="2"/>
  <c r="F3373" i="2"/>
  <c r="F3372" i="2"/>
  <c r="F3371" i="2"/>
  <c r="F3370" i="2"/>
  <c r="F3369" i="2"/>
  <c r="F3368" i="2"/>
  <c r="F3367" i="2"/>
  <c r="F3366" i="2"/>
  <c r="F3365" i="2"/>
  <c r="F3364" i="2"/>
  <c r="F3363" i="2"/>
  <c r="F3362" i="2"/>
  <c r="F3361" i="2"/>
  <c r="F3360" i="2"/>
  <c r="F3359" i="2"/>
  <c r="F3358" i="2"/>
  <c r="F3357" i="2"/>
  <c r="F3356" i="2"/>
  <c r="F3355" i="2"/>
  <c r="F3354" i="2"/>
  <c r="F3353" i="2"/>
  <c r="F3352" i="2"/>
  <c r="F3351" i="2"/>
  <c r="F3350" i="2"/>
  <c r="F3349" i="2"/>
  <c r="F3348" i="2"/>
  <c r="F3347" i="2"/>
  <c r="F3346" i="2"/>
  <c r="F3345" i="2"/>
  <c r="F3344" i="2"/>
  <c r="F3343" i="2"/>
  <c r="F3342" i="2"/>
  <c r="F3341" i="2"/>
  <c r="F3340" i="2"/>
  <c r="F3339" i="2"/>
  <c r="F3338" i="2"/>
  <c r="F3337" i="2"/>
  <c r="F3336" i="2"/>
  <c r="F3335" i="2"/>
  <c r="F3334" i="2"/>
  <c r="F3333" i="2"/>
  <c r="F3332" i="2"/>
  <c r="F3331" i="2"/>
  <c r="F3330" i="2"/>
  <c r="F3329" i="2"/>
  <c r="F3328" i="2"/>
  <c r="F3327" i="2"/>
  <c r="F3326" i="2"/>
  <c r="F3325" i="2"/>
  <c r="F3324" i="2"/>
  <c r="F3323" i="2"/>
  <c r="F3322" i="2"/>
  <c r="F3321" i="2"/>
  <c r="F3320" i="2"/>
  <c r="F3319" i="2"/>
  <c r="F3318" i="2"/>
  <c r="F3317" i="2"/>
  <c r="F3316" i="2"/>
  <c r="F3315" i="2"/>
  <c r="F3314" i="2"/>
  <c r="F3313" i="2"/>
  <c r="F3312" i="2"/>
  <c r="F3311" i="2"/>
  <c r="F3310" i="2"/>
  <c r="F3309" i="2"/>
  <c r="F3308" i="2"/>
  <c r="F3307" i="2"/>
  <c r="F3306" i="2"/>
  <c r="F3305" i="2"/>
  <c r="F3304" i="2"/>
  <c r="F3303" i="2"/>
  <c r="F3302" i="2"/>
  <c r="F3301" i="2"/>
  <c r="F3300" i="2"/>
  <c r="F3299" i="2"/>
  <c r="F3298" i="2"/>
  <c r="F3297" i="2"/>
  <c r="F3296" i="2"/>
  <c r="F3295" i="2"/>
  <c r="F3294" i="2"/>
  <c r="F3293" i="2"/>
  <c r="F3292" i="2"/>
  <c r="F3291" i="2"/>
  <c r="F3290" i="2"/>
  <c r="F3289" i="2"/>
  <c r="F3288" i="2"/>
  <c r="F3287" i="2"/>
  <c r="F3286" i="2"/>
  <c r="F3285" i="2"/>
  <c r="F3284" i="2"/>
  <c r="F3283" i="2"/>
  <c r="F3282" i="2"/>
  <c r="F3281" i="2"/>
  <c r="F3280" i="2"/>
  <c r="F3279" i="2"/>
  <c r="F3278" i="2"/>
  <c r="F3277" i="2"/>
  <c r="F3276" i="2"/>
  <c r="F3275" i="2"/>
  <c r="F3274" i="2"/>
  <c r="F3273" i="2"/>
  <c r="F3272" i="2"/>
  <c r="F3271" i="2"/>
  <c r="F3270" i="2"/>
  <c r="F3269" i="2"/>
  <c r="F3268" i="2"/>
  <c r="F3267" i="2"/>
  <c r="F3266" i="2"/>
  <c r="F3265" i="2"/>
  <c r="F3264" i="2"/>
  <c r="F3263" i="2"/>
  <c r="F3262" i="2"/>
  <c r="F3261" i="2"/>
  <c r="F3260" i="2"/>
  <c r="F3259" i="2"/>
  <c r="F3258" i="2"/>
  <c r="F3257" i="2"/>
  <c r="F3256" i="2"/>
  <c r="F3255" i="2"/>
  <c r="F3254" i="2"/>
  <c r="F3253" i="2"/>
  <c r="F3252" i="2"/>
  <c r="F3251" i="2"/>
  <c r="F3250" i="2"/>
  <c r="F3249" i="2"/>
  <c r="F3248" i="2"/>
  <c r="F3247" i="2"/>
  <c r="F3246" i="2"/>
  <c r="F3245" i="2"/>
  <c r="F3244" i="2"/>
  <c r="F3243" i="2"/>
  <c r="F3242" i="2"/>
  <c r="F3241" i="2"/>
  <c r="F3240" i="2"/>
  <c r="F3239" i="2"/>
  <c r="F3238" i="2"/>
  <c r="F3237" i="2"/>
  <c r="F3236" i="2"/>
  <c r="F3235" i="2"/>
  <c r="F3234" i="2"/>
  <c r="F3233" i="2"/>
  <c r="F3232" i="2"/>
  <c r="F3231" i="2"/>
  <c r="F3230" i="2"/>
  <c r="F3229" i="2"/>
  <c r="F3228" i="2"/>
  <c r="F3227" i="2"/>
  <c r="F3226" i="2"/>
  <c r="F3225" i="2"/>
  <c r="F3224" i="2"/>
  <c r="F3223" i="2"/>
  <c r="F3222" i="2"/>
  <c r="F3221" i="2"/>
  <c r="F3220" i="2"/>
  <c r="F3219" i="2"/>
  <c r="F3218" i="2"/>
  <c r="F3217" i="2"/>
  <c r="F3216" i="2"/>
  <c r="F3215" i="2"/>
  <c r="F3214" i="2"/>
  <c r="F3213" i="2"/>
  <c r="F3212" i="2"/>
  <c r="F3211" i="2"/>
  <c r="F3210" i="2"/>
  <c r="F3209" i="2"/>
  <c r="F3208" i="2"/>
  <c r="F3207" i="2"/>
  <c r="F3206" i="2"/>
  <c r="F3205" i="2"/>
  <c r="F3204" i="2"/>
  <c r="F3203" i="2"/>
  <c r="F3202" i="2"/>
  <c r="F3201" i="2"/>
  <c r="F3200" i="2"/>
  <c r="F3199" i="2"/>
  <c r="F3198" i="2"/>
  <c r="F3197" i="2"/>
  <c r="F3196" i="2"/>
  <c r="F3195" i="2"/>
  <c r="F3194" i="2"/>
  <c r="F3193" i="2"/>
  <c r="F3192" i="2"/>
  <c r="F3191" i="2"/>
  <c r="F3190" i="2"/>
  <c r="F3189" i="2"/>
  <c r="F3188" i="2"/>
  <c r="F3187" i="2"/>
  <c r="F3186" i="2"/>
  <c r="F3185" i="2"/>
  <c r="F3184" i="2"/>
  <c r="F3183" i="2"/>
  <c r="F3182" i="2"/>
  <c r="F3181" i="2"/>
  <c r="F3180" i="2"/>
  <c r="F3179" i="2"/>
  <c r="F3178" i="2"/>
  <c r="F3177" i="2"/>
  <c r="F3176" i="2"/>
  <c r="F3175" i="2"/>
  <c r="F3174" i="2"/>
  <c r="F3173" i="2"/>
  <c r="F3172" i="2"/>
  <c r="F3171" i="2"/>
  <c r="F3170" i="2"/>
  <c r="F3169" i="2"/>
  <c r="F3168" i="2"/>
  <c r="F3167" i="2"/>
  <c r="F3166" i="2"/>
  <c r="F3165" i="2"/>
  <c r="F3164" i="2"/>
  <c r="F3163" i="2"/>
  <c r="F3162" i="2"/>
  <c r="F3161" i="2"/>
  <c r="F3160" i="2"/>
  <c r="F3159" i="2"/>
  <c r="F3158" i="2"/>
  <c r="F3157" i="2"/>
  <c r="F3156" i="2"/>
  <c r="F3155" i="2"/>
  <c r="F3154" i="2"/>
  <c r="F3153" i="2"/>
  <c r="F3152" i="2"/>
  <c r="F3151" i="2"/>
  <c r="F3150" i="2"/>
  <c r="F3149" i="2"/>
  <c r="F3148" i="2"/>
  <c r="F3147" i="2"/>
  <c r="F3146" i="2"/>
  <c r="F3145" i="2"/>
  <c r="F3144" i="2"/>
  <c r="F3143" i="2"/>
  <c r="F3142" i="2"/>
  <c r="F3141" i="2"/>
  <c r="F3140" i="2"/>
  <c r="F3139" i="2"/>
  <c r="F3138" i="2"/>
  <c r="F3137" i="2"/>
  <c r="F3136" i="2"/>
  <c r="F3135" i="2"/>
  <c r="F3134" i="2"/>
  <c r="F3133" i="2"/>
  <c r="F3132" i="2"/>
  <c r="F3131" i="2"/>
  <c r="F3130" i="2"/>
  <c r="F3129" i="2"/>
  <c r="F3128" i="2"/>
  <c r="F3127" i="2"/>
  <c r="F3126" i="2"/>
  <c r="F3125" i="2"/>
  <c r="F3124" i="2"/>
  <c r="F3123" i="2"/>
  <c r="F3122" i="2"/>
  <c r="F3121" i="2"/>
  <c r="F3120" i="2"/>
  <c r="F3119" i="2"/>
  <c r="F3118" i="2"/>
  <c r="F3117" i="2"/>
  <c r="F3116" i="2"/>
  <c r="F3115" i="2"/>
  <c r="F3114" i="2"/>
  <c r="F3113" i="2"/>
  <c r="F3112" i="2"/>
  <c r="F3111" i="2"/>
  <c r="F3110" i="2"/>
  <c r="F3109" i="2"/>
  <c r="F3108" i="2"/>
  <c r="F3107" i="2"/>
  <c r="F3106" i="2"/>
  <c r="F3105" i="2"/>
  <c r="F3104" i="2"/>
  <c r="F3103" i="2"/>
  <c r="F3102" i="2"/>
  <c r="F3101" i="2"/>
  <c r="F3100" i="2"/>
  <c r="F3099" i="2"/>
  <c r="F3098" i="2"/>
  <c r="F3097" i="2"/>
  <c r="F3096" i="2"/>
  <c r="F3095" i="2"/>
  <c r="F3094" i="2"/>
  <c r="F3093" i="2"/>
  <c r="F3092" i="2"/>
  <c r="F3091" i="2"/>
  <c r="F3090" i="2"/>
  <c r="F3089" i="2"/>
  <c r="F3088" i="2"/>
  <c r="F3087" i="2"/>
  <c r="F3086" i="2"/>
  <c r="F3085" i="2"/>
  <c r="F3084" i="2"/>
  <c r="F3083" i="2"/>
  <c r="F3082" i="2"/>
  <c r="F3081" i="2"/>
  <c r="F3080" i="2"/>
  <c r="F3079" i="2"/>
  <c r="F3078" i="2"/>
  <c r="F3077" i="2"/>
  <c r="F3076" i="2"/>
  <c r="F3075" i="2"/>
  <c r="F3074" i="2"/>
  <c r="F3073" i="2"/>
  <c r="F3072" i="2"/>
  <c r="F3071" i="2"/>
  <c r="F3070" i="2"/>
  <c r="F3069" i="2"/>
  <c r="F3068" i="2"/>
  <c r="F3067" i="2"/>
  <c r="F3066" i="2"/>
  <c r="F3065" i="2"/>
  <c r="F3064" i="2"/>
  <c r="F3063" i="2"/>
  <c r="F3062" i="2"/>
  <c r="F3061" i="2"/>
  <c r="F3060" i="2"/>
  <c r="F3059" i="2"/>
  <c r="F3058" i="2"/>
  <c r="F3057" i="2"/>
  <c r="F3056" i="2"/>
  <c r="F3055" i="2"/>
  <c r="F3054" i="2"/>
  <c r="F3053" i="2"/>
  <c r="F3052" i="2"/>
  <c r="F3051" i="2"/>
  <c r="F3050" i="2"/>
  <c r="F3049" i="2"/>
  <c r="F3048" i="2"/>
  <c r="F3047" i="2"/>
  <c r="F3046" i="2"/>
  <c r="F3045" i="2"/>
  <c r="F3044" i="2"/>
  <c r="F3043" i="2"/>
  <c r="F3042" i="2"/>
  <c r="F3041" i="2"/>
  <c r="F3040" i="2"/>
  <c r="F3039" i="2"/>
  <c r="F3038" i="2"/>
  <c r="F3037" i="2"/>
  <c r="F3036" i="2"/>
  <c r="F3035" i="2"/>
  <c r="F3034" i="2"/>
  <c r="F3033" i="2"/>
  <c r="F3032" i="2"/>
  <c r="F3031" i="2"/>
  <c r="F3030" i="2"/>
  <c r="F3029" i="2"/>
  <c r="F3028" i="2"/>
  <c r="F3027" i="2"/>
  <c r="F3026" i="2"/>
  <c r="F3025" i="2"/>
  <c r="F3024" i="2"/>
  <c r="F3023" i="2"/>
  <c r="F3022" i="2"/>
  <c r="F3021" i="2"/>
  <c r="F3020" i="2"/>
  <c r="F3019" i="2"/>
  <c r="F3018" i="2"/>
  <c r="F3017" i="2"/>
  <c r="F3016" i="2"/>
  <c r="F3015" i="2"/>
  <c r="F3014" i="2"/>
  <c r="F3013" i="2"/>
  <c r="F3012" i="2"/>
  <c r="F3011" i="2"/>
  <c r="F3010" i="2"/>
  <c r="F3009" i="2"/>
  <c r="F3008" i="2"/>
  <c r="F3007" i="2"/>
  <c r="F3006" i="2"/>
  <c r="F3005" i="2"/>
  <c r="F3004" i="2"/>
  <c r="F3003" i="2"/>
  <c r="F3002" i="2"/>
  <c r="F3001" i="2"/>
  <c r="F3000" i="2"/>
  <c r="F2999" i="2"/>
  <c r="F2998" i="2"/>
  <c r="F2997" i="2"/>
  <c r="F2996" i="2"/>
  <c r="F2995" i="2"/>
  <c r="F2994" i="2"/>
  <c r="F2993" i="2"/>
  <c r="F2992" i="2"/>
  <c r="F2991" i="2"/>
  <c r="F2990" i="2"/>
  <c r="F2989" i="2"/>
  <c r="F2988" i="2"/>
  <c r="F2987" i="2"/>
  <c r="F2986" i="2"/>
  <c r="F2985" i="2"/>
  <c r="F2984" i="2"/>
  <c r="F2983" i="2"/>
  <c r="F2982" i="2"/>
  <c r="F2981" i="2"/>
  <c r="F2980" i="2"/>
  <c r="F2979" i="2"/>
  <c r="F2978" i="2"/>
  <c r="F2977" i="2"/>
  <c r="F2976" i="2"/>
  <c r="F2975" i="2"/>
  <c r="F2974" i="2"/>
  <c r="F2973" i="2"/>
  <c r="F2972" i="2"/>
  <c r="F2971" i="2"/>
  <c r="F2970" i="2"/>
  <c r="F2969" i="2"/>
  <c r="F2968" i="2"/>
  <c r="F2967" i="2"/>
  <c r="F2966" i="2"/>
  <c r="F2965" i="2"/>
  <c r="F2964" i="2"/>
  <c r="F2963" i="2"/>
  <c r="F2962" i="2"/>
  <c r="F2961" i="2"/>
  <c r="F2960" i="2"/>
  <c r="F2959" i="2"/>
  <c r="F2958" i="2"/>
  <c r="F2957" i="2"/>
  <c r="F2956" i="2"/>
  <c r="F2955" i="2"/>
  <c r="F2954" i="2"/>
  <c r="F2953" i="2"/>
  <c r="F2952" i="2"/>
  <c r="F2951" i="2"/>
  <c r="F2950" i="2"/>
  <c r="F2949" i="2"/>
  <c r="F2948" i="2"/>
  <c r="F2947" i="2"/>
  <c r="F2946" i="2"/>
  <c r="F2945" i="2"/>
  <c r="F2944" i="2"/>
  <c r="F2943" i="2"/>
  <c r="F2942" i="2"/>
  <c r="F2941" i="2"/>
  <c r="F2940" i="2"/>
  <c r="F2939" i="2"/>
  <c r="F2938" i="2"/>
  <c r="F2937" i="2"/>
  <c r="F2936" i="2"/>
  <c r="F2935" i="2"/>
  <c r="F2934" i="2"/>
  <c r="F2933" i="2"/>
  <c r="F2932" i="2"/>
  <c r="F2931" i="2"/>
  <c r="F2930" i="2"/>
  <c r="F2929" i="2"/>
  <c r="F2928" i="2"/>
  <c r="F2927" i="2"/>
  <c r="F2926" i="2"/>
  <c r="F2925" i="2"/>
  <c r="F2924" i="2"/>
  <c r="F2923" i="2"/>
  <c r="F2922" i="2"/>
  <c r="F2921" i="2"/>
  <c r="F2920" i="2"/>
  <c r="F2919" i="2"/>
  <c r="F2918" i="2"/>
  <c r="F2917" i="2"/>
  <c r="F2916" i="2"/>
  <c r="F2915" i="2"/>
  <c r="F2914" i="2"/>
  <c r="F2913" i="2"/>
  <c r="F2912" i="2"/>
  <c r="F2911" i="2"/>
  <c r="F2910" i="2"/>
  <c r="F2909" i="2"/>
  <c r="F2908" i="2"/>
  <c r="F2907" i="2"/>
  <c r="F2906" i="2"/>
  <c r="F2905" i="2"/>
  <c r="F2904" i="2"/>
  <c r="F2903" i="2"/>
  <c r="F2902" i="2"/>
  <c r="F2901" i="2"/>
  <c r="F2900" i="2"/>
  <c r="F2899" i="2"/>
  <c r="F2898" i="2"/>
  <c r="F2897" i="2"/>
  <c r="F2896" i="2"/>
  <c r="F2895" i="2"/>
  <c r="F2894" i="2"/>
  <c r="F2893" i="2"/>
  <c r="F2892" i="2"/>
  <c r="F2891" i="2"/>
  <c r="F2890" i="2"/>
  <c r="F2889" i="2"/>
  <c r="F2888" i="2"/>
  <c r="F2887" i="2"/>
  <c r="F2886" i="2"/>
  <c r="F2885" i="2"/>
  <c r="F2884" i="2"/>
  <c r="F2883" i="2"/>
  <c r="F2882" i="2"/>
  <c r="F2881" i="2"/>
  <c r="F2880" i="2"/>
  <c r="F2879" i="2"/>
  <c r="F2878" i="2"/>
  <c r="F2877" i="2"/>
  <c r="F2876" i="2"/>
  <c r="F2875" i="2"/>
  <c r="F2874" i="2"/>
  <c r="F2873" i="2"/>
  <c r="F2872" i="2"/>
  <c r="F2871" i="2"/>
  <c r="F2870" i="2"/>
  <c r="F2869" i="2"/>
  <c r="F2868" i="2"/>
  <c r="F2867" i="2"/>
  <c r="F2866" i="2"/>
  <c r="F2865" i="2"/>
  <c r="F2864" i="2"/>
  <c r="F2863" i="2"/>
  <c r="F2862" i="2"/>
  <c r="F2861" i="2"/>
  <c r="F2860" i="2"/>
  <c r="F2859" i="2"/>
  <c r="F2858" i="2"/>
  <c r="F2857" i="2"/>
  <c r="F2856" i="2"/>
  <c r="F2855" i="2"/>
  <c r="F2854" i="2"/>
  <c r="F2853" i="2"/>
  <c r="F2852" i="2"/>
  <c r="F2851" i="2"/>
  <c r="F2850" i="2"/>
  <c r="F2849" i="2"/>
  <c r="F2848" i="2"/>
  <c r="F2847" i="2"/>
  <c r="F2846" i="2"/>
  <c r="F2845" i="2"/>
  <c r="F2844" i="2"/>
  <c r="F2843" i="2"/>
  <c r="F2842" i="2"/>
  <c r="F2841" i="2"/>
  <c r="F2840" i="2"/>
  <c r="F2839" i="2"/>
  <c r="F2838" i="2"/>
  <c r="F2837" i="2"/>
  <c r="F2836" i="2"/>
  <c r="F2835" i="2"/>
  <c r="F2834" i="2"/>
  <c r="F2833" i="2"/>
  <c r="F2832" i="2"/>
  <c r="F2831" i="2"/>
  <c r="F2830" i="2"/>
  <c r="F2829" i="2"/>
  <c r="F2828" i="2"/>
  <c r="F2827" i="2"/>
  <c r="F2826" i="2"/>
  <c r="F2825" i="2"/>
  <c r="F2824" i="2"/>
  <c r="F2823" i="2"/>
  <c r="F2822" i="2"/>
  <c r="F2821" i="2"/>
  <c r="F2820" i="2"/>
  <c r="F2819" i="2"/>
  <c r="F2818" i="2"/>
  <c r="F2817" i="2"/>
  <c r="F2816" i="2"/>
  <c r="F2815" i="2"/>
  <c r="F2814" i="2"/>
  <c r="F2813" i="2"/>
  <c r="F2812" i="2"/>
  <c r="F2811" i="2"/>
  <c r="F2810" i="2"/>
  <c r="F2809" i="2"/>
  <c r="F2808" i="2"/>
  <c r="F2807" i="2"/>
  <c r="F2806" i="2"/>
  <c r="F2805" i="2"/>
  <c r="F2804" i="2"/>
  <c r="F2803" i="2"/>
  <c r="F2802" i="2"/>
  <c r="F2801" i="2"/>
  <c r="F2800" i="2"/>
  <c r="F2799" i="2"/>
  <c r="F2798" i="2"/>
  <c r="F2797" i="2"/>
  <c r="F2796" i="2"/>
  <c r="F2795" i="2"/>
  <c r="F2794" i="2"/>
  <c r="F2793" i="2"/>
  <c r="F2792" i="2"/>
  <c r="F2791" i="2"/>
  <c r="F2790" i="2"/>
  <c r="F2789" i="2"/>
  <c r="F2788" i="2"/>
  <c r="F2787" i="2"/>
  <c r="F2786" i="2"/>
  <c r="F2785" i="2"/>
  <c r="F2784" i="2"/>
  <c r="F2783" i="2"/>
  <c r="F2782" i="2"/>
  <c r="F2781" i="2"/>
  <c r="F2780" i="2"/>
  <c r="F2779" i="2"/>
  <c r="F2778" i="2"/>
  <c r="F2777" i="2"/>
  <c r="F2776" i="2"/>
  <c r="F2775" i="2"/>
  <c r="F2774" i="2"/>
  <c r="F2773" i="2"/>
  <c r="F2772" i="2"/>
  <c r="F2771" i="2"/>
  <c r="F2770" i="2"/>
  <c r="F2769" i="2"/>
  <c r="F2768" i="2"/>
  <c r="F2767" i="2"/>
  <c r="F2766" i="2"/>
  <c r="F2765" i="2"/>
  <c r="F2764" i="2"/>
  <c r="F2763" i="2"/>
  <c r="F2762" i="2"/>
  <c r="F2761" i="2"/>
  <c r="F2760" i="2"/>
  <c r="F2759" i="2"/>
  <c r="F2758" i="2"/>
  <c r="F2757" i="2"/>
  <c r="F2756" i="2"/>
  <c r="F2755" i="2"/>
  <c r="F2754" i="2"/>
  <c r="F2753" i="2"/>
  <c r="F2752" i="2"/>
  <c r="F2751" i="2"/>
  <c r="F2750" i="2"/>
  <c r="F2749" i="2"/>
  <c r="F2748" i="2"/>
  <c r="F2747" i="2"/>
  <c r="F2746" i="2"/>
  <c r="F2745" i="2"/>
  <c r="F2744" i="2"/>
  <c r="F2743" i="2"/>
  <c r="F2742" i="2"/>
  <c r="F2741" i="2"/>
  <c r="F2740" i="2"/>
  <c r="F2739" i="2"/>
  <c r="F2738" i="2"/>
  <c r="F2737" i="2"/>
  <c r="F2736" i="2"/>
  <c r="F2735" i="2"/>
  <c r="F2734" i="2"/>
  <c r="F2733" i="2"/>
  <c r="F2732" i="2"/>
  <c r="F2731" i="2"/>
  <c r="F2730" i="2"/>
  <c r="F2729" i="2"/>
  <c r="F2728" i="2"/>
  <c r="F2727" i="2"/>
  <c r="F2726" i="2"/>
  <c r="F2725" i="2"/>
  <c r="F2724" i="2"/>
  <c r="F2723" i="2"/>
  <c r="F2722" i="2"/>
  <c r="F2721" i="2"/>
  <c r="F2720" i="2"/>
  <c r="F2719" i="2"/>
  <c r="F2718" i="2"/>
  <c r="F2717" i="2"/>
  <c r="F2716" i="2"/>
  <c r="F2715" i="2"/>
  <c r="F2714" i="2"/>
  <c r="F2713" i="2"/>
  <c r="F2712" i="2"/>
  <c r="F2711" i="2"/>
  <c r="F2710" i="2"/>
  <c r="F2709" i="2"/>
  <c r="F2708" i="2"/>
  <c r="F2707" i="2"/>
  <c r="F2706" i="2"/>
  <c r="F2705" i="2"/>
  <c r="F2704" i="2"/>
  <c r="F2703" i="2"/>
  <c r="F2702" i="2"/>
  <c r="F2701" i="2"/>
  <c r="F2700" i="2"/>
  <c r="F2699" i="2"/>
  <c r="F2698" i="2"/>
  <c r="F2697" i="2"/>
  <c r="F2696" i="2"/>
  <c r="F2695" i="2"/>
  <c r="F2694" i="2"/>
  <c r="F2693" i="2"/>
  <c r="F2692" i="2"/>
  <c r="F2691" i="2"/>
  <c r="F2690" i="2"/>
  <c r="F2689" i="2"/>
  <c r="F2688" i="2"/>
  <c r="F2687" i="2"/>
  <c r="F2686" i="2"/>
  <c r="F2685" i="2"/>
  <c r="F2684" i="2"/>
  <c r="F2683" i="2"/>
  <c r="F2682" i="2"/>
  <c r="F2681" i="2"/>
  <c r="F2680" i="2"/>
  <c r="F2679" i="2"/>
  <c r="F2678" i="2"/>
  <c r="F2677" i="2"/>
  <c r="F2676" i="2"/>
  <c r="F2675" i="2"/>
  <c r="F2674" i="2"/>
  <c r="F2673" i="2"/>
  <c r="F2672" i="2"/>
  <c r="F2671" i="2"/>
  <c r="F2670" i="2"/>
  <c r="F2669" i="2"/>
  <c r="F2668" i="2"/>
  <c r="F2667" i="2"/>
  <c r="F2666" i="2"/>
  <c r="F2665" i="2"/>
  <c r="F2664" i="2"/>
  <c r="F2663" i="2"/>
  <c r="F2662" i="2"/>
  <c r="F2661" i="2"/>
  <c r="F2660" i="2"/>
  <c r="F2659" i="2"/>
  <c r="F2658" i="2"/>
  <c r="F2657" i="2"/>
  <c r="F2656" i="2"/>
  <c r="F2655" i="2"/>
  <c r="F2654" i="2"/>
  <c r="F2653" i="2"/>
  <c r="F2652" i="2"/>
  <c r="F2651" i="2"/>
  <c r="F2650" i="2"/>
  <c r="F2649" i="2"/>
  <c r="F2648" i="2"/>
  <c r="F2647" i="2"/>
  <c r="F2646" i="2"/>
  <c r="F2645" i="2"/>
  <c r="F2644" i="2"/>
  <c r="F2643" i="2"/>
  <c r="F2642" i="2"/>
  <c r="F2641" i="2"/>
  <c r="F2640" i="2"/>
  <c r="F2639" i="2"/>
  <c r="F2638" i="2"/>
  <c r="F2637" i="2"/>
  <c r="F2636" i="2"/>
  <c r="F2635" i="2"/>
  <c r="F2634" i="2"/>
  <c r="F2633" i="2"/>
  <c r="F2632" i="2"/>
  <c r="F2631" i="2"/>
  <c r="F2630" i="2"/>
  <c r="F2629" i="2"/>
  <c r="F2628" i="2"/>
  <c r="F2627" i="2"/>
  <c r="F2626" i="2"/>
  <c r="F2625" i="2"/>
  <c r="F2624" i="2"/>
  <c r="F2623" i="2"/>
  <c r="F2622" i="2"/>
  <c r="F2621" i="2"/>
  <c r="F2620" i="2"/>
  <c r="F2619" i="2"/>
  <c r="F2618" i="2"/>
  <c r="F2617" i="2"/>
  <c r="F2616" i="2"/>
  <c r="F2615" i="2"/>
  <c r="F2614" i="2"/>
  <c r="F2613" i="2"/>
  <c r="F2612" i="2"/>
  <c r="F2611" i="2"/>
  <c r="F2610" i="2"/>
  <c r="F2609" i="2"/>
  <c r="F2608" i="2"/>
  <c r="F2607" i="2"/>
  <c r="F2606" i="2"/>
  <c r="F2605" i="2"/>
  <c r="F2604" i="2"/>
  <c r="F2603" i="2"/>
  <c r="F2602" i="2"/>
  <c r="F2601" i="2"/>
  <c r="F2600" i="2"/>
  <c r="F2599" i="2"/>
  <c r="F2598" i="2"/>
  <c r="F2597" i="2"/>
  <c r="F2596" i="2"/>
  <c r="F2595" i="2"/>
  <c r="F2594" i="2"/>
  <c r="F2593" i="2"/>
  <c r="F2592" i="2"/>
  <c r="F2591" i="2"/>
  <c r="F2590" i="2"/>
  <c r="F2589" i="2"/>
  <c r="F2588" i="2"/>
  <c r="F2587" i="2"/>
  <c r="F2586" i="2"/>
  <c r="F2585" i="2"/>
  <c r="F2584" i="2"/>
  <c r="F2583" i="2"/>
  <c r="F2582" i="2"/>
  <c r="F2581" i="2"/>
  <c r="F2580" i="2"/>
  <c r="F2579" i="2"/>
  <c r="F2578" i="2"/>
  <c r="F2577" i="2"/>
  <c r="F2576" i="2"/>
  <c r="F2575" i="2"/>
  <c r="F2574" i="2"/>
  <c r="F2573" i="2"/>
  <c r="F2572" i="2"/>
  <c r="F2571" i="2"/>
  <c r="F2570" i="2"/>
  <c r="F2569" i="2"/>
  <c r="F2568" i="2"/>
  <c r="F2567" i="2"/>
  <c r="F2566" i="2"/>
  <c r="F2565" i="2"/>
  <c r="F2564" i="2"/>
  <c r="F2563" i="2"/>
  <c r="F2562" i="2"/>
  <c r="F2561" i="2"/>
  <c r="F2560" i="2"/>
  <c r="F2559" i="2"/>
  <c r="F2558" i="2"/>
  <c r="F2557" i="2"/>
  <c r="F2556" i="2"/>
  <c r="F2555" i="2"/>
  <c r="F2554" i="2"/>
  <c r="F2553" i="2"/>
  <c r="F2552" i="2"/>
  <c r="F2551" i="2"/>
  <c r="F2550" i="2"/>
  <c r="F2549" i="2"/>
  <c r="F2548" i="2"/>
  <c r="F2547" i="2"/>
  <c r="F2546" i="2"/>
  <c r="F2545" i="2"/>
  <c r="F2544" i="2"/>
  <c r="F2543" i="2"/>
  <c r="F2542" i="2"/>
  <c r="F2541" i="2"/>
  <c r="F2540" i="2"/>
  <c r="F2539" i="2"/>
  <c r="F2538" i="2"/>
  <c r="F2537" i="2"/>
  <c r="F2536" i="2"/>
  <c r="F2535" i="2"/>
  <c r="F2534" i="2"/>
  <c r="F2533" i="2"/>
  <c r="F2532" i="2"/>
  <c r="F2531" i="2"/>
  <c r="F2530" i="2"/>
  <c r="F2529" i="2"/>
  <c r="F2528" i="2"/>
  <c r="F2527" i="2"/>
  <c r="F2526" i="2"/>
  <c r="F2525" i="2"/>
  <c r="F2524" i="2"/>
  <c r="F2523" i="2"/>
  <c r="F2522" i="2"/>
  <c r="F2521" i="2"/>
  <c r="F2520" i="2"/>
  <c r="F2519" i="2"/>
  <c r="F2518" i="2"/>
  <c r="F2517" i="2"/>
  <c r="F2516" i="2"/>
  <c r="F2515" i="2"/>
  <c r="F2514" i="2"/>
  <c r="F2513" i="2"/>
  <c r="F2512" i="2"/>
  <c r="F2511" i="2"/>
  <c r="F2510" i="2"/>
  <c r="F2509" i="2"/>
  <c r="F2508" i="2"/>
  <c r="F2507" i="2"/>
  <c r="F2506" i="2"/>
  <c r="F2505" i="2"/>
  <c r="F2504" i="2"/>
  <c r="F2503" i="2"/>
  <c r="F2502" i="2"/>
  <c r="F2501" i="2"/>
  <c r="F2500" i="2"/>
  <c r="F2499" i="2"/>
  <c r="F2498" i="2"/>
  <c r="F2497" i="2"/>
  <c r="F2496" i="2"/>
  <c r="F2495" i="2"/>
  <c r="F2494" i="2"/>
  <c r="F2493" i="2"/>
  <c r="F2492" i="2"/>
  <c r="F2491" i="2"/>
  <c r="F2490" i="2"/>
  <c r="F2489" i="2"/>
  <c r="F2488" i="2"/>
  <c r="F2487" i="2"/>
  <c r="F2486" i="2"/>
  <c r="F2485" i="2"/>
  <c r="F2484" i="2"/>
  <c r="F2483" i="2"/>
  <c r="F2482" i="2"/>
  <c r="F2481" i="2"/>
  <c r="F2480" i="2"/>
  <c r="F2479" i="2"/>
  <c r="F2478" i="2"/>
  <c r="F2477" i="2"/>
  <c r="F2476" i="2"/>
  <c r="F2475" i="2"/>
  <c r="F2474" i="2"/>
  <c r="F2473" i="2"/>
  <c r="F2472" i="2"/>
  <c r="F2471" i="2"/>
  <c r="F2470" i="2"/>
  <c r="F2469" i="2"/>
  <c r="F2468" i="2"/>
  <c r="F2467" i="2"/>
  <c r="F2466" i="2"/>
  <c r="F2465" i="2"/>
  <c r="F2464" i="2"/>
  <c r="F2463" i="2"/>
  <c r="F2462" i="2"/>
  <c r="F2461" i="2"/>
  <c r="F2460" i="2"/>
  <c r="F2459" i="2"/>
  <c r="F2458" i="2"/>
  <c r="F2457" i="2"/>
  <c r="F2456" i="2"/>
  <c r="F2455" i="2"/>
  <c r="F2454" i="2"/>
  <c r="F2453" i="2"/>
  <c r="F2452" i="2"/>
  <c r="F2451" i="2"/>
  <c r="F2450" i="2"/>
  <c r="F2449" i="2"/>
  <c r="F2448" i="2"/>
  <c r="F2447" i="2"/>
  <c r="F2446" i="2"/>
  <c r="F2445" i="2"/>
  <c r="F2444" i="2"/>
  <c r="F2443" i="2"/>
  <c r="F2442" i="2"/>
  <c r="F2441" i="2"/>
  <c r="F2440" i="2"/>
  <c r="F2439" i="2"/>
  <c r="F2438" i="2"/>
  <c r="F2437" i="2"/>
  <c r="F2436" i="2"/>
  <c r="F2435" i="2"/>
  <c r="F2434" i="2"/>
  <c r="F2433" i="2"/>
  <c r="F2432" i="2"/>
  <c r="F2431" i="2"/>
  <c r="F2430" i="2"/>
  <c r="F2429" i="2"/>
  <c r="F2428" i="2"/>
  <c r="F2427" i="2"/>
  <c r="F2426" i="2"/>
  <c r="F2425" i="2"/>
  <c r="F2424" i="2"/>
  <c r="F2423" i="2"/>
  <c r="F2422" i="2"/>
  <c r="F2421" i="2"/>
  <c r="F2420" i="2"/>
  <c r="F2419" i="2"/>
  <c r="F2418" i="2"/>
  <c r="F2417" i="2"/>
  <c r="F2416" i="2"/>
  <c r="F2415" i="2"/>
  <c r="F2414" i="2"/>
  <c r="F2413" i="2"/>
  <c r="F2412" i="2"/>
  <c r="F2411" i="2"/>
  <c r="F2410" i="2"/>
  <c r="F2409" i="2"/>
  <c r="F2408" i="2"/>
  <c r="F2407" i="2"/>
  <c r="F2406" i="2"/>
  <c r="F2405" i="2"/>
  <c r="F2404" i="2"/>
  <c r="F2403" i="2"/>
  <c r="F2402" i="2"/>
  <c r="F2401" i="2"/>
  <c r="F2400" i="2"/>
  <c r="F2399" i="2"/>
  <c r="F2398" i="2"/>
  <c r="F2397" i="2"/>
  <c r="F2396" i="2"/>
  <c r="F2395" i="2"/>
  <c r="F2394" i="2"/>
  <c r="F2393" i="2"/>
  <c r="F2392" i="2"/>
  <c r="F2391" i="2"/>
  <c r="F2390" i="2"/>
  <c r="F2389" i="2"/>
  <c r="F2388" i="2"/>
  <c r="F2387" i="2"/>
  <c r="F2386" i="2"/>
  <c r="F2385" i="2"/>
  <c r="F2384" i="2"/>
  <c r="F2383" i="2"/>
  <c r="F2382" i="2"/>
  <c r="F2381" i="2"/>
  <c r="F2380" i="2"/>
  <c r="F2379" i="2"/>
  <c r="F2378" i="2"/>
  <c r="F2377" i="2"/>
  <c r="F2376" i="2"/>
  <c r="F2375" i="2"/>
  <c r="F2374" i="2"/>
  <c r="F2373" i="2"/>
  <c r="F2372" i="2"/>
  <c r="F2371" i="2"/>
  <c r="F2370" i="2"/>
  <c r="F2369" i="2"/>
  <c r="F2368" i="2"/>
  <c r="F2367" i="2"/>
  <c r="F2366" i="2"/>
  <c r="F2365" i="2"/>
  <c r="F2364" i="2"/>
  <c r="F2363" i="2"/>
  <c r="F2362" i="2"/>
  <c r="F2361" i="2"/>
  <c r="F2360" i="2"/>
  <c r="F2359" i="2"/>
  <c r="F2358" i="2"/>
  <c r="F2357" i="2"/>
  <c r="F2356" i="2"/>
  <c r="F2355" i="2"/>
  <c r="F2354" i="2"/>
  <c r="F2353" i="2"/>
  <c r="F2352" i="2"/>
  <c r="F2351" i="2"/>
  <c r="F2350" i="2"/>
  <c r="F2349" i="2"/>
  <c r="F2348" i="2"/>
  <c r="F2347" i="2"/>
  <c r="F2346" i="2"/>
  <c r="F2345" i="2"/>
  <c r="F2344" i="2"/>
  <c r="F2343" i="2"/>
  <c r="F2342" i="2"/>
  <c r="F2341" i="2"/>
  <c r="F2340" i="2"/>
  <c r="F2339" i="2"/>
  <c r="F2338" i="2"/>
  <c r="F2337" i="2"/>
  <c r="F2336" i="2"/>
  <c r="F2335" i="2"/>
  <c r="F2334" i="2"/>
  <c r="F2333" i="2"/>
  <c r="F2332" i="2"/>
  <c r="F2331" i="2"/>
  <c r="F2330" i="2"/>
  <c r="F2329" i="2"/>
  <c r="F2328" i="2"/>
  <c r="F2327" i="2"/>
  <c r="F2326" i="2"/>
  <c r="F2325" i="2"/>
  <c r="F2324" i="2"/>
  <c r="F2323" i="2"/>
  <c r="F2322" i="2"/>
  <c r="F2321" i="2"/>
  <c r="F2320" i="2"/>
  <c r="F2319" i="2"/>
  <c r="F2318" i="2"/>
  <c r="F2317" i="2"/>
  <c r="F2316" i="2"/>
  <c r="F2315" i="2"/>
  <c r="F2314" i="2"/>
  <c r="F2313" i="2"/>
  <c r="F2312" i="2"/>
  <c r="F2311" i="2"/>
  <c r="F2310" i="2"/>
  <c r="F2309" i="2"/>
  <c r="F2308" i="2"/>
  <c r="F2307" i="2"/>
  <c r="F2306" i="2"/>
  <c r="F2305" i="2"/>
  <c r="F2304" i="2"/>
  <c r="F2303" i="2"/>
  <c r="F2302" i="2"/>
  <c r="F2301" i="2"/>
  <c r="F2300" i="2"/>
  <c r="F2299" i="2"/>
  <c r="F2298" i="2"/>
  <c r="F2297" i="2"/>
  <c r="F2296" i="2"/>
  <c r="F2295" i="2"/>
  <c r="F2294" i="2"/>
  <c r="F2293" i="2"/>
  <c r="F2292" i="2"/>
  <c r="F2291" i="2"/>
  <c r="F2290" i="2"/>
  <c r="F2289" i="2"/>
  <c r="F2288" i="2"/>
  <c r="F2287" i="2"/>
  <c r="F2286" i="2"/>
  <c r="F2285" i="2"/>
  <c r="F2284" i="2"/>
  <c r="F2283" i="2"/>
  <c r="F2282" i="2"/>
  <c r="F2281" i="2"/>
  <c r="F2280" i="2"/>
  <c r="F2279" i="2"/>
  <c r="F2278" i="2"/>
  <c r="F2277" i="2"/>
  <c r="F2276" i="2"/>
  <c r="F2275" i="2"/>
  <c r="F2274" i="2"/>
  <c r="F2273" i="2"/>
  <c r="F2272" i="2"/>
  <c r="F2271" i="2"/>
  <c r="F2270" i="2"/>
  <c r="F2269" i="2"/>
  <c r="F2268" i="2"/>
  <c r="F2267" i="2"/>
  <c r="F2266" i="2"/>
  <c r="F2265" i="2"/>
  <c r="F2264" i="2"/>
  <c r="F2263" i="2"/>
  <c r="F2262" i="2"/>
  <c r="F2261" i="2"/>
  <c r="F2260" i="2"/>
  <c r="F2259" i="2"/>
  <c r="F2258" i="2"/>
  <c r="F2257" i="2"/>
  <c r="F2256" i="2"/>
  <c r="F2255" i="2"/>
  <c r="F2254" i="2"/>
  <c r="F2253" i="2"/>
  <c r="F2252" i="2"/>
  <c r="F2251" i="2"/>
  <c r="F2250" i="2"/>
  <c r="F2249" i="2"/>
  <c r="F2248" i="2"/>
  <c r="F2247" i="2"/>
  <c r="F2246" i="2"/>
  <c r="F2245" i="2"/>
  <c r="F2244" i="2"/>
  <c r="F2243" i="2"/>
  <c r="F2242" i="2"/>
  <c r="F2241" i="2"/>
  <c r="F2240" i="2"/>
  <c r="F2239" i="2"/>
  <c r="F2238" i="2"/>
  <c r="F2237" i="2"/>
  <c r="F2236" i="2"/>
  <c r="F2235" i="2"/>
  <c r="F2234" i="2"/>
  <c r="F2233" i="2"/>
  <c r="F2232" i="2"/>
  <c r="F2231" i="2"/>
  <c r="F2230" i="2"/>
  <c r="F2229" i="2"/>
  <c r="F2228" i="2"/>
  <c r="F2227" i="2"/>
  <c r="F2226" i="2"/>
  <c r="F2225" i="2"/>
  <c r="F2224" i="2"/>
  <c r="F2223" i="2"/>
  <c r="F2222" i="2"/>
  <c r="F2221" i="2"/>
  <c r="F2220" i="2"/>
  <c r="F2219" i="2"/>
  <c r="F2218" i="2"/>
  <c r="F2217" i="2"/>
  <c r="F2216" i="2"/>
  <c r="F2215" i="2"/>
  <c r="F2214" i="2"/>
  <c r="F2213" i="2"/>
  <c r="F2212" i="2"/>
  <c r="F2211" i="2"/>
  <c r="F2210" i="2"/>
  <c r="F2209" i="2"/>
  <c r="F2208" i="2"/>
  <c r="F2207" i="2"/>
  <c r="F2206" i="2"/>
  <c r="F2205" i="2"/>
  <c r="F2204" i="2"/>
  <c r="F2203" i="2"/>
  <c r="F2202" i="2"/>
  <c r="F2201" i="2"/>
  <c r="F2200" i="2"/>
  <c r="F2199" i="2"/>
  <c r="F2198" i="2"/>
  <c r="F2197" i="2"/>
  <c r="F2196" i="2"/>
  <c r="F2195" i="2"/>
  <c r="F2194" i="2"/>
  <c r="F2193" i="2"/>
  <c r="F2192" i="2"/>
  <c r="F2191" i="2"/>
  <c r="F2190" i="2"/>
  <c r="F2189" i="2"/>
  <c r="F2188" i="2"/>
  <c r="F2187" i="2"/>
  <c r="F2186" i="2"/>
  <c r="F2185" i="2"/>
  <c r="F2184" i="2"/>
  <c r="F2183" i="2"/>
  <c r="F2182" i="2"/>
  <c r="F2181" i="2"/>
  <c r="F2180" i="2"/>
  <c r="F2179" i="2"/>
  <c r="F2178" i="2"/>
  <c r="F2177" i="2"/>
  <c r="F2176" i="2"/>
  <c r="F2175" i="2"/>
  <c r="F2174" i="2"/>
  <c r="F2173" i="2"/>
  <c r="F2172" i="2"/>
  <c r="F2171" i="2"/>
  <c r="F2170" i="2"/>
  <c r="F2169" i="2"/>
  <c r="F2168" i="2"/>
  <c r="F2167" i="2"/>
  <c r="F2166" i="2"/>
  <c r="F2165" i="2"/>
  <c r="F2164" i="2"/>
  <c r="F2163" i="2"/>
  <c r="F2162" i="2"/>
  <c r="F2161" i="2"/>
  <c r="F2160" i="2"/>
  <c r="F2159" i="2"/>
  <c r="F2158" i="2"/>
  <c r="F2157" i="2"/>
  <c r="F2156" i="2"/>
  <c r="F2155" i="2"/>
  <c r="F2154" i="2"/>
  <c r="F2153" i="2"/>
  <c r="F2152" i="2"/>
  <c r="F2151" i="2"/>
  <c r="F2150" i="2"/>
  <c r="F2149" i="2"/>
  <c r="F2148" i="2"/>
  <c r="F2147" i="2"/>
  <c r="F2146" i="2"/>
  <c r="F2145" i="2"/>
  <c r="F2144" i="2"/>
  <c r="F2143" i="2"/>
  <c r="F2142" i="2"/>
  <c r="F2141" i="2"/>
  <c r="F2140" i="2"/>
  <c r="F2139" i="2"/>
  <c r="F2138" i="2"/>
  <c r="F2137" i="2"/>
  <c r="F2136" i="2"/>
  <c r="F2135" i="2"/>
  <c r="F2134" i="2"/>
  <c r="F2133" i="2"/>
  <c r="F2132" i="2"/>
  <c r="F2131" i="2"/>
  <c r="F2130" i="2"/>
  <c r="F2129" i="2"/>
  <c r="F2128" i="2"/>
  <c r="F2127" i="2"/>
  <c r="F2126" i="2"/>
  <c r="F2125" i="2"/>
  <c r="F2124" i="2"/>
  <c r="F2123" i="2"/>
  <c r="F2122" i="2"/>
  <c r="F2121" i="2"/>
  <c r="F2120" i="2"/>
  <c r="F2119" i="2"/>
  <c r="F2118" i="2"/>
  <c r="F2117" i="2"/>
  <c r="F2116" i="2"/>
  <c r="F2115" i="2"/>
  <c r="F2114" i="2"/>
  <c r="F2113" i="2"/>
  <c r="F2112" i="2"/>
  <c r="F2111" i="2"/>
  <c r="F2110" i="2"/>
  <c r="F2109" i="2"/>
  <c r="F2108" i="2"/>
  <c r="F2107" i="2"/>
  <c r="F2106" i="2"/>
  <c r="F2105" i="2"/>
  <c r="F2104" i="2"/>
  <c r="F2103" i="2"/>
  <c r="F2102" i="2"/>
  <c r="F2101" i="2"/>
  <c r="F2100" i="2"/>
  <c r="F2099" i="2"/>
  <c r="F2098" i="2"/>
  <c r="F2097" i="2"/>
  <c r="F2096" i="2"/>
  <c r="F2095" i="2"/>
  <c r="F2094" i="2"/>
  <c r="F2093" i="2"/>
  <c r="F2092" i="2"/>
  <c r="F2091" i="2"/>
  <c r="F2090" i="2"/>
  <c r="F2089" i="2"/>
  <c r="F2088" i="2"/>
  <c r="F2087" i="2"/>
  <c r="F2086" i="2"/>
  <c r="F2085" i="2"/>
  <c r="F2084" i="2"/>
  <c r="F2083" i="2"/>
  <c r="F2082" i="2"/>
  <c r="F2081" i="2"/>
  <c r="F2080" i="2"/>
  <c r="F2079" i="2"/>
  <c r="F2078" i="2"/>
  <c r="F2077" i="2"/>
  <c r="F2076" i="2"/>
  <c r="F2075" i="2"/>
  <c r="F2074" i="2"/>
  <c r="F2073" i="2"/>
  <c r="F2072" i="2"/>
  <c r="F2071" i="2"/>
  <c r="F2070" i="2"/>
  <c r="F2069" i="2"/>
  <c r="F2068" i="2"/>
  <c r="F2067" i="2"/>
  <c r="F2066" i="2"/>
  <c r="F2065" i="2"/>
  <c r="F2064" i="2"/>
  <c r="F2063" i="2"/>
  <c r="F2062" i="2"/>
  <c r="F2061" i="2"/>
  <c r="F2060" i="2"/>
  <c r="F2059" i="2"/>
  <c r="F2058" i="2"/>
  <c r="F2057" i="2"/>
  <c r="F2056" i="2"/>
  <c r="F2055" i="2"/>
  <c r="F2054" i="2"/>
  <c r="F2053" i="2"/>
  <c r="F2052" i="2"/>
  <c r="F2051" i="2"/>
  <c r="F2050" i="2"/>
  <c r="F2049" i="2"/>
  <c r="F2048" i="2"/>
  <c r="F2047" i="2"/>
  <c r="F2046" i="2"/>
  <c r="F2045" i="2"/>
  <c r="F2044" i="2"/>
  <c r="F2043" i="2"/>
  <c r="F2042" i="2"/>
  <c r="F2041" i="2"/>
  <c r="F2040" i="2"/>
  <c r="F2039" i="2"/>
  <c r="F2038" i="2"/>
  <c r="F2037" i="2"/>
  <c r="F2036" i="2"/>
  <c r="F2035" i="2"/>
  <c r="F2034" i="2"/>
  <c r="F2033" i="2"/>
  <c r="F2032" i="2"/>
  <c r="F2031" i="2"/>
  <c r="F2030" i="2"/>
  <c r="F2029" i="2"/>
  <c r="F2028" i="2"/>
  <c r="F2027" i="2"/>
  <c r="F2026" i="2"/>
  <c r="F2025" i="2"/>
  <c r="F2024" i="2"/>
  <c r="F2023" i="2"/>
  <c r="F2022" i="2"/>
  <c r="F2021" i="2"/>
  <c r="F2020" i="2"/>
  <c r="F2019" i="2"/>
  <c r="F2018" i="2"/>
  <c r="F2017" i="2"/>
  <c r="F2016" i="2"/>
  <c r="F2015" i="2"/>
  <c r="F2014" i="2"/>
  <c r="F2013" i="2"/>
  <c r="F2012" i="2"/>
  <c r="F2011" i="2"/>
  <c r="F2010" i="2"/>
  <c r="F2009" i="2"/>
  <c r="F2008" i="2"/>
  <c r="F2007" i="2"/>
  <c r="F2006" i="2"/>
  <c r="F2005" i="2"/>
  <c r="F2004" i="2"/>
  <c r="F2003" i="2"/>
  <c r="F2002" i="2"/>
  <c r="F2001" i="2"/>
  <c r="F2000" i="2"/>
  <c r="F1999" i="2"/>
  <c r="F1998" i="2"/>
  <c r="F1997" i="2"/>
  <c r="F1996" i="2"/>
  <c r="F1995" i="2"/>
  <c r="F1994" i="2"/>
  <c r="F1993" i="2"/>
  <c r="F1992" i="2"/>
  <c r="F1991" i="2"/>
  <c r="F1990" i="2"/>
  <c r="F1989" i="2"/>
  <c r="F1988" i="2"/>
  <c r="F1987" i="2"/>
  <c r="F1986" i="2"/>
  <c r="F1985" i="2"/>
  <c r="F1984" i="2"/>
  <c r="F1983" i="2"/>
  <c r="F1982" i="2"/>
  <c r="F1981" i="2"/>
  <c r="F1980" i="2"/>
  <c r="F1979" i="2"/>
  <c r="F1978" i="2"/>
  <c r="F1977" i="2"/>
  <c r="F1976" i="2"/>
  <c r="F1975" i="2"/>
  <c r="F1974" i="2"/>
  <c r="F1973" i="2"/>
  <c r="F1972" i="2"/>
  <c r="F1971" i="2"/>
  <c r="F1970" i="2"/>
  <c r="F1969" i="2"/>
  <c r="F1968" i="2"/>
  <c r="F1967" i="2"/>
  <c r="F1966" i="2"/>
  <c r="F1965" i="2"/>
  <c r="F1964" i="2"/>
  <c r="F1963" i="2"/>
  <c r="F1962" i="2"/>
  <c r="F1961" i="2"/>
  <c r="F1960" i="2"/>
  <c r="F1959" i="2"/>
  <c r="F1958" i="2"/>
  <c r="F1957" i="2"/>
  <c r="F1956" i="2"/>
  <c r="F1955" i="2"/>
  <c r="F1954" i="2"/>
  <c r="F1953" i="2"/>
  <c r="F1952" i="2"/>
  <c r="F1951" i="2"/>
  <c r="F1950" i="2"/>
  <c r="F1949" i="2"/>
  <c r="F1948" i="2"/>
  <c r="F1947" i="2"/>
  <c r="F1946" i="2"/>
  <c r="F1945" i="2"/>
  <c r="F1944" i="2"/>
  <c r="F1943" i="2"/>
  <c r="F1942" i="2"/>
  <c r="F1941" i="2"/>
  <c r="F1940" i="2"/>
  <c r="F1939" i="2"/>
  <c r="F1938" i="2"/>
  <c r="F1937" i="2"/>
  <c r="F1936" i="2"/>
  <c r="F1935" i="2"/>
  <c r="F1934" i="2"/>
  <c r="F1933" i="2"/>
  <c r="F1932" i="2"/>
  <c r="F1931" i="2"/>
  <c r="F1930" i="2"/>
  <c r="F1929" i="2"/>
  <c r="F1928" i="2"/>
  <c r="F1927" i="2"/>
  <c r="F1926" i="2"/>
  <c r="F1925" i="2"/>
  <c r="F1924" i="2"/>
  <c r="F1923" i="2"/>
  <c r="F1922" i="2"/>
  <c r="F1921" i="2"/>
  <c r="F1920" i="2"/>
  <c r="F1919" i="2"/>
  <c r="F1918" i="2"/>
  <c r="F1917" i="2"/>
  <c r="F1916" i="2"/>
  <c r="F1915" i="2"/>
  <c r="F1914" i="2"/>
  <c r="F1913" i="2"/>
  <c r="F1912" i="2"/>
  <c r="F1911" i="2"/>
  <c r="F1910" i="2"/>
  <c r="F1909" i="2"/>
  <c r="F1908" i="2"/>
  <c r="F1907" i="2"/>
  <c r="F1906" i="2"/>
  <c r="F1905" i="2"/>
  <c r="F1904" i="2"/>
  <c r="F1903" i="2"/>
  <c r="F1902" i="2"/>
  <c r="F1901" i="2"/>
  <c r="F1900" i="2"/>
  <c r="F1899" i="2"/>
  <c r="F1898" i="2"/>
  <c r="F1897" i="2"/>
  <c r="F1896" i="2"/>
  <c r="F1895" i="2"/>
  <c r="F1894" i="2"/>
  <c r="F1893" i="2"/>
  <c r="F1892" i="2"/>
  <c r="F1891" i="2"/>
  <c r="F1890" i="2"/>
  <c r="F1889" i="2"/>
  <c r="F1888" i="2"/>
  <c r="F1887" i="2"/>
  <c r="F1886" i="2"/>
  <c r="F1885" i="2"/>
  <c r="F1884" i="2"/>
  <c r="F1883" i="2"/>
  <c r="F1882" i="2"/>
  <c r="F1881" i="2"/>
  <c r="F1880" i="2"/>
  <c r="F1879" i="2"/>
  <c r="F1878" i="2"/>
  <c r="F1877" i="2"/>
  <c r="F1876" i="2"/>
  <c r="F1875" i="2"/>
  <c r="F1874" i="2"/>
  <c r="F1873" i="2"/>
  <c r="F1872" i="2"/>
  <c r="F1871" i="2"/>
  <c r="F1870" i="2"/>
  <c r="F1869" i="2"/>
  <c r="F1868" i="2"/>
  <c r="F1867" i="2"/>
  <c r="F1866" i="2"/>
  <c r="F1865" i="2"/>
  <c r="F1864" i="2"/>
  <c r="F1863" i="2"/>
  <c r="F1862" i="2"/>
  <c r="F1861" i="2"/>
  <c r="F1860" i="2"/>
  <c r="F1859" i="2"/>
  <c r="F1858" i="2"/>
  <c r="F1857" i="2"/>
  <c r="F1856" i="2"/>
  <c r="F1855" i="2"/>
  <c r="F1854" i="2"/>
  <c r="F1853" i="2"/>
  <c r="F1852" i="2"/>
  <c r="F1851" i="2"/>
  <c r="F1850" i="2"/>
  <c r="F1849" i="2"/>
  <c r="F1848" i="2"/>
  <c r="F1847" i="2"/>
  <c r="F1846" i="2"/>
  <c r="F1845" i="2"/>
  <c r="F1844" i="2"/>
  <c r="F1843" i="2"/>
  <c r="F1842" i="2"/>
  <c r="F1841" i="2"/>
  <c r="F1840" i="2"/>
  <c r="F1839" i="2"/>
  <c r="F1838" i="2"/>
  <c r="F1837" i="2"/>
  <c r="F1836" i="2"/>
  <c r="F1835" i="2"/>
  <c r="F1834" i="2"/>
  <c r="F1833" i="2"/>
  <c r="F1832" i="2"/>
  <c r="F1831" i="2"/>
  <c r="F1830" i="2"/>
  <c r="F1829" i="2"/>
  <c r="F1828" i="2"/>
  <c r="F1827" i="2"/>
  <c r="F1826" i="2"/>
  <c r="F1825" i="2"/>
  <c r="F1824" i="2"/>
  <c r="F1823" i="2"/>
  <c r="F1822" i="2"/>
  <c r="F1821" i="2"/>
  <c r="F1820" i="2"/>
  <c r="F1819" i="2"/>
  <c r="F1818" i="2"/>
  <c r="F1817" i="2"/>
  <c r="F1816" i="2"/>
  <c r="F1815" i="2"/>
  <c r="F1814" i="2"/>
  <c r="F1813" i="2"/>
  <c r="F1812" i="2"/>
  <c r="F1811" i="2"/>
  <c r="F1810" i="2"/>
  <c r="F1809" i="2"/>
  <c r="F1808" i="2"/>
  <c r="F1807" i="2"/>
  <c r="F1806" i="2"/>
  <c r="F1805" i="2"/>
  <c r="F1804" i="2"/>
  <c r="F1803" i="2"/>
  <c r="F1802" i="2"/>
  <c r="F1801" i="2"/>
  <c r="F1800" i="2"/>
  <c r="F1799" i="2"/>
  <c r="F1798" i="2"/>
  <c r="F1797" i="2"/>
  <c r="F1796" i="2"/>
  <c r="F1795" i="2"/>
  <c r="F1794" i="2"/>
  <c r="F1793" i="2"/>
  <c r="F1792" i="2"/>
  <c r="F1791" i="2"/>
  <c r="F1790" i="2"/>
  <c r="F1789" i="2"/>
  <c r="F1788" i="2"/>
  <c r="F1787" i="2"/>
  <c r="F1786" i="2"/>
  <c r="F1785" i="2"/>
  <c r="F1784" i="2"/>
  <c r="F1783" i="2"/>
  <c r="F1782" i="2"/>
  <c r="F1781" i="2"/>
  <c r="F1780" i="2"/>
  <c r="F1779" i="2"/>
  <c r="F1778" i="2"/>
  <c r="F1777" i="2"/>
  <c r="F1776" i="2"/>
  <c r="F1775" i="2"/>
  <c r="F1774" i="2"/>
  <c r="F1773" i="2"/>
  <c r="F1772" i="2"/>
  <c r="F1771" i="2"/>
  <c r="F1770" i="2"/>
  <c r="F1769" i="2"/>
  <c r="F1768" i="2"/>
  <c r="F1767" i="2"/>
  <c r="F1766" i="2"/>
  <c r="F1765" i="2"/>
  <c r="F1764" i="2"/>
  <c r="F1763" i="2"/>
  <c r="F1762" i="2"/>
  <c r="F1761" i="2"/>
  <c r="F1760" i="2"/>
  <c r="F1759" i="2"/>
  <c r="F1758" i="2"/>
  <c r="F1757" i="2"/>
  <c r="F1756" i="2"/>
  <c r="F1755" i="2"/>
  <c r="F1754" i="2"/>
  <c r="F1753" i="2"/>
  <c r="F1752" i="2"/>
  <c r="F1751" i="2"/>
  <c r="F1750" i="2"/>
  <c r="F1749" i="2"/>
  <c r="F1748" i="2"/>
  <c r="F1747" i="2"/>
  <c r="F1746" i="2"/>
  <c r="F1745" i="2"/>
  <c r="F1744" i="2"/>
  <c r="F1743" i="2"/>
  <c r="F1742" i="2"/>
  <c r="F1741" i="2"/>
  <c r="F1740" i="2"/>
  <c r="F1739" i="2"/>
  <c r="F1738" i="2"/>
  <c r="F1737" i="2"/>
  <c r="F1736" i="2"/>
  <c r="F1735" i="2"/>
  <c r="F1734" i="2"/>
  <c r="F1733" i="2"/>
  <c r="F1732" i="2"/>
  <c r="F1731" i="2"/>
  <c r="F1730" i="2"/>
  <c r="F1729" i="2"/>
  <c r="F1728" i="2"/>
  <c r="F1727" i="2"/>
  <c r="F1726" i="2"/>
  <c r="F1725" i="2"/>
  <c r="F1724" i="2"/>
  <c r="F1723" i="2"/>
  <c r="F1722" i="2"/>
  <c r="F1721" i="2"/>
  <c r="F1720" i="2"/>
  <c r="F1719" i="2"/>
  <c r="F1718" i="2"/>
  <c r="F1717" i="2"/>
  <c r="F1716" i="2"/>
  <c r="F1715" i="2"/>
  <c r="F1714" i="2"/>
  <c r="F1713" i="2"/>
  <c r="F1712" i="2"/>
  <c r="F1711" i="2"/>
  <c r="F1710" i="2"/>
  <c r="F1709" i="2"/>
  <c r="F1708" i="2"/>
  <c r="F1707" i="2"/>
  <c r="F1706" i="2"/>
  <c r="F1705" i="2"/>
  <c r="F1704" i="2"/>
  <c r="F1703" i="2"/>
  <c r="F1702" i="2"/>
  <c r="F1701" i="2"/>
  <c r="F1700" i="2"/>
  <c r="F1699" i="2"/>
  <c r="F1698" i="2"/>
  <c r="F1697" i="2"/>
  <c r="F1696" i="2"/>
  <c r="F1695" i="2"/>
  <c r="F1694" i="2"/>
  <c r="F1693" i="2"/>
  <c r="F1692" i="2"/>
  <c r="F1691" i="2"/>
  <c r="F1690" i="2"/>
  <c r="F1689" i="2"/>
  <c r="F1688" i="2"/>
  <c r="F1687" i="2"/>
  <c r="F1686" i="2"/>
  <c r="F1685" i="2"/>
  <c r="F1684" i="2"/>
  <c r="F1683" i="2"/>
  <c r="F1682" i="2"/>
  <c r="F1681" i="2"/>
  <c r="F1680" i="2"/>
  <c r="F1679" i="2"/>
  <c r="F1678" i="2"/>
  <c r="F1677" i="2"/>
  <c r="F1676" i="2"/>
  <c r="F1675" i="2"/>
  <c r="F1674" i="2"/>
  <c r="F1673" i="2"/>
  <c r="F1672" i="2"/>
  <c r="F1671" i="2"/>
  <c r="F1670" i="2"/>
  <c r="F1669" i="2"/>
  <c r="F1668" i="2"/>
  <c r="F1667" i="2"/>
  <c r="F1666" i="2"/>
  <c r="F1665" i="2"/>
  <c r="F1664" i="2"/>
  <c r="F1663" i="2"/>
  <c r="F1662" i="2"/>
  <c r="F1661" i="2"/>
  <c r="F1660" i="2"/>
  <c r="F1659" i="2"/>
  <c r="F1658" i="2"/>
  <c r="F1657" i="2"/>
  <c r="F1656" i="2"/>
  <c r="F1655" i="2"/>
  <c r="F1654" i="2"/>
  <c r="F1653" i="2"/>
  <c r="F1652" i="2"/>
  <c r="F1651" i="2"/>
  <c r="F1650" i="2"/>
  <c r="F1649" i="2"/>
  <c r="F1648" i="2"/>
  <c r="F1647" i="2"/>
  <c r="F1646" i="2"/>
  <c r="F1645" i="2"/>
  <c r="F1644" i="2"/>
  <c r="F1643" i="2"/>
  <c r="F1642" i="2"/>
  <c r="F1641" i="2"/>
  <c r="F1640" i="2"/>
  <c r="F1639" i="2"/>
  <c r="F1638" i="2"/>
  <c r="F1637" i="2"/>
  <c r="F1636" i="2"/>
  <c r="F1635" i="2"/>
  <c r="F1634" i="2"/>
  <c r="F1633" i="2"/>
  <c r="F1632" i="2"/>
  <c r="F1631" i="2"/>
  <c r="F1630" i="2"/>
  <c r="F1629" i="2"/>
  <c r="F1628" i="2"/>
  <c r="F1627" i="2"/>
  <c r="F1626" i="2"/>
  <c r="F1625" i="2"/>
  <c r="F1624" i="2"/>
  <c r="F1623" i="2"/>
  <c r="F1622" i="2"/>
  <c r="F1621" i="2"/>
  <c r="F1620" i="2"/>
  <c r="F1619" i="2"/>
  <c r="F1618" i="2"/>
  <c r="F1617" i="2"/>
  <c r="F1616" i="2"/>
  <c r="F1615" i="2"/>
  <c r="F1614" i="2"/>
  <c r="F1613" i="2"/>
  <c r="F1612" i="2"/>
  <c r="F1611" i="2"/>
  <c r="F1610" i="2"/>
  <c r="F1609" i="2"/>
  <c r="F1608" i="2"/>
  <c r="F1607" i="2"/>
  <c r="F1606" i="2"/>
  <c r="F1605" i="2"/>
  <c r="F1604" i="2"/>
  <c r="F1603" i="2"/>
  <c r="F1602" i="2"/>
  <c r="F1601" i="2"/>
  <c r="F1600" i="2"/>
  <c r="F1599" i="2"/>
  <c r="F1598" i="2"/>
  <c r="F1597" i="2"/>
  <c r="F1596" i="2"/>
  <c r="F1595" i="2"/>
  <c r="F1594" i="2"/>
  <c r="F1593" i="2"/>
  <c r="F1592" i="2"/>
  <c r="F1591" i="2"/>
  <c r="F1590" i="2"/>
  <c r="F1589" i="2"/>
  <c r="F1588" i="2"/>
  <c r="F1587" i="2"/>
  <c r="F1586" i="2"/>
  <c r="F1585" i="2"/>
  <c r="F1584" i="2"/>
  <c r="F1583" i="2"/>
  <c r="F1582" i="2"/>
  <c r="F1581" i="2"/>
  <c r="F1580" i="2"/>
  <c r="F1579" i="2"/>
  <c r="F1578" i="2"/>
  <c r="F1577" i="2"/>
  <c r="F1576" i="2"/>
  <c r="F1575" i="2"/>
  <c r="F1574" i="2"/>
  <c r="F1573" i="2"/>
  <c r="F1572" i="2"/>
  <c r="F1571" i="2"/>
  <c r="F1570" i="2"/>
  <c r="F1569" i="2"/>
  <c r="F1568" i="2"/>
  <c r="F1567" i="2"/>
  <c r="F1566" i="2"/>
  <c r="F1565" i="2"/>
  <c r="F1564" i="2"/>
  <c r="F1563" i="2"/>
  <c r="F1562" i="2"/>
  <c r="F1561" i="2"/>
  <c r="F1560" i="2"/>
  <c r="F1559" i="2"/>
  <c r="F1558" i="2"/>
  <c r="F1557" i="2"/>
  <c r="F1556" i="2"/>
  <c r="F1555" i="2"/>
  <c r="F1554" i="2"/>
  <c r="F1553" i="2"/>
  <c r="F1552" i="2"/>
  <c r="F1551" i="2"/>
  <c r="F1550" i="2"/>
  <c r="F1549" i="2"/>
  <c r="F1548" i="2"/>
  <c r="F1547" i="2"/>
  <c r="F1546" i="2"/>
  <c r="F1545" i="2"/>
  <c r="F1544" i="2"/>
  <c r="F1543" i="2"/>
  <c r="F1542" i="2"/>
  <c r="F1541" i="2"/>
  <c r="F1540" i="2"/>
  <c r="F1539" i="2"/>
  <c r="F1538" i="2"/>
  <c r="F1537" i="2"/>
  <c r="F1536" i="2"/>
  <c r="F1535" i="2"/>
  <c r="F1534" i="2"/>
  <c r="F1533" i="2"/>
  <c r="F1532" i="2"/>
  <c r="F1531" i="2"/>
  <c r="F1530" i="2"/>
  <c r="F1529" i="2"/>
  <c r="F1528" i="2"/>
  <c r="F1527" i="2"/>
  <c r="F1526" i="2"/>
  <c r="F1525" i="2"/>
  <c r="F1524" i="2"/>
  <c r="F1523" i="2"/>
  <c r="F1522" i="2"/>
  <c r="F1521" i="2"/>
  <c r="F1520" i="2"/>
  <c r="F1519" i="2"/>
  <c r="F1518" i="2"/>
  <c r="F1517" i="2"/>
  <c r="F1516" i="2"/>
  <c r="F1515" i="2"/>
  <c r="F1514" i="2"/>
  <c r="F1513" i="2"/>
  <c r="F1512" i="2"/>
  <c r="F1511" i="2"/>
  <c r="F1510" i="2"/>
  <c r="F1509" i="2"/>
  <c r="F1508" i="2"/>
  <c r="F1507" i="2"/>
  <c r="F1506" i="2"/>
  <c r="F1505" i="2"/>
  <c r="F1504" i="2"/>
  <c r="F1503" i="2"/>
  <c r="F1502" i="2"/>
  <c r="F1501" i="2"/>
  <c r="F1500" i="2"/>
  <c r="F1499" i="2"/>
  <c r="F1498" i="2"/>
  <c r="F1497" i="2"/>
  <c r="F1496" i="2"/>
  <c r="F1495" i="2"/>
  <c r="F1494" i="2"/>
  <c r="F1493" i="2"/>
  <c r="F1492" i="2"/>
  <c r="F1491" i="2"/>
  <c r="F1490" i="2"/>
  <c r="F1489" i="2"/>
  <c r="F1488" i="2"/>
  <c r="F1487" i="2"/>
  <c r="F1486" i="2"/>
  <c r="F1485" i="2"/>
  <c r="F1484" i="2"/>
  <c r="F1483" i="2"/>
  <c r="F1482" i="2"/>
  <c r="F1481" i="2"/>
  <c r="F1480" i="2"/>
  <c r="F1479" i="2"/>
  <c r="F1478" i="2"/>
  <c r="F1477" i="2"/>
  <c r="F1476" i="2"/>
  <c r="F1475" i="2"/>
  <c r="F1474" i="2"/>
  <c r="F1473" i="2"/>
  <c r="F1472" i="2"/>
  <c r="F1471" i="2"/>
  <c r="F1470" i="2"/>
  <c r="F1469" i="2"/>
  <c r="F1468" i="2"/>
  <c r="F1467" i="2"/>
  <c r="F1466" i="2"/>
  <c r="F1465" i="2"/>
  <c r="F1464" i="2"/>
  <c r="F1463" i="2"/>
  <c r="F1462" i="2"/>
  <c r="F1461" i="2"/>
  <c r="F1460" i="2"/>
  <c r="F1459" i="2"/>
  <c r="F1458" i="2"/>
  <c r="F1457" i="2"/>
  <c r="F1456" i="2"/>
  <c r="F1455" i="2"/>
  <c r="F1454" i="2"/>
  <c r="F1453" i="2"/>
  <c r="F1452" i="2"/>
  <c r="F1451" i="2"/>
  <c r="F1450" i="2"/>
  <c r="F1449" i="2"/>
  <c r="F1448" i="2"/>
  <c r="F1447" i="2"/>
  <c r="F1446" i="2"/>
  <c r="F1445" i="2"/>
  <c r="F1444" i="2"/>
  <c r="F1443" i="2"/>
  <c r="F1442" i="2"/>
  <c r="F1441" i="2"/>
  <c r="F1440" i="2"/>
  <c r="F1439" i="2"/>
  <c r="F1438" i="2"/>
  <c r="F1437" i="2"/>
  <c r="F1436" i="2"/>
  <c r="F1435" i="2"/>
  <c r="F1434" i="2"/>
  <c r="F1433" i="2"/>
  <c r="F1432" i="2"/>
  <c r="F1431" i="2"/>
  <c r="F1430" i="2"/>
  <c r="F1429" i="2"/>
  <c r="F1428" i="2"/>
  <c r="F1427" i="2"/>
  <c r="F1426" i="2"/>
  <c r="F1425" i="2"/>
  <c r="F1424" i="2"/>
  <c r="F1423" i="2"/>
  <c r="F1422" i="2"/>
  <c r="F1421" i="2"/>
  <c r="F1420" i="2"/>
  <c r="F1419" i="2"/>
  <c r="F1418" i="2"/>
  <c r="F1417" i="2"/>
  <c r="F1416" i="2"/>
  <c r="F1415" i="2"/>
  <c r="F1414" i="2"/>
  <c r="F1413" i="2"/>
  <c r="F1412" i="2"/>
  <c r="F1411" i="2"/>
  <c r="F1410" i="2"/>
  <c r="F1409" i="2"/>
  <c r="F1408" i="2"/>
  <c r="F1407" i="2"/>
  <c r="F1406" i="2"/>
  <c r="F1405" i="2"/>
  <c r="F1404" i="2"/>
  <c r="F1403" i="2"/>
  <c r="F1402" i="2"/>
  <c r="F1401" i="2"/>
  <c r="F1400" i="2"/>
  <c r="F1399" i="2"/>
  <c r="F1398" i="2"/>
  <c r="F1397" i="2"/>
  <c r="F1396" i="2"/>
  <c r="F1395" i="2"/>
  <c r="F1394" i="2"/>
  <c r="F1393" i="2"/>
  <c r="F1392" i="2"/>
  <c r="F1391" i="2"/>
  <c r="F1390" i="2"/>
  <c r="F1389" i="2"/>
  <c r="F1388" i="2"/>
  <c r="F1387" i="2"/>
  <c r="F1386" i="2"/>
  <c r="F1385" i="2"/>
  <c r="F1384" i="2"/>
  <c r="F1383" i="2"/>
  <c r="F1382" i="2"/>
  <c r="F1381" i="2"/>
  <c r="F1380" i="2"/>
  <c r="F1379" i="2"/>
  <c r="F1378" i="2"/>
  <c r="F1377" i="2"/>
  <c r="F1376" i="2"/>
  <c r="F1375" i="2"/>
  <c r="F1374" i="2"/>
  <c r="F1373" i="2"/>
  <c r="F1372" i="2"/>
  <c r="F1371" i="2"/>
  <c r="F1370" i="2"/>
  <c r="F1369" i="2"/>
  <c r="F1368" i="2"/>
  <c r="F1367" i="2"/>
  <c r="F1366" i="2"/>
  <c r="F1365" i="2"/>
  <c r="F1364" i="2"/>
  <c r="F1363" i="2"/>
  <c r="F1362" i="2"/>
  <c r="F1361" i="2"/>
  <c r="F1360" i="2"/>
  <c r="F1359" i="2"/>
  <c r="F1358" i="2"/>
  <c r="F1357" i="2"/>
  <c r="F1356" i="2"/>
  <c r="F1355" i="2"/>
  <c r="F1354" i="2"/>
  <c r="F1353" i="2"/>
  <c r="F1352" i="2"/>
  <c r="F1351" i="2"/>
  <c r="F1350" i="2"/>
  <c r="F1349" i="2"/>
  <c r="F1348" i="2"/>
  <c r="F1347" i="2"/>
  <c r="F1346" i="2"/>
  <c r="F1345" i="2"/>
  <c r="F1344" i="2"/>
  <c r="F1343" i="2"/>
  <c r="F1342" i="2"/>
  <c r="F1341" i="2"/>
  <c r="F1340" i="2"/>
  <c r="F1339" i="2"/>
  <c r="F1338" i="2"/>
  <c r="F1337" i="2"/>
  <c r="F1336" i="2"/>
  <c r="F1335" i="2"/>
  <c r="F1334" i="2"/>
  <c r="F1333" i="2"/>
  <c r="F1332" i="2"/>
  <c r="F1331" i="2"/>
  <c r="F1330" i="2"/>
  <c r="F1329" i="2"/>
  <c r="F1328" i="2"/>
  <c r="F1327" i="2"/>
  <c r="F1326" i="2"/>
  <c r="F1325" i="2"/>
  <c r="F1324" i="2"/>
  <c r="F1323" i="2"/>
  <c r="F1322" i="2"/>
  <c r="F1321" i="2"/>
  <c r="F1320" i="2"/>
  <c r="F1319" i="2"/>
  <c r="F1318" i="2"/>
  <c r="F1317" i="2"/>
  <c r="F1316" i="2"/>
  <c r="F1315" i="2"/>
  <c r="F1314" i="2"/>
  <c r="F1313" i="2"/>
  <c r="F1312" i="2"/>
  <c r="F1311" i="2"/>
  <c r="F1310" i="2"/>
  <c r="F1309" i="2"/>
  <c r="F1308" i="2"/>
  <c r="F1307" i="2"/>
  <c r="F1306" i="2"/>
  <c r="F1305" i="2"/>
  <c r="F1304" i="2"/>
  <c r="F1303" i="2"/>
  <c r="F1302" i="2"/>
  <c r="F1301" i="2"/>
  <c r="F1300" i="2"/>
  <c r="F1299" i="2"/>
  <c r="F1298" i="2"/>
  <c r="F1297" i="2"/>
  <c r="F1296" i="2"/>
  <c r="F1295" i="2"/>
  <c r="F1294" i="2"/>
  <c r="F1293" i="2"/>
  <c r="F1292" i="2"/>
  <c r="F1291" i="2"/>
  <c r="F1290" i="2"/>
  <c r="F1289" i="2"/>
  <c r="F1288" i="2"/>
  <c r="F1287" i="2"/>
  <c r="F1286" i="2"/>
  <c r="F1285" i="2"/>
  <c r="F1284" i="2"/>
  <c r="F1283" i="2"/>
  <c r="F1282" i="2"/>
  <c r="F1281" i="2"/>
  <c r="F1280" i="2"/>
  <c r="F1279" i="2"/>
  <c r="F1278" i="2"/>
  <c r="F1277" i="2"/>
  <c r="F1276" i="2"/>
  <c r="F1275" i="2"/>
  <c r="F1274" i="2"/>
  <c r="F1273" i="2"/>
  <c r="F1272" i="2"/>
  <c r="F1271" i="2"/>
  <c r="F1270" i="2"/>
  <c r="F1269" i="2"/>
  <c r="F1268" i="2"/>
  <c r="F1267" i="2"/>
  <c r="F1266" i="2"/>
  <c r="F1265" i="2"/>
  <c r="F1264" i="2"/>
  <c r="F1263" i="2"/>
  <c r="F1262" i="2"/>
  <c r="F1261" i="2"/>
  <c r="F1260" i="2"/>
  <c r="F1259" i="2"/>
  <c r="F1258" i="2"/>
  <c r="F1257" i="2"/>
  <c r="F1256" i="2"/>
  <c r="F1255" i="2"/>
  <c r="F1254" i="2"/>
  <c r="F1253" i="2"/>
  <c r="F1252" i="2"/>
  <c r="F1251" i="2"/>
  <c r="F1250" i="2"/>
  <c r="F1249" i="2"/>
  <c r="F1248" i="2"/>
  <c r="F1247" i="2"/>
  <c r="F1246" i="2"/>
  <c r="F1245" i="2"/>
  <c r="F1244" i="2"/>
  <c r="F1243" i="2"/>
  <c r="F1242" i="2"/>
  <c r="F1241" i="2"/>
  <c r="F1240" i="2"/>
  <c r="F1239" i="2"/>
  <c r="F1238" i="2"/>
  <c r="F1237" i="2"/>
  <c r="F1236" i="2"/>
  <c r="F1235" i="2"/>
  <c r="F1234" i="2"/>
  <c r="F1233" i="2"/>
  <c r="F1232" i="2"/>
  <c r="F1231" i="2"/>
  <c r="F1230" i="2"/>
  <c r="F1229" i="2"/>
  <c r="F1228" i="2"/>
  <c r="F1227" i="2"/>
  <c r="F1226" i="2"/>
  <c r="F1225" i="2"/>
  <c r="F1224" i="2"/>
  <c r="F1223" i="2"/>
  <c r="F1222" i="2"/>
  <c r="F1221" i="2"/>
  <c r="F1220" i="2"/>
  <c r="F1219" i="2"/>
  <c r="F1218" i="2"/>
  <c r="F1217" i="2"/>
  <c r="F1216" i="2"/>
  <c r="F1215" i="2"/>
  <c r="F1214" i="2"/>
  <c r="F1213" i="2"/>
  <c r="F1212" i="2"/>
  <c r="F1211" i="2"/>
  <c r="F1210" i="2"/>
  <c r="F1209" i="2"/>
  <c r="F1208" i="2"/>
  <c r="F1207" i="2"/>
  <c r="F1206" i="2"/>
  <c r="F1205" i="2"/>
  <c r="F1204" i="2"/>
  <c r="F1203" i="2"/>
  <c r="F1202" i="2"/>
  <c r="F1201" i="2"/>
  <c r="F1200" i="2"/>
  <c r="F1199" i="2"/>
  <c r="F1198" i="2"/>
  <c r="F1197" i="2"/>
  <c r="F1196" i="2"/>
  <c r="F1195" i="2"/>
  <c r="F1194" i="2"/>
  <c r="F1193" i="2"/>
  <c r="F1192" i="2"/>
  <c r="F1191" i="2"/>
  <c r="F1190" i="2"/>
  <c r="F1189" i="2"/>
  <c r="F1188" i="2"/>
  <c r="F1187" i="2"/>
  <c r="F1186" i="2"/>
  <c r="F1185" i="2"/>
  <c r="F1184" i="2"/>
  <c r="F1183" i="2"/>
  <c r="F1182" i="2"/>
  <c r="F1181" i="2"/>
  <c r="F1180" i="2"/>
  <c r="F1179" i="2"/>
  <c r="F1178" i="2"/>
  <c r="F1177" i="2"/>
  <c r="F1176" i="2"/>
  <c r="F1175" i="2"/>
  <c r="F1174" i="2"/>
  <c r="F1173" i="2"/>
  <c r="F1172" i="2"/>
  <c r="F1171" i="2"/>
  <c r="F1170" i="2"/>
  <c r="F1169" i="2"/>
  <c r="F1168" i="2"/>
  <c r="F1167" i="2"/>
  <c r="F1166" i="2"/>
  <c r="F1165" i="2"/>
  <c r="F1164" i="2"/>
  <c r="F1163" i="2"/>
  <c r="F1162" i="2"/>
  <c r="F1161" i="2"/>
  <c r="F1160" i="2"/>
  <c r="F1159" i="2"/>
  <c r="F1158" i="2"/>
  <c r="F1157" i="2"/>
  <c r="F1156" i="2"/>
  <c r="F1155" i="2"/>
  <c r="F1154" i="2"/>
  <c r="F1153" i="2"/>
  <c r="F1152" i="2"/>
  <c r="F1151" i="2"/>
  <c r="F1150" i="2"/>
  <c r="F1149" i="2"/>
  <c r="F1148" i="2"/>
  <c r="F1147" i="2"/>
  <c r="F1146" i="2"/>
  <c r="F1145" i="2"/>
  <c r="F1144" i="2"/>
  <c r="F1143" i="2"/>
  <c r="F1142" i="2"/>
  <c r="F1141" i="2"/>
  <c r="F1140" i="2"/>
  <c r="F1139" i="2"/>
  <c r="F1138" i="2"/>
  <c r="F1137" i="2"/>
  <c r="F1136" i="2"/>
  <c r="F1135" i="2"/>
  <c r="F1134" i="2"/>
  <c r="F1133" i="2"/>
  <c r="F1132" i="2"/>
  <c r="F1131" i="2"/>
  <c r="F1130" i="2"/>
  <c r="F1129" i="2"/>
  <c r="F1128" i="2"/>
  <c r="F1127" i="2"/>
  <c r="F1126" i="2"/>
  <c r="F1125" i="2"/>
  <c r="F1124" i="2"/>
  <c r="F1123" i="2"/>
  <c r="F1122" i="2"/>
  <c r="F1121" i="2"/>
  <c r="F1120" i="2"/>
  <c r="F1119" i="2"/>
  <c r="F1118" i="2"/>
  <c r="F1117" i="2"/>
  <c r="F1116" i="2"/>
  <c r="F1115" i="2"/>
  <c r="F1114" i="2"/>
  <c r="F1113" i="2"/>
  <c r="F1112" i="2"/>
  <c r="F1111" i="2"/>
  <c r="F1110" i="2"/>
  <c r="F1109" i="2"/>
  <c r="F1108" i="2"/>
  <c r="F1107" i="2"/>
  <c r="F1106" i="2"/>
  <c r="F1105" i="2"/>
  <c r="F1104" i="2"/>
  <c r="F1103" i="2"/>
  <c r="F1102" i="2"/>
  <c r="F1101" i="2"/>
  <c r="F1100" i="2"/>
  <c r="F1099" i="2"/>
  <c r="F1098" i="2"/>
  <c r="F1097" i="2"/>
  <c r="F1096" i="2"/>
  <c r="F1095" i="2"/>
  <c r="F1094" i="2"/>
  <c r="F1093" i="2"/>
  <c r="F1092" i="2"/>
  <c r="F1091" i="2"/>
  <c r="F1090" i="2"/>
  <c r="F1089" i="2"/>
  <c r="F1088" i="2"/>
  <c r="F1087" i="2"/>
  <c r="F1086" i="2"/>
  <c r="F1085" i="2"/>
  <c r="F1084" i="2"/>
  <c r="F1083" i="2"/>
  <c r="F1082" i="2"/>
  <c r="F1081" i="2"/>
  <c r="F1080" i="2"/>
  <c r="F1079" i="2"/>
  <c r="F1078" i="2"/>
  <c r="F1077" i="2"/>
  <c r="F1076" i="2"/>
  <c r="F1075" i="2"/>
  <c r="F1074" i="2"/>
  <c r="F1073" i="2"/>
  <c r="F1072" i="2"/>
  <c r="F1071" i="2"/>
  <c r="F1070" i="2"/>
  <c r="F1069" i="2"/>
  <c r="F1068" i="2"/>
  <c r="F1067" i="2"/>
  <c r="F1066" i="2"/>
  <c r="F1065" i="2"/>
  <c r="F1064" i="2"/>
  <c r="F1063" i="2"/>
  <c r="F1062" i="2"/>
  <c r="F1061" i="2"/>
  <c r="F1060" i="2"/>
  <c r="F1059" i="2"/>
  <c r="F1058" i="2"/>
  <c r="F1057" i="2"/>
  <c r="F1056" i="2"/>
  <c r="F1055" i="2"/>
  <c r="F1054" i="2"/>
  <c r="F1053" i="2"/>
  <c r="F1052" i="2"/>
  <c r="F1051" i="2"/>
  <c r="F1050" i="2"/>
  <c r="F1049" i="2"/>
  <c r="F1048" i="2"/>
  <c r="F1047" i="2"/>
  <c r="F1046" i="2"/>
  <c r="F1045" i="2"/>
  <c r="F1044" i="2"/>
  <c r="F1043" i="2"/>
  <c r="F1042" i="2"/>
  <c r="F1041" i="2"/>
  <c r="F1040" i="2"/>
  <c r="F1039" i="2"/>
  <c r="F1038" i="2"/>
  <c r="F1037" i="2"/>
  <c r="F1036" i="2"/>
  <c r="F1035" i="2"/>
  <c r="F1034" i="2"/>
  <c r="F1033" i="2"/>
  <c r="F1032" i="2"/>
  <c r="F1031" i="2"/>
  <c r="F1030" i="2"/>
  <c r="F1029" i="2"/>
  <c r="F1028" i="2"/>
  <c r="F1027" i="2"/>
  <c r="F1026" i="2"/>
  <c r="F1025" i="2"/>
  <c r="F1024" i="2"/>
  <c r="F1023" i="2"/>
  <c r="F1022" i="2"/>
  <c r="F1021" i="2"/>
  <c r="F1020" i="2"/>
  <c r="F1019" i="2"/>
  <c r="F1018" i="2"/>
  <c r="F1017" i="2"/>
  <c r="F1016" i="2"/>
  <c r="F1015" i="2"/>
  <c r="F1014" i="2"/>
  <c r="F1013" i="2"/>
  <c r="F1012" i="2"/>
  <c r="F1011" i="2"/>
  <c r="F1010" i="2"/>
  <c r="F1009" i="2"/>
  <c r="F1008" i="2"/>
  <c r="F1007" i="2"/>
  <c r="F1006" i="2"/>
  <c r="F1005" i="2"/>
  <c r="F1004" i="2"/>
  <c r="F1003" i="2"/>
  <c r="F1002" i="2"/>
  <c r="F1001" i="2"/>
  <c r="F1000" i="2"/>
  <c r="F999" i="2"/>
  <c r="F998" i="2"/>
  <c r="F997" i="2"/>
  <c r="F996" i="2"/>
  <c r="F995" i="2"/>
  <c r="F994" i="2"/>
  <c r="F993" i="2"/>
  <c r="F992" i="2"/>
  <c r="F991" i="2"/>
  <c r="F990" i="2"/>
  <c r="F989" i="2"/>
  <c r="F988" i="2"/>
  <c r="F987" i="2"/>
  <c r="F986" i="2"/>
  <c r="F985" i="2"/>
  <c r="F984" i="2"/>
  <c r="F983" i="2"/>
  <c r="F982" i="2"/>
  <c r="F981" i="2"/>
  <c r="F980" i="2"/>
  <c r="F979" i="2"/>
  <c r="F978" i="2"/>
  <c r="F977" i="2"/>
  <c r="F976" i="2"/>
  <c r="F975" i="2"/>
  <c r="F974" i="2"/>
  <c r="F973" i="2"/>
  <c r="F972" i="2"/>
  <c r="F971" i="2"/>
  <c r="F970" i="2"/>
  <c r="F969" i="2"/>
  <c r="F968" i="2"/>
  <c r="F967" i="2"/>
  <c r="F966" i="2"/>
  <c r="F965" i="2"/>
  <c r="F964" i="2"/>
  <c r="F963" i="2"/>
  <c r="F962" i="2"/>
  <c r="F961" i="2"/>
  <c r="F960" i="2"/>
  <c r="F959" i="2"/>
  <c r="F958" i="2"/>
  <c r="F957" i="2"/>
  <c r="F956" i="2"/>
  <c r="F955" i="2"/>
  <c r="F954" i="2"/>
  <c r="F953" i="2"/>
  <c r="F952" i="2"/>
  <c r="F951" i="2"/>
  <c r="F950" i="2"/>
  <c r="F949" i="2"/>
  <c r="F948" i="2"/>
  <c r="F947" i="2"/>
  <c r="F946" i="2"/>
  <c r="F945" i="2"/>
  <c r="F944" i="2"/>
  <c r="F943" i="2"/>
  <c r="F942" i="2"/>
  <c r="F941" i="2"/>
  <c r="F940" i="2"/>
  <c r="F939" i="2"/>
  <c r="F938" i="2"/>
  <c r="F937" i="2"/>
  <c r="F936" i="2"/>
  <c r="F935" i="2"/>
  <c r="F934" i="2"/>
  <c r="F933" i="2"/>
  <c r="F932" i="2"/>
  <c r="F931" i="2"/>
  <c r="F930" i="2"/>
  <c r="F929" i="2"/>
  <c r="F928" i="2"/>
  <c r="F927" i="2"/>
  <c r="F926" i="2"/>
  <c r="F925" i="2"/>
  <c r="F924" i="2"/>
  <c r="F923" i="2"/>
  <c r="F922" i="2"/>
  <c r="F921" i="2"/>
  <c r="F920" i="2"/>
  <c r="F919" i="2"/>
  <c r="F918" i="2"/>
  <c r="F917" i="2"/>
  <c r="F916" i="2"/>
  <c r="F915" i="2"/>
  <c r="F914" i="2"/>
  <c r="F913" i="2"/>
  <c r="F912" i="2"/>
  <c r="F911" i="2"/>
  <c r="F910" i="2"/>
  <c r="F909" i="2"/>
  <c r="F908" i="2"/>
  <c r="F907" i="2"/>
  <c r="F906" i="2"/>
  <c r="F905" i="2"/>
  <c r="F904" i="2"/>
  <c r="F903" i="2"/>
  <c r="F902" i="2"/>
  <c r="F901" i="2"/>
  <c r="F900" i="2"/>
  <c r="F899" i="2"/>
  <c r="F898" i="2"/>
  <c r="F897" i="2"/>
  <c r="F896" i="2"/>
  <c r="F895" i="2"/>
  <c r="F894" i="2"/>
  <c r="F893" i="2"/>
  <c r="F892" i="2"/>
  <c r="F891" i="2"/>
  <c r="F890" i="2"/>
  <c r="F889" i="2"/>
  <c r="F888" i="2"/>
  <c r="F887" i="2"/>
  <c r="F886" i="2"/>
  <c r="F885" i="2"/>
  <c r="F884" i="2"/>
  <c r="F883" i="2"/>
  <c r="F882" i="2"/>
  <c r="F881" i="2"/>
  <c r="F880" i="2"/>
  <c r="F879" i="2"/>
  <c r="F878" i="2"/>
  <c r="F877" i="2"/>
  <c r="F876" i="2"/>
  <c r="F875" i="2"/>
  <c r="F874" i="2"/>
  <c r="F873" i="2"/>
  <c r="F872" i="2"/>
  <c r="F871" i="2"/>
  <c r="F870" i="2"/>
  <c r="F869" i="2"/>
  <c r="F868" i="2"/>
  <c r="F867" i="2"/>
  <c r="F866" i="2"/>
  <c r="F865" i="2"/>
  <c r="F864" i="2"/>
  <c r="F863" i="2"/>
  <c r="F862" i="2"/>
  <c r="F861" i="2"/>
  <c r="F860" i="2"/>
  <c r="F859" i="2"/>
  <c r="F858" i="2"/>
  <c r="F857" i="2"/>
  <c r="F856" i="2"/>
  <c r="F855" i="2"/>
  <c r="F854" i="2"/>
  <c r="F853" i="2"/>
  <c r="F852" i="2"/>
  <c r="F851" i="2"/>
  <c r="F850" i="2"/>
  <c r="F849" i="2"/>
  <c r="F848" i="2"/>
  <c r="F847" i="2"/>
  <c r="F846" i="2"/>
  <c r="F845" i="2"/>
  <c r="F844" i="2"/>
  <c r="F843" i="2"/>
  <c r="F842" i="2"/>
  <c r="F841" i="2"/>
  <c r="F840" i="2"/>
  <c r="F839" i="2"/>
  <c r="F838" i="2"/>
  <c r="F837" i="2"/>
  <c r="F836" i="2"/>
  <c r="F835" i="2"/>
  <c r="F834" i="2"/>
  <c r="F833" i="2"/>
  <c r="F832" i="2"/>
  <c r="F831" i="2"/>
  <c r="F830" i="2"/>
  <c r="F829" i="2"/>
  <c r="F828" i="2"/>
  <c r="F827" i="2"/>
  <c r="F826" i="2"/>
  <c r="F825" i="2"/>
  <c r="F824" i="2"/>
  <c r="F823" i="2"/>
  <c r="F822" i="2"/>
  <c r="F821" i="2"/>
  <c r="F820" i="2"/>
  <c r="F819" i="2"/>
  <c r="F818" i="2"/>
  <c r="F817" i="2"/>
  <c r="F816" i="2"/>
  <c r="F815" i="2"/>
  <c r="F814" i="2"/>
  <c r="F813" i="2"/>
  <c r="F812" i="2"/>
  <c r="F811" i="2"/>
  <c r="F810" i="2"/>
  <c r="F809" i="2"/>
  <c r="F808" i="2"/>
  <c r="F807" i="2"/>
  <c r="F806" i="2"/>
  <c r="F805" i="2"/>
  <c r="F804" i="2"/>
  <c r="F803" i="2"/>
  <c r="F802" i="2"/>
  <c r="F801" i="2"/>
  <c r="F800" i="2"/>
  <c r="F799" i="2"/>
  <c r="F798" i="2"/>
  <c r="F797" i="2"/>
  <c r="F796" i="2"/>
  <c r="F795" i="2"/>
  <c r="F794" i="2"/>
  <c r="F793" i="2"/>
  <c r="F792" i="2"/>
  <c r="F791" i="2"/>
  <c r="F790" i="2"/>
  <c r="F789" i="2"/>
  <c r="F788" i="2"/>
  <c r="F787" i="2"/>
  <c r="F786" i="2"/>
  <c r="F785" i="2"/>
  <c r="F784" i="2"/>
  <c r="F783" i="2"/>
  <c r="F782" i="2"/>
  <c r="F781" i="2"/>
  <c r="F780" i="2"/>
  <c r="F779" i="2"/>
  <c r="F778" i="2"/>
  <c r="F777" i="2"/>
  <c r="F776" i="2"/>
  <c r="F775" i="2"/>
  <c r="F774" i="2"/>
  <c r="F773" i="2"/>
  <c r="F772" i="2"/>
  <c r="F771" i="2"/>
  <c r="F770" i="2"/>
  <c r="F769" i="2"/>
  <c r="F768" i="2"/>
  <c r="F767" i="2"/>
  <c r="F766" i="2"/>
  <c r="F765" i="2"/>
  <c r="F764" i="2"/>
  <c r="F763" i="2"/>
  <c r="F762" i="2"/>
  <c r="F761" i="2"/>
  <c r="F760" i="2"/>
  <c r="F759" i="2"/>
  <c r="F758" i="2"/>
  <c r="F757" i="2"/>
  <c r="F756" i="2"/>
  <c r="F755" i="2"/>
  <c r="F754" i="2"/>
  <c r="F753" i="2"/>
  <c r="F752" i="2"/>
  <c r="F751" i="2"/>
  <c r="F750" i="2"/>
  <c r="F749" i="2"/>
  <c r="F748" i="2"/>
  <c r="F747" i="2"/>
  <c r="F746" i="2"/>
  <c r="F745" i="2"/>
  <c r="F744" i="2"/>
  <c r="F743" i="2"/>
  <c r="F742" i="2"/>
  <c r="F741" i="2"/>
  <c r="F740" i="2"/>
  <c r="F739" i="2"/>
  <c r="F738" i="2"/>
  <c r="F737" i="2"/>
  <c r="F736" i="2"/>
  <c r="F735" i="2"/>
  <c r="F734" i="2"/>
  <c r="F733" i="2"/>
  <c r="F732" i="2"/>
  <c r="F731" i="2"/>
  <c r="F730" i="2"/>
  <c r="F729" i="2"/>
  <c r="F728" i="2"/>
  <c r="F727" i="2"/>
  <c r="F726" i="2"/>
  <c r="F725" i="2"/>
  <c r="F724" i="2"/>
  <c r="F723" i="2"/>
  <c r="F722" i="2"/>
  <c r="F721" i="2"/>
  <c r="F720" i="2"/>
  <c r="F719" i="2"/>
  <c r="F718" i="2"/>
  <c r="F717" i="2"/>
  <c r="F716" i="2"/>
  <c r="F715" i="2"/>
  <c r="F714" i="2"/>
  <c r="F713" i="2"/>
  <c r="F712" i="2"/>
  <c r="F711" i="2"/>
  <c r="F710" i="2"/>
  <c r="F709" i="2"/>
  <c r="F708" i="2"/>
  <c r="F707" i="2"/>
  <c r="F706" i="2"/>
  <c r="F705" i="2"/>
  <c r="F704" i="2"/>
  <c r="F703" i="2"/>
  <c r="F702" i="2"/>
  <c r="F701" i="2"/>
  <c r="F700" i="2"/>
  <c r="F699" i="2"/>
  <c r="F698" i="2"/>
  <c r="F697" i="2"/>
  <c r="F696" i="2"/>
  <c r="F695" i="2"/>
  <c r="F694" i="2"/>
  <c r="F693" i="2"/>
  <c r="F692" i="2"/>
  <c r="F691" i="2"/>
  <c r="F690" i="2"/>
  <c r="F689" i="2"/>
  <c r="F688" i="2"/>
  <c r="F687" i="2"/>
  <c r="F686" i="2"/>
  <c r="F685" i="2"/>
  <c r="F684" i="2"/>
  <c r="F683" i="2"/>
  <c r="F682" i="2"/>
  <c r="F681" i="2"/>
  <c r="F680" i="2"/>
  <c r="F679" i="2"/>
  <c r="F678" i="2"/>
  <c r="F677" i="2"/>
  <c r="F676" i="2"/>
  <c r="F675" i="2"/>
  <c r="F674" i="2"/>
  <c r="F673" i="2"/>
  <c r="F672" i="2"/>
  <c r="F671" i="2"/>
  <c r="F670" i="2"/>
  <c r="F669" i="2"/>
  <c r="F668" i="2"/>
  <c r="F667" i="2"/>
  <c r="F666" i="2"/>
  <c r="F665" i="2"/>
  <c r="F664" i="2"/>
  <c r="F663" i="2"/>
  <c r="F662" i="2"/>
  <c r="F661" i="2"/>
  <c r="F660" i="2"/>
  <c r="F659" i="2"/>
  <c r="F658" i="2"/>
  <c r="F657" i="2"/>
  <c r="F656" i="2"/>
  <c r="F655" i="2"/>
  <c r="F654" i="2"/>
  <c r="F653" i="2"/>
  <c r="F652" i="2"/>
  <c r="F651" i="2"/>
  <c r="F650" i="2"/>
  <c r="F649" i="2"/>
  <c r="F648" i="2"/>
  <c r="F647" i="2"/>
  <c r="F646" i="2"/>
  <c r="F645" i="2"/>
  <c r="F644" i="2"/>
  <c r="F643" i="2"/>
  <c r="F642" i="2"/>
  <c r="F641" i="2"/>
  <c r="F640" i="2"/>
  <c r="F639" i="2"/>
  <c r="F638" i="2"/>
  <c r="F637" i="2"/>
  <c r="F636" i="2"/>
  <c r="F635" i="2"/>
  <c r="F634" i="2"/>
  <c r="F633" i="2"/>
  <c r="F632" i="2"/>
  <c r="F631" i="2"/>
  <c r="F630" i="2"/>
  <c r="F629" i="2"/>
  <c r="F628" i="2"/>
  <c r="F627" i="2"/>
  <c r="F626" i="2"/>
  <c r="F625" i="2"/>
  <c r="F624" i="2"/>
  <c r="F623" i="2"/>
  <c r="F622" i="2"/>
  <c r="F621" i="2"/>
  <c r="F620" i="2"/>
  <c r="F619" i="2"/>
  <c r="F618" i="2"/>
  <c r="F617" i="2"/>
  <c r="F616" i="2"/>
  <c r="F615" i="2"/>
  <c r="F614" i="2"/>
  <c r="F613" i="2"/>
  <c r="F612" i="2"/>
  <c r="F611" i="2"/>
  <c r="F610" i="2"/>
  <c r="F609" i="2"/>
  <c r="F608" i="2"/>
  <c r="F607" i="2"/>
  <c r="F606" i="2"/>
  <c r="F605" i="2"/>
  <c r="F604" i="2"/>
  <c r="F603" i="2"/>
  <c r="F602" i="2"/>
  <c r="F601" i="2"/>
  <c r="F600" i="2"/>
  <c r="F599" i="2"/>
  <c r="F598" i="2"/>
  <c r="F597" i="2"/>
  <c r="F596" i="2"/>
  <c r="F595" i="2"/>
  <c r="F594" i="2"/>
  <c r="F593" i="2"/>
  <c r="F592" i="2"/>
  <c r="F591" i="2"/>
  <c r="F590" i="2"/>
  <c r="F589" i="2"/>
  <c r="F588" i="2"/>
  <c r="F587" i="2"/>
  <c r="F586" i="2"/>
  <c r="F585" i="2"/>
  <c r="F584" i="2"/>
  <c r="F583" i="2"/>
  <c r="F582" i="2"/>
  <c r="F581" i="2"/>
  <c r="F580" i="2"/>
  <c r="F579" i="2"/>
  <c r="F578" i="2"/>
  <c r="F577" i="2"/>
  <c r="F576" i="2"/>
  <c r="F575" i="2"/>
  <c r="F574" i="2"/>
  <c r="F573" i="2"/>
  <c r="F572" i="2"/>
  <c r="F571" i="2"/>
  <c r="F570" i="2"/>
  <c r="F569" i="2"/>
  <c r="F568" i="2"/>
  <c r="F567" i="2"/>
  <c r="F566" i="2"/>
  <c r="F565" i="2"/>
  <c r="F564" i="2"/>
  <c r="F563" i="2"/>
  <c r="F562" i="2"/>
  <c r="F561" i="2"/>
  <c r="F560" i="2"/>
  <c r="F559" i="2"/>
  <c r="F558" i="2"/>
  <c r="F557" i="2"/>
  <c r="F556" i="2"/>
  <c r="F555" i="2"/>
  <c r="F554" i="2"/>
  <c r="F553" i="2"/>
  <c r="F552" i="2"/>
  <c r="F551" i="2"/>
  <c r="F550" i="2"/>
  <c r="F549" i="2"/>
  <c r="F548" i="2"/>
  <c r="F547" i="2"/>
  <c r="F546" i="2"/>
  <c r="F545" i="2"/>
  <c r="F544" i="2"/>
  <c r="F543" i="2"/>
  <c r="F542" i="2"/>
  <c r="F541" i="2"/>
  <c r="F540" i="2"/>
  <c r="F539" i="2"/>
  <c r="F538" i="2"/>
  <c r="F537" i="2"/>
  <c r="F536" i="2"/>
  <c r="F535" i="2"/>
  <c r="F534" i="2"/>
  <c r="F533" i="2"/>
  <c r="F532" i="2"/>
  <c r="F531" i="2"/>
  <c r="F530" i="2"/>
  <c r="F529" i="2"/>
  <c r="F528" i="2"/>
  <c r="F527" i="2"/>
  <c r="F526" i="2"/>
  <c r="F525" i="2"/>
  <c r="F524" i="2"/>
  <c r="F523" i="2"/>
  <c r="F522" i="2"/>
  <c r="F521" i="2"/>
  <c r="F520" i="2"/>
  <c r="F519" i="2"/>
  <c r="F518" i="2"/>
  <c r="F517" i="2"/>
  <c r="F516" i="2"/>
  <c r="F515" i="2"/>
  <c r="F514" i="2"/>
  <c r="F513" i="2"/>
  <c r="F512" i="2"/>
  <c r="F511" i="2"/>
  <c r="F510" i="2"/>
  <c r="F509" i="2"/>
  <c r="F508" i="2"/>
  <c r="F507" i="2"/>
  <c r="F506" i="2"/>
  <c r="F505" i="2"/>
  <c r="F504" i="2"/>
  <c r="F503" i="2"/>
  <c r="F502" i="2"/>
  <c r="F501" i="2"/>
  <c r="F500" i="2"/>
  <c r="F499" i="2"/>
  <c r="F498" i="2"/>
  <c r="F497" i="2"/>
  <c r="F496" i="2"/>
  <c r="F495" i="2"/>
  <c r="F494" i="2"/>
  <c r="F493" i="2"/>
  <c r="F492" i="2"/>
  <c r="F491" i="2"/>
  <c r="F490" i="2"/>
  <c r="F489" i="2"/>
  <c r="F488" i="2"/>
  <c r="F487" i="2"/>
  <c r="F486" i="2"/>
  <c r="F485" i="2"/>
  <c r="F484" i="2"/>
  <c r="F483" i="2"/>
  <c r="F482" i="2"/>
  <c r="F481" i="2"/>
  <c r="F480" i="2"/>
  <c r="F479" i="2"/>
  <c r="F478" i="2"/>
  <c r="F477" i="2"/>
  <c r="F476" i="2"/>
  <c r="F475" i="2"/>
  <c r="F474" i="2"/>
  <c r="F473" i="2"/>
  <c r="F472" i="2"/>
  <c r="F471" i="2"/>
  <c r="F470" i="2"/>
  <c r="F469" i="2"/>
  <c r="F468" i="2"/>
  <c r="F467" i="2"/>
  <c r="F466" i="2"/>
  <c r="F465" i="2"/>
  <c r="F464" i="2"/>
  <c r="F463" i="2"/>
  <c r="F462" i="2"/>
  <c r="F461" i="2"/>
  <c r="F460" i="2"/>
  <c r="F459" i="2"/>
  <c r="F458" i="2"/>
  <c r="F457" i="2"/>
  <c r="F456" i="2"/>
  <c r="F455" i="2"/>
  <c r="F454" i="2"/>
  <c r="F453" i="2"/>
  <c r="F452" i="2"/>
  <c r="F451" i="2"/>
  <c r="F450" i="2"/>
  <c r="F449" i="2"/>
  <c r="F448" i="2"/>
  <c r="F447" i="2"/>
  <c r="F446" i="2"/>
  <c r="F445" i="2"/>
  <c r="F444" i="2"/>
  <c r="F443" i="2"/>
  <c r="F442" i="2"/>
  <c r="F441" i="2"/>
  <c r="F440" i="2"/>
  <c r="F439" i="2"/>
  <c r="F438" i="2"/>
  <c r="F437" i="2"/>
  <c r="F436" i="2"/>
  <c r="F435" i="2"/>
  <c r="F434" i="2"/>
  <c r="F433" i="2"/>
  <c r="F432" i="2"/>
  <c r="F431" i="2"/>
  <c r="F430" i="2"/>
  <c r="F429" i="2"/>
  <c r="F428" i="2"/>
  <c r="F427" i="2"/>
  <c r="F426" i="2"/>
  <c r="F425" i="2"/>
  <c r="F424" i="2"/>
  <c r="F423" i="2"/>
  <c r="F422" i="2"/>
  <c r="F421" i="2"/>
  <c r="F420" i="2"/>
  <c r="F419" i="2"/>
  <c r="F418" i="2"/>
  <c r="F417" i="2"/>
  <c r="F416" i="2"/>
  <c r="F415" i="2"/>
  <c r="F414" i="2"/>
  <c r="F413" i="2"/>
  <c r="F412" i="2"/>
  <c r="F411" i="2"/>
  <c r="F410" i="2"/>
  <c r="F409" i="2"/>
  <c r="F408" i="2"/>
  <c r="F407" i="2"/>
  <c r="F406" i="2"/>
  <c r="F405" i="2"/>
  <c r="F404" i="2"/>
  <c r="F403" i="2"/>
  <c r="F402" i="2"/>
  <c r="F401" i="2"/>
  <c r="F400" i="2"/>
  <c r="F399" i="2"/>
  <c r="F398" i="2"/>
  <c r="F397" i="2"/>
  <c r="F396" i="2"/>
  <c r="F395" i="2"/>
  <c r="F394" i="2"/>
  <c r="F393" i="2"/>
  <c r="F392" i="2"/>
  <c r="F391" i="2"/>
  <c r="F390" i="2"/>
  <c r="F389" i="2"/>
  <c r="F388" i="2"/>
  <c r="F387" i="2"/>
  <c r="F386" i="2"/>
  <c r="F385" i="2"/>
  <c r="F384" i="2"/>
  <c r="F383" i="2"/>
  <c r="F382" i="2"/>
  <c r="F381" i="2"/>
  <c r="F380" i="2"/>
  <c r="F379" i="2"/>
  <c r="F378" i="2"/>
  <c r="F377" i="2"/>
  <c r="F376" i="2"/>
  <c r="F375" i="2"/>
  <c r="F374" i="2"/>
  <c r="F373" i="2"/>
  <c r="F372" i="2"/>
  <c r="F371" i="2"/>
  <c r="F370" i="2"/>
  <c r="F369" i="2"/>
  <c r="F368" i="2"/>
  <c r="F367" i="2"/>
  <c r="F366" i="2"/>
  <c r="F365" i="2"/>
  <c r="F364" i="2"/>
  <c r="F363" i="2"/>
  <c r="F362" i="2"/>
  <c r="F361" i="2"/>
  <c r="F360" i="2"/>
  <c r="F359" i="2"/>
  <c r="F358" i="2"/>
  <c r="F357" i="2"/>
  <c r="F356" i="2"/>
  <c r="F355" i="2"/>
  <c r="F354" i="2"/>
  <c r="F353" i="2"/>
  <c r="F352" i="2"/>
  <c r="F351" i="2"/>
  <c r="F350" i="2"/>
  <c r="F349" i="2"/>
  <c r="F348" i="2"/>
  <c r="F347" i="2"/>
  <c r="F346" i="2"/>
  <c r="F345" i="2"/>
  <c r="F344" i="2"/>
  <c r="F343" i="2"/>
  <c r="F342" i="2"/>
  <c r="F341" i="2"/>
  <c r="F340" i="2"/>
  <c r="F339" i="2"/>
  <c r="F338" i="2"/>
  <c r="F337" i="2"/>
  <c r="F336" i="2"/>
  <c r="F335" i="2"/>
  <c r="F334" i="2"/>
  <c r="F333" i="2"/>
  <c r="F332" i="2"/>
  <c r="F331" i="2"/>
  <c r="F330" i="2"/>
  <c r="F329" i="2"/>
  <c r="F328" i="2"/>
  <c r="F327" i="2"/>
  <c r="F326" i="2"/>
  <c r="F325" i="2"/>
  <c r="F324" i="2"/>
  <c r="F323" i="2"/>
  <c r="F322" i="2"/>
  <c r="F321" i="2"/>
  <c r="F320" i="2"/>
  <c r="F319" i="2"/>
  <c r="F318" i="2"/>
  <c r="F317" i="2"/>
  <c r="F316" i="2"/>
  <c r="F315" i="2"/>
  <c r="F314" i="2"/>
  <c r="F313" i="2"/>
  <c r="F312" i="2"/>
  <c r="F311" i="2"/>
  <c r="F310" i="2"/>
  <c r="F309" i="2"/>
  <c r="F308" i="2"/>
  <c r="F307" i="2"/>
  <c r="F306" i="2"/>
  <c r="F305" i="2"/>
  <c r="F304" i="2"/>
  <c r="F303" i="2"/>
  <c r="F302" i="2"/>
  <c r="F301" i="2"/>
  <c r="F300" i="2"/>
  <c r="F299" i="2"/>
  <c r="F298" i="2"/>
  <c r="F297" i="2"/>
  <c r="F296" i="2"/>
  <c r="F295" i="2"/>
  <c r="F294" i="2"/>
  <c r="F293" i="2"/>
  <c r="F292" i="2"/>
  <c r="F291" i="2"/>
  <c r="F290" i="2"/>
  <c r="F289" i="2"/>
  <c r="F288" i="2"/>
  <c r="F287" i="2"/>
  <c r="F286" i="2"/>
  <c r="F285" i="2"/>
  <c r="F284" i="2"/>
  <c r="F283" i="2"/>
  <c r="F282" i="2"/>
  <c r="F281" i="2"/>
  <c r="F280" i="2"/>
  <c r="F279" i="2"/>
  <c r="F278" i="2"/>
  <c r="F277" i="2"/>
  <c r="F276" i="2"/>
  <c r="F275" i="2"/>
  <c r="F274" i="2"/>
  <c r="F273" i="2"/>
  <c r="F272" i="2"/>
  <c r="F271" i="2"/>
  <c r="F270" i="2"/>
  <c r="F269" i="2"/>
  <c r="F268" i="2"/>
  <c r="F267" i="2"/>
  <c r="F266" i="2"/>
  <c r="F265" i="2"/>
  <c r="F264" i="2"/>
  <c r="F263" i="2"/>
  <c r="F262" i="2"/>
  <c r="F261" i="2"/>
  <c r="F260" i="2"/>
  <c r="F259" i="2"/>
  <c r="F258" i="2"/>
  <c r="F257" i="2"/>
  <c r="F256" i="2"/>
  <c r="F255" i="2"/>
  <c r="F254" i="2"/>
  <c r="F253" i="2"/>
  <c r="F252" i="2"/>
  <c r="F251" i="2"/>
  <c r="F250" i="2"/>
  <c r="F249" i="2"/>
  <c r="F248" i="2"/>
  <c r="F247" i="2"/>
  <c r="F246" i="2"/>
  <c r="F245" i="2"/>
  <c r="F244" i="2"/>
  <c r="F243" i="2"/>
  <c r="F24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F3935" i="1"/>
  <c r="F3936" i="1" s="1"/>
  <c r="F3937" i="1" s="1"/>
  <c r="F3938" i="1" s="1"/>
  <c r="F3939" i="1" s="1"/>
  <c r="F3940" i="1" s="1"/>
  <c r="F3941" i="1" s="1"/>
  <c r="F3942" i="1" s="1"/>
  <c r="F3943" i="1" s="1"/>
  <c r="F3944" i="1" s="1"/>
  <c r="F3945" i="1" s="1"/>
  <c r="F3946" i="1" s="1"/>
  <c r="F3947" i="1" s="1"/>
  <c r="F3948" i="1" s="1"/>
  <c r="F3949" i="1" s="1"/>
  <c r="F3950" i="1" s="1"/>
  <c r="F3951" i="1" s="1"/>
  <c r="F3952" i="1" s="1"/>
  <c r="F3953" i="1" s="1"/>
  <c r="F3954" i="1" s="1"/>
  <c r="F3955" i="1" s="1"/>
  <c r="F3956" i="1" s="1"/>
  <c r="F3957" i="1" s="1"/>
  <c r="F3958" i="1" s="1"/>
  <c r="F3959" i="1" s="1"/>
  <c r="F3960" i="1" s="1"/>
  <c r="F3961" i="1" s="1"/>
  <c r="F3962" i="1" s="1"/>
  <c r="F3963" i="1" s="1"/>
  <c r="F3964" i="1" s="1"/>
  <c r="F3965" i="1" s="1"/>
  <c r="F3966" i="1" s="1"/>
  <c r="F3967" i="1" s="1"/>
  <c r="F3968" i="1" s="1"/>
  <c r="F3969" i="1" s="1"/>
  <c r="F3970" i="1" s="1"/>
  <c r="F3971" i="1" s="1"/>
  <c r="F3972" i="1" s="1"/>
  <c r="F3973" i="1" s="1"/>
  <c r="F3974" i="1" s="1"/>
  <c r="F3975" i="1" s="1"/>
  <c r="F3976" i="1" s="1"/>
  <c r="F3977" i="1" s="1"/>
  <c r="F3978" i="1" s="1"/>
  <c r="F3979" i="1" s="1"/>
  <c r="F3980" i="1" s="1"/>
  <c r="F3981" i="1" s="1"/>
  <c r="F3982" i="1" s="1"/>
  <c r="F3983" i="1" s="1"/>
  <c r="F3984" i="1" s="1"/>
  <c r="F3985" i="1" s="1"/>
  <c r="F3986" i="1" s="1"/>
  <c r="F3987" i="1" s="1"/>
  <c r="F3988" i="1" s="1"/>
  <c r="F3989" i="1" s="1"/>
  <c r="F3990" i="1" s="1"/>
  <c r="F3991" i="1" s="1"/>
  <c r="F3992" i="1" s="1"/>
  <c r="F3993" i="1" s="1"/>
  <c r="F3994" i="1" s="1"/>
  <c r="F3995" i="1" s="1"/>
  <c r="F3996" i="1" s="1"/>
  <c r="F3997" i="1" s="1"/>
  <c r="F3998" i="1" s="1"/>
  <c r="F3999" i="1" s="1"/>
  <c r="F4000" i="1" s="1"/>
  <c r="F4001" i="1" s="1"/>
  <c r="F4002" i="1" s="1"/>
  <c r="F4003" i="1" s="1"/>
  <c r="F4004" i="1" s="1"/>
  <c r="F4005" i="1" s="1"/>
  <c r="F4006" i="1" s="1"/>
  <c r="F4007" i="1" s="1"/>
  <c r="F4008" i="1" s="1"/>
  <c r="F4009" i="1" s="1"/>
  <c r="F4010" i="1" s="1"/>
  <c r="F4011" i="1" s="1"/>
  <c r="F4012" i="1" s="1"/>
  <c r="F4013" i="1" s="1"/>
  <c r="F4014" i="1" s="1"/>
  <c r="F4015" i="1" s="1"/>
  <c r="F4016" i="1" s="1"/>
  <c r="F4017" i="1" s="1"/>
  <c r="F4018" i="1" s="1"/>
  <c r="F4019" i="1" s="1"/>
  <c r="F4020" i="1" s="1"/>
  <c r="F4021" i="1" s="1"/>
  <c r="F4022" i="1" s="1"/>
  <c r="F4023" i="1" s="1"/>
  <c r="F4024" i="1" s="1"/>
  <c r="F4025" i="1" s="1"/>
  <c r="F4026" i="1" s="1"/>
  <c r="F4027" i="1" s="1"/>
  <c r="F4028" i="1" s="1"/>
  <c r="F4029" i="1" s="1"/>
  <c r="F4030" i="1" s="1"/>
  <c r="F4031" i="1" s="1"/>
  <c r="F4032" i="1" s="1"/>
  <c r="F4033" i="1" s="1"/>
  <c r="F4034" i="1" s="1"/>
  <c r="F4035" i="1" s="1"/>
  <c r="F4036" i="1" s="1"/>
  <c r="F4037" i="1" s="1"/>
  <c r="F4038" i="1" s="1"/>
  <c r="F4039" i="1" s="1"/>
  <c r="F4040" i="1" s="1"/>
  <c r="F4041" i="1" s="1"/>
  <c r="F4042" i="1" s="1"/>
  <c r="F4043" i="1" s="1"/>
  <c r="F4044" i="1" s="1"/>
  <c r="F4045" i="1" s="1"/>
  <c r="F4046" i="1" s="1"/>
  <c r="F4047" i="1" s="1"/>
  <c r="F4048" i="1" s="1"/>
  <c r="F4049" i="1" s="1"/>
  <c r="F4050" i="1" s="1"/>
  <c r="F4051" i="1" s="1"/>
  <c r="F4052" i="1" s="1"/>
  <c r="F4053" i="1" s="1"/>
  <c r="F4054" i="1" s="1"/>
  <c r="F4055" i="1" s="1"/>
  <c r="F4056" i="1" s="1"/>
  <c r="F4057" i="1" s="1"/>
  <c r="F4058" i="1" s="1"/>
  <c r="F4059" i="1" s="1"/>
  <c r="F4060" i="1" s="1"/>
  <c r="F4061" i="1" s="1"/>
  <c r="F4062" i="1" s="1"/>
  <c r="F4063" i="1" s="1"/>
  <c r="F4064" i="1" s="1"/>
  <c r="F4065" i="1" s="1"/>
  <c r="F4066" i="1" s="1"/>
  <c r="F4067" i="1" s="1"/>
  <c r="F4068" i="1" s="1"/>
  <c r="F4069" i="1" s="1"/>
  <c r="F4070" i="1" s="1"/>
  <c r="F4071" i="1" s="1"/>
  <c r="F4072" i="1" s="1"/>
  <c r="F4073" i="1" s="1"/>
  <c r="F4074" i="1" s="1"/>
  <c r="F4075" i="1" s="1"/>
  <c r="F4076" i="1" s="1"/>
  <c r="F4077" i="1" s="1"/>
  <c r="F4078" i="1" s="1"/>
  <c r="F4079" i="1" s="1"/>
  <c r="F4080" i="1" s="1"/>
  <c r="F4081" i="1" s="1"/>
  <c r="F4082" i="1" s="1"/>
  <c r="F4083" i="1" s="1"/>
  <c r="F4084" i="1" s="1"/>
  <c r="F4085" i="1" s="1"/>
  <c r="F4086" i="1" s="1"/>
  <c r="F4087" i="1" s="1"/>
  <c r="F4088" i="1" s="1"/>
  <c r="F4089" i="1" s="1"/>
  <c r="F4090" i="1" s="1"/>
  <c r="F4091" i="1" s="1"/>
  <c r="F4092" i="1" s="1"/>
  <c r="F4093" i="1" s="1"/>
  <c r="F4094" i="1" s="1"/>
  <c r="F4095" i="1" s="1"/>
  <c r="F4096" i="1" s="1"/>
  <c r="F4097" i="1" s="1"/>
  <c r="F4098" i="1" s="1"/>
  <c r="F4099" i="1" s="1"/>
  <c r="F4100" i="1" s="1"/>
  <c r="F4101" i="1" s="1"/>
  <c r="F4102" i="1" s="1"/>
  <c r="F4103" i="1" s="1"/>
  <c r="F4104" i="1" s="1"/>
  <c r="F4105" i="1" s="1"/>
  <c r="F4106" i="1" s="1"/>
  <c r="F4107" i="1" s="1"/>
  <c r="F4108" i="1" s="1"/>
  <c r="F4109" i="1" s="1"/>
  <c r="F4110" i="1" s="1"/>
  <c r="F4111" i="1" s="1"/>
  <c r="F4112" i="1" s="1"/>
  <c r="F4113" i="1" s="1"/>
  <c r="F4114" i="1" s="1"/>
  <c r="F4115" i="1" s="1"/>
  <c r="F4116" i="1" s="1"/>
  <c r="F4117" i="1" s="1"/>
  <c r="F4118" i="1" s="1"/>
  <c r="F4119" i="1" s="1"/>
  <c r="F4120" i="1" s="1"/>
  <c r="F4121" i="1" s="1"/>
  <c r="F4122" i="1" s="1"/>
  <c r="F4123" i="1" s="1"/>
  <c r="F4124" i="1" s="1"/>
  <c r="F4125" i="1" s="1"/>
  <c r="F4126" i="1" s="1"/>
  <c r="F4127" i="1" s="1"/>
  <c r="F4128" i="1" s="1"/>
  <c r="F4129" i="1" s="1"/>
  <c r="F4130" i="1" s="1"/>
  <c r="F4131" i="1" s="1"/>
  <c r="F4132" i="1" s="1"/>
  <c r="F4133" i="1" s="1"/>
  <c r="F4134" i="1" s="1"/>
  <c r="F4135" i="1" s="1"/>
  <c r="F4136" i="1" s="1"/>
  <c r="F4137" i="1" s="1"/>
  <c r="F4138" i="1" s="1"/>
  <c r="F4139" i="1" s="1"/>
  <c r="F4140" i="1" s="1"/>
  <c r="F4141" i="1" s="1"/>
  <c r="F4142" i="1" s="1"/>
  <c r="F4143" i="1" s="1"/>
  <c r="F4144" i="1" s="1"/>
  <c r="F4145" i="1" s="1"/>
  <c r="F4146" i="1" s="1"/>
  <c r="F4147" i="1" s="1"/>
  <c r="F4148" i="1" s="1"/>
  <c r="F4149" i="1" s="1"/>
  <c r="F4150" i="1" s="1"/>
  <c r="F4151" i="1" s="1"/>
  <c r="F4152" i="1" s="1"/>
  <c r="F4153" i="1" s="1"/>
  <c r="F4154" i="1" s="1"/>
  <c r="F4155" i="1" s="1"/>
  <c r="F4156" i="1" s="1"/>
  <c r="F4157" i="1" s="1"/>
  <c r="F4158" i="1" s="1"/>
  <c r="F4159" i="1" s="1"/>
  <c r="F4160" i="1" s="1"/>
  <c r="F4161" i="1" s="1"/>
  <c r="F4162" i="1" s="1"/>
  <c r="F4163" i="1" s="1"/>
  <c r="F4164" i="1" s="1"/>
  <c r="F4165" i="1" s="1"/>
  <c r="F4166" i="1" s="1"/>
  <c r="F4167" i="1" s="1"/>
  <c r="F4168" i="1" s="1"/>
  <c r="F4169" i="1" s="1"/>
  <c r="F4170" i="1" s="1"/>
  <c r="F4171" i="1" s="1"/>
  <c r="F4172" i="1" s="1"/>
  <c r="F4173" i="1" s="1"/>
  <c r="F4174" i="1" s="1"/>
  <c r="F4175" i="1" s="1"/>
  <c r="F4176" i="1" s="1"/>
  <c r="F4177" i="1" s="1"/>
  <c r="F4178" i="1" s="1"/>
  <c r="F4179" i="1" s="1"/>
  <c r="F4180" i="1" s="1"/>
  <c r="F4181" i="1" s="1"/>
  <c r="F4182" i="1" s="1"/>
  <c r="F4183" i="1" s="1"/>
  <c r="F4184" i="1" s="1"/>
  <c r="F4185" i="1" s="1"/>
  <c r="F4186" i="1" s="1"/>
  <c r="F4187" i="1" s="1"/>
  <c r="F4188" i="1" s="1"/>
  <c r="F4189" i="1" s="1"/>
  <c r="F4190" i="1" s="1"/>
  <c r="F4191" i="1" s="1"/>
  <c r="F4192" i="1" s="1"/>
  <c r="F4193" i="1" s="1"/>
  <c r="F4194" i="1" s="1"/>
  <c r="F4195" i="1" s="1"/>
  <c r="F4196" i="1" s="1"/>
  <c r="F4197" i="1" s="1"/>
  <c r="F4198" i="1" s="1"/>
  <c r="F4199" i="1" s="1"/>
  <c r="F4200" i="1" s="1"/>
  <c r="F4201" i="1" s="1"/>
  <c r="F4202" i="1" s="1"/>
  <c r="F4203" i="1" s="1"/>
  <c r="F4204" i="1" s="1"/>
  <c r="F4205" i="1" s="1"/>
  <c r="F4206" i="1" s="1"/>
  <c r="F4207" i="1" s="1"/>
  <c r="F4208" i="1" s="1"/>
  <c r="F4209" i="1" s="1"/>
  <c r="F4210" i="1" s="1"/>
  <c r="F4211" i="1" s="1"/>
  <c r="F4212" i="1" s="1"/>
  <c r="F4213" i="1" s="1"/>
  <c r="F4214" i="1" s="1"/>
  <c r="F4215" i="1" s="1"/>
  <c r="F4216" i="1" s="1"/>
  <c r="F4217" i="1" s="1"/>
  <c r="F4218" i="1" s="1"/>
  <c r="F4219" i="1" s="1"/>
  <c r="F4220" i="1" s="1"/>
  <c r="F4221" i="1" s="1"/>
  <c r="F4222" i="1" s="1"/>
  <c r="F4223" i="1" s="1"/>
  <c r="F4224" i="1" s="1"/>
  <c r="F4225" i="1" s="1"/>
  <c r="F4226" i="1" s="1"/>
  <c r="F4227" i="1" s="1"/>
  <c r="F4228" i="1" s="1"/>
  <c r="F4229" i="1" s="1"/>
  <c r="F4230" i="1" s="1"/>
  <c r="F4231" i="1" s="1"/>
  <c r="F4232" i="1" s="1"/>
  <c r="F4233" i="1" s="1"/>
  <c r="F4234" i="1" s="1"/>
  <c r="F4235" i="1" s="1"/>
  <c r="F4236" i="1" s="1"/>
  <c r="F4237" i="1" s="1"/>
  <c r="F4238" i="1" s="1"/>
  <c r="F4239" i="1" s="1"/>
  <c r="F4240" i="1" s="1"/>
  <c r="F4241" i="1" s="1"/>
  <c r="F4242" i="1" s="1"/>
  <c r="F4243" i="1" s="1"/>
  <c r="F4244" i="1" s="1"/>
  <c r="F4245" i="1" s="1"/>
  <c r="F4246" i="1" s="1"/>
  <c r="F4247" i="1" s="1"/>
  <c r="F4248" i="1" s="1"/>
  <c r="F4249" i="1" s="1"/>
  <c r="F4250" i="1" s="1"/>
  <c r="F4251" i="1" s="1"/>
  <c r="F4252" i="1" s="1"/>
  <c r="F4253" i="1" s="1"/>
  <c r="F4254" i="1" s="1"/>
  <c r="F3932" i="1"/>
  <c r="F3933" i="1" s="1"/>
  <c r="F3934" i="1" s="1"/>
  <c r="F3555" i="1" l="1"/>
  <c r="F3556" i="1" s="1"/>
  <c r="F3557" i="1" s="1"/>
  <c r="F3558" i="1" s="1"/>
  <c r="F3559" i="1" s="1"/>
  <c r="F3560" i="1" s="1"/>
  <c r="F3561" i="1" s="1"/>
  <c r="F3562" i="1" s="1"/>
  <c r="F3563" i="1" s="1"/>
  <c r="F3564" i="1" s="1"/>
  <c r="F3565" i="1" s="1"/>
  <c r="F3566" i="1" s="1"/>
  <c r="F3567" i="1" s="1"/>
  <c r="F3568" i="1" s="1"/>
  <c r="F3569" i="1" s="1"/>
  <c r="F3570" i="1" s="1"/>
  <c r="F3571" i="1" s="1"/>
  <c r="F3572" i="1" s="1"/>
  <c r="F3573" i="1" s="1"/>
  <c r="F3574" i="1" s="1"/>
  <c r="F3575" i="1" s="1"/>
  <c r="F3576" i="1" s="1"/>
  <c r="F3577" i="1" s="1"/>
  <c r="F3578" i="1" s="1"/>
  <c r="F3579" i="1" s="1"/>
  <c r="F3580" i="1" s="1"/>
  <c r="F3581" i="1" s="1"/>
  <c r="F3582" i="1" s="1"/>
  <c r="F3583" i="1" s="1"/>
  <c r="F3584" i="1" s="1"/>
  <c r="F3585" i="1" s="1"/>
  <c r="F3586" i="1" s="1"/>
  <c r="F3587" i="1" s="1"/>
  <c r="F3588" i="1" s="1"/>
  <c r="F3589" i="1" s="1"/>
  <c r="F3590" i="1" s="1"/>
  <c r="F3591" i="1" s="1"/>
  <c r="F3592" i="1" s="1"/>
  <c r="F3593" i="1" s="1"/>
  <c r="F3594" i="1" s="1"/>
  <c r="F3595" i="1" s="1"/>
  <c r="F3596" i="1" s="1"/>
  <c r="F3597" i="1" s="1"/>
  <c r="F3598" i="1" s="1"/>
  <c r="F3599" i="1" s="1"/>
  <c r="F3600" i="1" s="1"/>
  <c r="F3601" i="1" s="1"/>
  <c r="F3602" i="1" s="1"/>
  <c r="F3603" i="1" s="1"/>
  <c r="F3604" i="1" s="1"/>
  <c r="F3605" i="1" s="1"/>
  <c r="F3606" i="1" s="1"/>
  <c r="F3607" i="1" s="1"/>
  <c r="F3608" i="1" s="1"/>
  <c r="F3609" i="1" s="1"/>
  <c r="F3610" i="1" s="1"/>
  <c r="F3611" i="1" s="1"/>
  <c r="F3612" i="1" s="1"/>
  <c r="F3613" i="1" s="1"/>
  <c r="F3614" i="1" s="1"/>
  <c r="F3615" i="1" s="1"/>
  <c r="F3616" i="1" s="1"/>
  <c r="F3617" i="1" s="1"/>
  <c r="F3618" i="1" s="1"/>
  <c r="F3619" i="1" s="1"/>
  <c r="F3620" i="1" s="1"/>
  <c r="F3621" i="1" s="1"/>
  <c r="F3622" i="1" s="1"/>
  <c r="F3623" i="1" s="1"/>
  <c r="F3624" i="1" s="1"/>
  <c r="F3625" i="1" s="1"/>
  <c r="F3626" i="1" s="1"/>
  <c r="F3627" i="1" s="1"/>
  <c r="F3628" i="1" s="1"/>
  <c r="F3629" i="1" s="1"/>
  <c r="F3630" i="1" s="1"/>
  <c r="F3631" i="1" s="1"/>
  <c r="F3632" i="1" s="1"/>
  <c r="F3633" i="1" s="1"/>
  <c r="F3634" i="1" s="1"/>
  <c r="F3635" i="1" s="1"/>
  <c r="F3636" i="1" s="1"/>
  <c r="F3637" i="1" s="1"/>
  <c r="F3638" i="1" s="1"/>
  <c r="F3639" i="1" s="1"/>
  <c r="F3640" i="1" s="1"/>
  <c r="F3641" i="1" s="1"/>
  <c r="F3642" i="1" s="1"/>
  <c r="F3643" i="1" s="1"/>
  <c r="F3644" i="1" s="1"/>
  <c r="F3645" i="1" s="1"/>
  <c r="F3646" i="1" s="1"/>
  <c r="F3647" i="1" s="1"/>
  <c r="F3648" i="1" s="1"/>
  <c r="F3649" i="1" s="1"/>
  <c r="F3650" i="1" s="1"/>
  <c r="F3651" i="1" s="1"/>
  <c r="F3652" i="1" s="1"/>
  <c r="F3653" i="1" s="1"/>
  <c r="F3654" i="1" s="1"/>
  <c r="F3655" i="1" s="1"/>
  <c r="F3656" i="1" s="1"/>
  <c r="F3657" i="1" s="1"/>
  <c r="F3658" i="1" s="1"/>
  <c r="F3659" i="1" s="1"/>
  <c r="F3660" i="1" s="1"/>
  <c r="F3661" i="1" s="1"/>
  <c r="F3662" i="1" s="1"/>
  <c r="F3663" i="1" s="1"/>
  <c r="F3664" i="1" s="1"/>
  <c r="F3665" i="1" s="1"/>
  <c r="F3666" i="1" s="1"/>
  <c r="F3667" i="1" s="1"/>
  <c r="F3668" i="1" s="1"/>
  <c r="F3669" i="1" s="1"/>
  <c r="F3670" i="1" s="1"/>
  <c r="F3671" i="1" s="1"/>
  <c r="F3672" i="1" s="1"/>
  <c r="F3673" i="1" s="1"/>
  <c r="F3674" i="1" s="1"/>
  <c r="F3675" i="1" s="1"/>
  <c r="F3676" i="1" s="1"/>
  <c r="F3677" i="1" s="1"/>
  <c r="F3678" i="1" s="1"/>
  <c r="F3679" i="1" s="1"/>
  <c r="F3680" i="1" s="1"/>
  <c r="F3681" i="1" s="1"/>
  <c r="F3682" i="1" s="1"/>
  <c r="F3683" i="1" s="1"/>
  <c r="F3684" i="1" s="1"/>
  <c r="F3685" i="1" s="1"/>
  <c r="F3686" i="1" s="1"/>
  <c r="F3687" i="1" s="1"/>
  <c r="F3688" i="1" s="1"/>
  <c r="F3689" i="1" s="1"/>
  <c r="F3690" i="1" s="1"/>
  <c r="F3691" i="1" s="1"/>
  <c r="F3692" i="1" s="1"/>
  <c r="F3693" i="1" s="1"/>
  <c r="F3694" i="1" s="1"/>
  <c r="F3695" i="1" s="1"/>
  <c r="F3696" i="1" s="1"/>
  <c r="F3697" i="1" s="1"/>
  <c r="F3698" i="1" s="1"/>
  <c r="F3699" i="1" s="1"/>
  <c r="F3700" i="1" s="1"/>
  <c r="F3701" i="1" s="1"/>
  <c r="F3702" i="1" s="1"/>
  <c r="F3703" i="1" s="1"/>
  <c r="F3704" i="1" s="1"/>
  <c r="F3705" i="1" s="1"/>
  <c r="F3706" i="1" s="1"/>
  <c r="F3707" i="1" s="1"/>
  <c r="F3708" i="1" s="1"/>
  <c r="F3709" i="1" s="1"/>
  <c r="F3710" i="1" s="1"/>
  <c r="F3711" i="1" s="1"/>
  <c r="F3712" i="1" s="1"/>
  <c r="F3713" i="1" s="1"/>
  <c r="F3714" i="1" s="1"/>
  <c r="F3715" i="1" s="1"/>
  <c r="F3716" i="1" s="1"/>
  <c r="F3717" i="1" s="1"/>
  <c r="F3718" i="1" s="1"/>
  <c r="F3719" i="1" s="1"/>
  <c r="F3720" i="1" s="1"/>
  <c r="F3721" i="1" s="1"/>
  <c r="F3722" i="1" s="1"/>
  <c r="F3723" i="1" s="1"/>
  <c r="F3724" i="1" s="1"/>
  <c r="F3725" i="1" s="1"/>
  <c r="F3726" i="1" s="1"/>
  <c r="F3727" i="1" s="1"/>
  <c r="F3728" i="1" s="1"/>
  <c r="F3729" i="1" s="1"/>
  <c r="F3730" i="1" s="1"/>
  <c r="F3731" i="1" s="1"/>
  <c r="F3732" i="1" s="1"/>
  <c r="F3733" i="1" s="1"/>
  <c r="F3734" i="1" s="1"/>
  <c r="F3735" i="1" s="1"/>
  <c r="F3736" i="1" s="1"/>
  <c r="F3737" i="1" s="1"/>
  <c r="F3738" i="1" s="1"/>
  <c r="F3739" i="1" s="1"/>
  <c r="F3740" i="1" s="1"/>
  <c r="F3741" i="1" s="1"/>
  <c r="F3742" i="1" s="1"/>
  <c r="F3743" i="1" s="1"/>
  <c r="F3744" i="1" s="1"/>
  <c r="F3745" i="1" s="1"/>
  <c r="F3746" i="1" s="1"/>
  <c r="F3747" i="1" s="1"/>
  <c r="F3748" i="1" s="1"/>
  <c r="F3749" i="1" s="1"/>
  <c r="F3750" i="1" s="1"/>
  <c r="F3751" i="1" s="1"/>
  <c r="F3752" i="1" s="1"/>
  <c r="F3753" i="1" s="1"/>
  <c r="F3754" i="1" s="1"/>
  <c r="F3755" i="1" s="1"/>
  <c r="F3756" i="1" s="1"/>
  <c r="F3757" i="1" s="1"/>
  <c r="F3758" i="1" s="1"/>
  <c r="F3759" i="1" s="1"/>
  <c r="F3760" i="1" s="1"/>
  <c r="F3761" i="1" s="1"/>
  <c r="F3762" i="1" s="1"/>
  <c r="F3763" i="1" s="1"/>
  <c r="F3764" i="1" s="1"/>
  <c r="F3765" i="1" s="1"/>
  <c r="F3766" i="1" s="1"/>
  <c r="F3767" i="1" s="1"/>
  <c r="F3768" i="1" s="1"/>
  <c r="F3769" i="1" s="1"/>
  <c r="F3770" i="1" s="1"/>
  <c r="F3771" i="1" s="1"/>
  <c r="F3772" i="1" s="1"/>
  <c r="F3773" i="1" s="1"/>
  <c r="F3774" i="1" s="1"/>
  <c r="F3775" i="1" s="1"/>
  <c r="F3776" i="1" s="1"/>
  <c r="F3777" i="1" s="1"/>
  <c r="F3778" i="1" s="1"/>
  <c r="F3779" i="1" s="1"/>
  <c r="F3780" i="1" s="1"/>
  <c r="F3781" i="1" s="1"/>
  <c r="F3782" i="1" s="1"/>
  <c r="F3783" i="1" s="1"/>
  <c r="F3784" i="1" s="1"/>
  <c r="F3785" i="1" s="1"/>
  <c r="F3786" i="1" s="1"/>
  <c r="F3787" i="1" s="1"/>
  <c r="F3788" i="1" s="1"/>
  <c r="F3789" i="1" s="1"/>
  <c r="F3790" i="1" s="1"/>
  <c r="F3791" i="1" s="1"/>
  <c r="F3792" i="1" s="1"/>
  <c r="F3793" i="1" s="1"/>
  <c r="F3794" i="1" s="1"/>
  <c r="F3795" i="1" s="1"/>
  <c r="F3796" i="1" s="1"/>
  <c r="F3797" i="1" s="1"/>
  <c r="F3798" i="1" s="1"/>
  <c r="F3799" i="1" s="1"/>
  <c r="F3800" i="1" s="1"/>
  <c r="F3801" i="1" s="1"/>
  <c r="F3802" i="1" s="1"/>
  <c r="F3803" i="1" s="1"/>
  <c r="F3804" i="1" s="1"/>
  <c r="F3805" i="1" s="1"/>
  <c r="F3806" i="1" s="1"/>
  <c r="F3807" i="1" s="1"/>
  <c r="F3808" i="1" s="1"/>
  <c r="F3809" i="1" s="1"/>
  <c r="F3810" i="1" s="1"/>
  <c r="F3811" i="1" s="1"/>
  <c r="F3812" i="1" s="1"/>
  <c r="F3813" i="1" s="1"/>
  <c r="F3814" i="1" s="1"/>
  <c r="F3815" i="1" s="1"/>
  <c r="F3816" i="1" s="1"/>
  <c r="F3817" i="1" s="1"/>
  <c r="F3818" i="1" s="1"/>
  <c r="F3819" i="1" s="1"/>
  <c r="F3820" i="1" s="1"/>
  <c r="F3821" i="1" s="1"/>
  <c r="F3822" i="1" s="1"/>
  <c r="F3823" i="1" s="1"/>
  <c r="F3824" i="1" s="1"/>
  <c r="F3825" i="1" s="1"/>
  <c r="F3826" i="1" s="1"/>
  <c r="F3827" i="1" s="1"/>
  <c r="F3828" i="1" s="1"/>
  <c r="F3829" i="1" s="1"/>
  <c r="F3830" i="1" s="1"/>
  <c r="F3831" i="1" s="1"/>
  <c r="F3832" i="1" s="1"/>
  <c r="F3833" i="1" s="1"/>
  <c r="F3834" i="1" s="1"/>
  <c r="F3835" i="1" s="1"/>
  <c r="F3836" i="1" s="1"/>
  <c r="F3837" i="1" s="1"/>
  <c r="F3838" i="1" s="1"/>
  <c r="F3839" i="1" s="1"/>
  <c r="F3840" i="1" s="1"/>
  <c r="F3841" i="1" s="1"/>
  <c r="F3842" i="1" s="1"/>
  <c r="F3843" i="1" s="1"/>
  <c r="F3844" i="1" s="1"/>
  <c r="F3845" i="1" s="1"/>
  <c r="F3846" i="1" s="1"/>
  <c r="F3847" i="1" s="1"/>
  <c r="F3848" i="1" s="1"/>
  <c r="F3849" i="1" s="1"/>
  <c r="F3850" i="1" s="1"/>
  <c r="F3851" i="1" s="1"/>
  <c r="F3852" i="1" s="1"/>
  <c r="F3853" i="1" s="1"/>
  <c r="F3854" i="1" s="1"/>
  <c r="F3855" i="1" s="1"/>
  <c r="F3856" i="1" s="1"/>
  <c r="F3857" i="1" s="1"/>
  <c r="F3858" i="1" s="1"/>
  <c r="F3859" i="1" s="1"/>
  <c r="F3860" i="1" s="1"/>
  <c r="F3861" i="1" s="1"/>
  <c r="F3862" i="1" s="1"/>
  <c r="F3863" i="1" s="1"/>
  <c r="F3864" i="1" s="1"/>
  <c r="F3865" i="1" s="1"/>
  <c r="F3866" i="1" s="1"/>
  <c r="F3867" i="1" s="1"/>
  <c r="F3868" i="1" s="1"/>
  <c r="F3869" i="1" s="1"/>
  <c r="F3870" i="1" s="1"/>
  <c r="F3871" i="1" s="1"/>
  <c r="F3872" i="1" s="1"/>
  <c r="F3873" i="1" s="1"/>
  <c r="F3874" i="1" s="1"/>
  <c r="F3875" i="1" s="1"/>
  <c r="F3876" i="1" s="1"/>
  <c r="F3877" i="1" s="1"/>
  <c r="F3878" i="1" s="1"/>
  <c r="F3879" i="1" s="1"/>
  <c r="F3880" i="1" s="1"/>
  <c r="F3881" i="1" s="1"/>
  <c r="F3882" i="1" s="1"/>
  <c r="F3883" i="1" s="1"/>
  <c r="F3884" i="1" s="1"/>
  <c r="F3885" i="1" s="1"/>
  <c r="F3886" i="1" s="1"/>
  <c r="F3887" i="1" s="1"/>
  <c r="F3888" i="1" s="1"/>
  <c r="F3889" i="1" s="1"/>
  <c r="F3890" i="1" s="1"/>
  <c r="F3891" i="1" s="1"/>
  <c r="F3892" i="1" s="1"/>
  <c r="F3893" i="1" s="1"/>
  <c r="F3894" i="1" s="1"/>
  <c r="F3895" i="1" s="1"/>
  <c r="F3896" i="1" s="1"/>
  <c r="F3897" i="1" s="1"/>
  <c r="F3898" i="1" s="1"/>
  <c r="F3899" i="1" s="1"/>
  <c r="F3900" i="1" s="1"/>
  <c r="F3901" i="1" s="1"/>
  <c r="F3902" i="1" s="1"/>
  <c r="F3903" i="1" s="1"/>
  <c r="F3904" i="1" s="1"/>
  <c r="F3905" i="1" s="1"/>
  <c r="F3906" i="1" s="1"/>
  <c r="F3907" i="1" s="1"/>
  <c r="F3908" i="1" s="1"/>
  <c r="F3909" i="1" s="1"/>
  <c r="F3910" i="1" s="1"/>
  <c r="F3911" i="1" s="1"/>
  <c r="F3912" i="1" s="1"/>
  <c r="F3913" i="1" s="1"/>
  <c r="F3914" i="1" s="1"/>
  <c r="F3915" i="1" s="1"/>
  <c r="F3916" i="1" s="1"/>
  <c r="F3917" i="1" s="1"/>
  <c r="F3918" i="1" s="1"/>
  <c r="F3919" i="1" s="1"/>
  <c r="F3920" i="1" s="1"/>
  <c r="F3921" i="1" s="1"/>
  <c r="F3922" i="1" s="1"/>
  <c r="F3923" i="1" s="1"/>
  <c r="F3924" i="1" s="1"/>
  <c r="F3925" i="1" s="1"/>
  <c r="F3926" i="1" s="1"/>
  <c r="F3927" i="1" s="1"/>
  <c r="F3186" i="1" l="1"/>
  <c r="F3187" i="1" s="1"/>
  <c r="F3188" i="1" s="1"/>
  <c r="F3189" i="1" s="1"/>
  <c r="F3190" i="1" s="1"/>
  <c r="F3191" i="1" s="1"/>
  <c r="F3192" i="1" s="1"/>
  <c r="F3193" i="1" s="1"/>
  <c r="F3194" i="1" s="1"/>
  <c r="F3195" i="1" s="1"/>
  <c r="F3196" i="1" s="1"/>
  <c r="F3197" i="1" s="1"/>
  <c r="F3198" i="1" s="1"/>
  <c r="F3199" i="1" s="1"/>
  <c r="F3200" i="1" s="1"/>
  <c r="F3201" i="1" s="1"/>
  <c r="F3202" i="1" s="1"/>
  <c r="F3203" i="1" s="1"/>
  <c r="F3204" i="1" s="1"/>
  <c r="F3205" i="1" s="1"/>
  <c r="F3206" i="1" s="1"/>
  <c r="F3207" i="1" s="1"/>
  <c r="F3208" i="1" s="1"/>
  <c r="F3209" i="1" s="1"/>
  <c r="F3210" i="1" s="1"/>
  <c r="F3211" i="1" s="1"/>
  <c r="F3212" i="1" s="1"/>
  <c r="F3213" i="1" s="1"/>
  <c r="F3214" i="1" s="1"/>
  <c r="F3215" i="1" s="1"/>
  <c r="F3216" i="1" s="1"/>
  <c r="F3217" i="1" s="1"/>
  <c r="F3218" i="1" s="1"/>
  <c r="F3219" i="1" s="1"/>
  <c r="F3220" i="1" s="1"/>
  <c r="F3221" i="1" s="1"/>
  <c r="F3222" i="1" s="1"/>
  <c r="F3223" i="1" s="1"/>
  <c r="F3224" i="1" s="1"/>
  <c r="F3225" i="1" s="1"/>
  <c r="F3226" i="1" s="1"/>
  <c r="F3227" i="1" s="1"/>
  <c r="F3228" i="1" s="1"/>
  <c r="F3229" i="1" s="1"/>
  <c r="F3230" i="1" s="1"/>
  <c r="F3231" i="1" s="1"/>
  <c r="F3232" i="1" s="1"/>
  <c r="F3233" i="1" s="1"/>
  <c r="F3234" i="1" s="1"/>
  <c r="F3235" i="1" s="1"/>
  <c r="F3236" i="1" s="1"/>
  <c r="F3237" i="1" s="1"/>
  <c r="F3238" i="1" s="1"/>
  <c r="F3239" i="1" s="1"/>
  <c r="F3240" i="1" s="1"/>
  <c r="F3241" i="1" s="1"/>
  <c r="F3242" i="1" s="1"/>
  <c r="F3243" i="1" s="1"/>
  <c r="F3244" i="1" s="1"/>
  <c r="F3245" i="1" s="1"/>
  <c r="F3246" i="1" s="1"/>
  <c r="F3247" i="1" s="1"/>
  <c r="F3248" i="1" s="1"/>
  <c r="F3249" i="1" s="1"/>
  <c r="F3250" i="1" s="1"/>
  <c r="F3251" i="1" s="1"/>
  <c r="F3252" i="1" s="1"/>
  <c r="F3253" i="1" s="1"/>
  <c r="F3254" i="1" s="1"/>
  <c r="F3255" i="1" s="1"/>
  <c r="F3256" i="1" s="1"/>
  <c r="F3257" i="1" s="1"/>
  <c r="F3258" i="1" s="1"/>
  <c r="F3259" i="1" s="1"/>
  <c r="F3260" i="1" s="1"/>
  <c r="F3261" i="1" s="1"/>
  <c r="F3262" i="1" s="1"/>
  <c r="F3263" i="1" s="1"/>
  <c r="F3264" i="1" s="1"/>
  <c r="F3265" i="1" s="1"/>
  <c r="F3266" i="1" s="1"/>
  <c r="F3267" i="1" s="1"/>
  <c r="F3268" i="1" s="1"/>
  <c r="F3269" i="1" s="1"/>
  <c r="F3270" i="1" s="1"/>
  <c r="F3271" i="1" s="1"/>
  <c r="F3272" i="1" s="1"/>
  <c r="F3273" i="1" s="1"/>
  <c r="F3274" i="1" s="1"/>
  <c r="F3275" i="1" s="1"/>
  <c r="F3276" i="1" s="1"/>
  <c r="F3277" i="1" s="1"/>
  <c r="F3278" i="1" s="1"/>
  <c r="F3279" i="1" s="1"/>
  <c r="F3280" i="1" s="1"/>
  <c r="F3281" i="1" s="1"/>
  <c r="F3282" i="1" s="1"/>
  <c r="F3283" i="1" s="1"/>
  <c r="F3284" i="1" s="1"/>
  <c r="F3285" i="1" s="1"/>
  <c r="F3286" i="1" s="1"/>
  <c r="F3287" i="1" s="1"/>
  <c r="F3288" i="1" s="1"/>
  <c r="F3289" i="1" s="1"/>
  <c r="F3290" i="1" s="1"/>
  <c r="F3291" i="1" s="1"/>
  <c r="F3292" i="1" s="1"/>
  <c r="F3293" i="1" s="1"/>
  <c r="F3294" i="1" s="1"/>
  <c r="F3295" i="1" s="1"/>
  <c r="F3296" i="1" s="1"/>
  <c r="F3297" i="1" s="1"/>
  <c r="F3298" i="1" s="1"/>
  <c r="F3299" i="1" s="1"/>
  <c r="F3300" i="1" s="1"/>
  <c r="F3301" i="1" s="1"/>
  <c r="F3302" i="1" s="1"/>
  <c r="F3303" i="1" s="1"/>
  <c r="F3304" i="1" s="1"/>
  <c r="F3305" i="1" s="1"/>
  <c r="F3306" i="1" s="1"/>
  <c r="F3307" i="1" s="1"/>
  <c r="F3308" i="1" s="1"/>
  <c r="F3309" i="1" s="1"/>
  <c r="F3310" i="1" s="1"/>
  <c r="F3311" i="1" s="1"/>
  <c r="F3312" i="1" s="1"/>
  <c r="F3313" i="1" s="1"/>
  <c r="F3314" i="1" s="1"/>
  <c r="F3315" i="1" s="1"/>
  <c r="F3316" i="1" s="1"/>
  <c r="F3317" i="1" s="1"/>
  <c r="F3318" i="1" s="1"/>
  <c r="F3319" i="1" s="1"/>
  <c r="F3320" i="1" s="1"/>
  <c r="F3321" i="1" s="1"/>
  <c r="F3322" i="1" s="1"/>
  <c r="F3323" i="1" s="1"/>
  <c r="F3324" i="1" s="1"/>
  <c r="F3325" i="1" s="1"/>
  <c r="F3326" i="1" s="1"/>
  <c r="F3327" i="1" s="1"/>
  <c r="F3328" i="1" s="1"/>
  <c r="F3329" i="1" s="1"/>
  <c r="F3330" i="1" s="1"/>
  <c r="F3331" i="1" s="1"/>
  <c r="F3332" i="1" s="1"/>
  <c r="F3333" i="1" s="1"/>
  <c r="F3334" i="1" s="1"/>
  <c r="F3335" i="1" s="1"/>
  <c r="F3336" i="1" s="1"/>
  <c r="F3337" i="1" s="1"/>
  <c r="F3338" i="1" s="1"/>
  <c r="F3339" i="1" s="1"/>
  <c r="F3340" i="1" s="1"/>
  <c r="F3341" i="1" s="1"/>
  <c r="F3342" i="1" s="1"/>
  <c r="F3343" i="1" s="1"/>
  <c r="F3344" i="1" s="1"/>
  <c r="F3345" i="1" s="1"/>
  <c r="F3346" i="1" s="1"/>
  <c r="F3347" i="1" s="1"/>
  <c r="F3348" i="1" s="1"/>
  <c r="F3349" i="1" s="1"/>
  <c r="F3350" i="1" s="1"/>
  <c r="F3351" i="1" s="1"/>
  <c r="F3352" i="1" s="1"/>
  <c r="F3353" i="1" s="1"/>
  <c r="F3354" i="1" s="1"/>
  <c r="F3355" i="1" s="1"/>
  <c r="F3356" i="1" s="1"/>
  <c r="F3357" i="1" s="1"/>
  <c r="F3358" i="1" s="1"/>
  <c r="F3359" i="1" s="1"/>
  <c r="F3360" i="1" s="1"/>
  <c r="F3361" i="1" s="1"/>
  <c r="F3362" i="1" s="1"/>
  <c r="F3363" i="1" s="1"/>
  <c r="F3364" i="1" s="1"/>
  <c r="F3365" i="1" s="1"/>
  <c r="F3366" i="1" s="1"/>
  <c r="F3367" i="1" s="1"/>
  <c r="F3368" i="1" s="1"/>
  <c r="F3369" i="1" s="1"/>
  <c r="F3370" i="1" s="1"/>
  <c r="F3371" i="1" s="1"/>
  <c r="F3372" i="1" s="1"/>
  <c r="F3373" i="1" s="1"/>
  <c r="F3374" i="1" s="1"/>
  <c r="F3375" i="1" s="1"/>
  <c r="F3376" i="1" s="1"/>
  <c r="F3377" i="1" s="1"/>
  <c r="F3378" i="1" s="1"/>
  <c r="F3379" i="1" s="1"/>
  <c r="F3380" i="1" s="1"/>
  <c r="F3381" i="1" s="1"/>
  <c r="F3382" i="1" s="1"/>
  <c r="F3383" i="1" s="1"/>
  <c r="F3384" i="1" s="1"/>
  <c r="F3385" i="1" s="1"/>
  <c r="F3386" i="1" s="1"/>
  <c r="F3387" i="1" s="1"/>
  <c r="F3388" i="1" s="1"/>
  <c r="F3389" i="1" s="1"/>
  <c r="F3390" i="1" s="1"/>
  <c r="F3391" i="1" s="1"/>
  <c r="F3392" i="1" s="1"/>
  <c r="F3393" i="1" s="1"/>
  <c r="F3394" i="1" s="1"/>
  <c r="F3395" i="1" s="1"/>
  <c r="F3396" i="1" s="1"/>
  <c r="F3397" i="1" s="1"/>
  <c r="F3398" i="1" s="1"/>
  <c r="F3399" i="1" s="1"/>
  <c r="F3400" i="1" s="1"/>
  <c r="F3401" i="1" s="1"/>
  <c r="F3402" i="1" s="1"/>
  <c r="F3403" i="1" s="1"/>
  <c r="F3404" i="1" s="1"/>
  <c r="F3405" i="1" s="1"/>
  <c r="F3406" i="1" s="1"/>
  <c r="F3407" i="1" s="1"/>
  <c r="F3408" i="1" s="1"/>
  <c r="F3409" i="1" s="1"/>
  <c r="F3410" i="1" s="1"/>
  <c r="F3411" i="1" s="1"/>
  <c r="F3412" i="1" s="1"/>
  <c r="F3413" i="1" s="1"/>
  <c r="F3414" i="1" s="1"/>
  <c r="F3415" i="1" s="1"/>
  <c r="F3416" i="1" s="1"/>
  <c r="F3417" i="1" s="1"/>
  <c r="F3418" i="1" s="1"/>
  <c r="F3419" i="1" s="1"/>
  <c r="F3420" i="1" s="1"/>
  <c r="F3421" i="1" s="1"/>
  <c r="F3422" i="1" s="1"/>
  <c r="F3423" i="1" s="1"/>
  <c r="F3424" i="1" s="1"/>
  <c r="F3425" i="1" s="1"/>
  <c r="F3426" i="1" s="1"/>
  <c r="F3427" i="1" s="1"/>
  <c r="F3428" i="1" s="1"/>
  <c r="F3429" i="1" s="1"/>
  <c r="F3430" i="1" s="1"/>
  <c r="F3431" i="1" s="1"/>
  <c r="F3432" i="1" s="1"/>
  <c r="F3433" i="1" s="1"/>
  <c r="F3434" i="1" s="1"/>
  <c r="F3435" i="1" s="1"/>
  <c r="F3436" i="1" s="1"/>
  <c r="F3437" i="1" s="1"/>
  <c r="F3438" i="1" s="1"/>
  <c r="F3439" i="1" s="1"/>
  <c r="F3440" i="1" s="1"/>
  <c r="F3441" i="1" s="1"/>
  <c r="F3442" i="1" s="1"/>
  <c r="F3443" i="1" s="1"/>
  <c r="F3444" i="1" s="1"/>
  <c r="F3445" i="1" s="1"/>
  <c r="F3446" i="1" s="1"/>
  <c r="F3447" i="1" s="1"/>
  <c r="F3448" i="1" s="1"/>
  <c r="F3449" i="1" s="1"/>
  <c r="F3450" i="1" s="1"/>
  <c r="F3451" i="1" s="1"/>
  <c r="F3452" i="1" s="1"/>
  <c r="F3453" i="1" s="1"/>
  <c r="F3454" i="1" s="1"/>
  <c r="F3455" i="1" s="1"/>
  <c r="F3456" i="1" s="1"/>
  <c r="F3457" i="1" s="1"/>
  <c r="F3458" i="1" s="1"/>
  <c r="F3459" i="1" s="1"/>
  <c r="F3460" i="1" s="1"/>
  <c r="F3461" i="1" s="1"/>
  <c r="F3462" i="1" s="1"/>
  <c r="F3463" i="1" s="1"/>
  <c r="F3464" i="1" s="1"/>
  <c r="F3465" i="1" s="1"/>
  <c r="F3466" i="1" s="1"/>
  <c r="F3467" i="1" s="1"/>
  <c r="F3468" i="1" s="1"/>
  <c r="F3469" i="1" s="1"/>
  <c r="F3470" i="1" s="1"/>
  <c r="F3471" i="1" s="1"/>
  <c r="F3472" i="1" s="1"/>
  <c r="F3473" i="1" s="1"/>
  <c r="F3474" i="1" s="1"/>
  <c r="F3475" i="1" s="1"/>
  <c r="F3476" i="1" s="1"/>
  <c r="F3477" i="1" s="1"/>
  <c r="F3478" i="1" s="1"/>
  <c r="F3479" i="1" s="1"/>
  <c r="F3480" i="1" s="1"/>
  <c r="F3481" i="1" s="1"/>
  <c r="F3482" i="1" s="1"/>
  <c r="F3483" i="1" s="1"/>
  <c r="F3484" i="1" s="1"/>
  <c r="F3485" i="1" s="1"/>
  <c r="F3486" i="1" s="1"/>
  <c r="F3487" i="1" s="1"/>
  <c r="F3488" i="1" s="1"/>
  <c r="F3489" i="1" s="1"/>
  <c r="F3490" i="1" s="1"/>
  <c r="F3491" i="1" s="1"/>
  <c r="F3492" i="1" s="1"/>
  <c r="F3493" i="1" s="1"/>
  <c r="F3494" i="1" s="1"/>
  <c r="F3495" i="1" s="1"/>
  <c r="F3496" i="1" s="1"/>
  <c r="F3497" i="1" s="1"/>
  <c r="F3498" i="1" s="1"/>
  <c r="F3499" i="1" s="1"/>
  <c r="F3500" i="1" s="1"/>
  <c r="F3501" i="1" s="1"/>
  <c r="F3502" i="1" s="1"/>
  <c r="F3503" i="1" s="1"/>
  <c r="F3504" i="1" s="1"/>
  <c r="F3505" i="1" s="1"/>
  <c r="F3506" i="1" s="1"/>
  <c r="F3507" i="1" s="1"/>
  <c r="F3508" i="1" s="1"/>
  <c r="F3509" i="1" s="1"/>
  <c r="F3510" i="1" s="1"/>
  <c r="F3511" i="1" s="1"/>
  <c r="F3512" i="1" s="1"/>
  <c r="F3513" i="1" s="1"/>
  <c r="F3514" i="1" s="1"/>
  <c r="F3515" i="1" s="1"/>
  <c r="F3516" i="1" s="1"/>
  <c r="F3517" i="1" s="1"/>
  <c r="F3518" i="1" s="1"/>
  <c r="F3519" i="1" s="1"/>
  <c r="F3520" i="1" s="1"/>
  <c r="F3521" i="1" s="1"/>
  <c r="F3522" i="1" s="1"/>
  <c r="F3523" i="1" s="1"/>
  <c r="F3524" i="1" s="1"/>
  <c r="F3525" i="1" s="1"/>
  <c r="F3526" i="1" s="1"/>
  <c r="F3527" i="1" s="1"/>
  <c r="F3528" i="1" s="1"/>
  <c r="F3529" i="1" s="1"/>
  <c r="F3530" i="1" s="1"/>
  <c r="F3531" i="1" s="1"/>
  <c r="F3532" i="1" s="1"/>
  <c r="F3533" i="1" s="1"/>
  <c r="F3534" i="1" s="1"/>
  <c r="F3535" i="1" s="1"/>
  <c r="F3536" i="1" s="1"/>
  <c r="F3537" i="1" s="1"/>
  <c r="F3538" i="1" s="1"/>
  <c r="F3539" i="1" s="1"/>
  <c r="F3540" i="1" s="1"/>
  <c r="F3541" i="1" s="1"/>
  <c r="F3542" i="1" s="1"/>
  <c r="F3543" i="1" s="1"/>
  <c r="F3544" i="1" s="1"/>
  <c r="F3545" i="1" s="1"/>
  <c r="F3546" i="1" s="1"/>
  <c r="F3547" i="1" s="1"/>
  <c r="F3548" i="1" s="1"/>
  <c r="F3549" i="1" s="1"/>
  <c r="F3550" i="1" s="1"/>
  <c r="F2826" i="1" l="1"/>
  <c r="F2827" i="1" s="1"/>
  <c r="F2828" i="1" s="1"/>
  <c r="F2829" i="1" s="1"/>
  <c r="F2830" i="1" s="1"/>
  <c r="F2831" i="1" s="1"/>
  <c r="F2832" i="1" s="1"/>
  <c r="F2833" i="1" s="1"/>
  <c r="F2834" i="1" s="1"/>
  <c r="F2835" i="1" s="1"/>
  <c r="F2836" i="1" s="1"/>
  <c r="F2837" i="1" s="1"/>
  <c r="F2838" i="1" s="1"/>
  <c r="F2839" i="1" s="1"/>
  <c r="F2840" i="1" s="1"/>
  <c r="F2841" i="1" s="1"/>
  <c r="F2842" i="1" s="1"/>
  <c r="F2843" i="1" s="1"/>
  <c r="F2844" i="1" s="1"/>
  <c r="F2845" i="1" s="1"/>
  <c r="F2846" i="1" s="1"/>
  <c r="F2847" i="1" s="1"/>
  <c r="F2848" i="1" s="1"/>
  <c r="F2849" i="1" s="1"/>
  <c r="F2850" i="1" s="1"/>
  <c r="F2851" i="1" s="1"/>
  <c r="F2852" i="1" s="1"/>
  <c r="F2853" i="1" s="1"/>
  <c r="F2854" i="1" s="1"/>
  <c r="F2855" i="1" s="1"/>
  <c r="F2856" i="1" s="1"/>
  <c r="F2857" i="1" s="1"/>
  <c r="F2858" i="1" s="1"/>
  <c r="F2859" i="1" s="1"/>
  <c r="F2860" i="1" s="1"/>
  <c r="F2861" i="1" s="1"/>
  <c r="F2862" i="1" s="1"/>
  <c r="F2863" i="1" s="1"/>
  <c r="F2864" i="1" s="1"/>
  <c r="F2865" i="1" s="1"/>
  <c r="F2866" i="1" s="1"/>
  <c r="F2867" i="1" s="1"/>
  <c r="F2868" i="1" s="1"/>
  <c r="F2869" i="1" s="1"/>
  <c r="F2870" i="1" s="1"/>
  <c r="F2871" i="1" s="1"/>
  <c r="F2872" i="1" s="1"/>
  <c r="F2873" i="1" s="1"/>
  <c r="F2874" i="1" s="1"/>
  <c r="F2875" i="1" s="1"/>
  <c r="F2876" i="1" s="1"/>
  <c r="F2877" i="1" s="1"/>
  <c r="F2878" i="1" s="1"/>
  <c r="F2879" i="1" s="1"/>
  <c r="F2880" i="1" s="1"/>
  <c r="F2881" i="1" s="1"/>
  <c r="F2882" i="1" s="1"/>
  <c r="F2883" i="1" s="1"/>
  <c r="F2884" i="1" s="1"/>
  <c r="F2885" i="1" s="1"/>
  <c r="F2886" i="1" s="1"/>
  <c r="F2887" i="1" s="1"/>
  <c r="F2888" i="1" s="1"/>
  <c r="F2889" i="1" s="1"/>
  <c r="F2890" i="1" s="1"/>
  <c r="F2891" i="1" s="1"/>
  <c r="F2892" i="1" s="1"/>
  <c r="F2893" i="1" s="1"/>
  <c r="F2894" i="1" s="1"/>
  <c r="F2895" i="1" s="1"/>
  <c r="F2896" i="1" s="1"/>
  <c r="F2897" i="1" s="1"/>
  <c r="F2898" i="1" s="1"/>
  <c r="F2899" i="1" s="1"/>
  <c r="F2900" i="1" s="1"/>
  <c r="F2901" i="1" s="1"/>
  <c r="F2902" i="1" s="1"/>
  <c r="F2903" i="1" s="1"/>
  <c r="F2904" i="1" s="1"/>
  <c r="F2905" i="1" s="1"/>
  <c r="F2906" i="1" s="1"/>
  <c r="F2907" i="1" s="1"/>
  <c r="F2908" i="1" s="1"/>
  <c r="F2909" i="1" s="1"/>
  <c r="F2910" i="1" s="1"/>
  <c r="F2911" i="1" s="1"/>
  <c r="F2912" i="1" s="1"/>
  <c r="F2913" i="1" s="1"/>
  <c r="F2914" i="1" s="1"/>
  <c r="F2915" i="1" s="1"/>
  <c r="F2916" i="1" s="1"/>
  <c r="F2917" i="1" s="1"/>
  <c r="F2918" i="1" s="1"/>
  <c r="F2919" i="1" s="1"/>
  <c r="F2920" i="1" s="1"/>
  <c r="F2921" i="1" s="1"/>
  <c r="F2922" i="1" s="1"/>
  <c r="F2923" i="1" s="1"/>
  <c r="F2924" i="1" s="1"/>
  <c r="F2925" i="1" s="1"/>
  <c r="F2926" i="1" s="1"/>
  <c r="F2927" i="1" s="1"/>
  <c r="F2928" i="1" s="1"/>
  <c r="F2929" i="1" s="1"/>
  <c r="F2930" i="1" s="1"/>
  <c r="F2931" i="1" s="1"/>
  <c r="F2932" i="1" s="1"/>
  <c r="F2933" i="1" s="1"/>
  <c r="F2934" i="1" s="1"/>
  <c r="F2935" i="1" s="1"/>
  <c r="F2936" i="1" s="1"/>
  <c r="F2937" i="1" s="1"/>
  <c r="F2938" i="1" s="1"/>
  <c r="F2939" i="1" s="1"/>
  <c r="F2940" i="1" s="1"/>
  <c r="F2941" i="1" s="1"/>
  <c r="F2942" i="1" s="1"/>
  <c r="F2943" i="1" s="1"/>
  <c r="F2944" i="1" s="1"/>
  <c r="F2945" i="1" s="1"/>
  <c r="F2946" i="1" s="1"/>
  <c r="F2947" i="1" s="1"/>
  <c r="F2948" i="1" s="1"/>
  <c r="F2949" i="1" s="1"/>
  <c r="F2950" i="1" s="1"/>
  <c r="F2951" i="1" s="1"/>
  <c r="F2952" i="1" s="1"/>
  <c r="F2953" i="1" s="1"/>
  <c r="F2954" i="1" s="1"/>
  <c r="F2955" i="1" s="1"/>
  <c r="F2956" i="1" s="1"/>
  <c r="F2957" i="1" s="1"/>
  <c r="F2958" i="1" s="1"/>
  <c r="F2959" i="1" s="1"/>
  <c r="F2960" i="1" s="1"/>
  <c r="F2961" i="1" s="1"/>
  <c r="F2962" i="1" s="1"/>
  <c r="F2963" i="1" s="1"/>
  <c r="F2964" i="1" s="1"/>
  <c r="F2965" i="1" s="1"/>
  <c r="F2966" i="1" s="1"/>
  <c r="F2967" i="1" s="1"/>
  <c r="F2968" i="1" s="1"/>
  <c r="F2969" i="1" s="1"/>
  <c r="F2970" i="1" s="1"/>
  <c r="F2971" i="1" s="1"/>
  <c r="F2972" i="1" s="1"/>
  <c r="F2973" i="1" s="1"/>
  <c r="F2974" i="1" s="1"/>
  <c r="F2975" i="1" s="1"/>
  <c r="F2976" i="1" s="1"/>
  <c r="F2977" i="1" s="1"/>
  <c r="F2978" i="1" s="1"/>
  <c r="F2979" i="1" s="1"/>
  <c r="F2980" i="1" s="1"/>
  <c r="F2981" i="1" s="1"/>
  <c r="F2982" i="1" s="1"/>
  <c r="F2983" i="1" s="1"/>
  <c r="F2984" i="1" s="1"/>
  <c r="F2985" i="1" s="1"/>
  <c r="F2986" i="1" s="1"/>
  <c r="F2987" i="1" s="1"/>
  <c r="F2988" i="1" s="1"/>
  <c r="F2989" i="1" s="1"/>
  <c r="F2990" i="1" s="1"/>
  <c r="F2991" i="1" s="1"/>
  <c r="F2992" i="1" s="1"/>
  <c r="F2993" i="1" s="1"/>
  <c r="F2994" i="1" s="1"/>
  <c r="F2995" i="1" s="1"/>
  <c r="F2996" i="1" s="1"/>
  <c r="F2997" i="1" s="1"/>
  <c r="F2998" i="1" s="1"/>
  <c r="F2999" i="1" s="1"/>
  <c r="F3000" i="1" s="1"/>
  <c r="F3001" i="1" s="1"/>
  <c r="F3002" i="1" s="1"/>
  <c r="F3003" i="1" s="1"/>
  <c r="F3004" i="1" s="1"/>
  <c r="F3005" i="1" s="1"/>
  <c r="F3006" i="1" s="1"/>
  <c r="F3007" i="1" s="1"/>
  <c r="F3008" i="1" s="1"/>
  <c r="F3009" i="1" s="1"/>
  <c r="F3010" i="1" s="1"/>
  <c r="F3011" i="1" s="1"/>
  <c r="F3012" i="1" s="1"/>
  <c r="F3013" i="1" s="1"/>
  <c r="F3014" i="1" s="1"/>
  <c r="F3015" i="1" s="1"/>
  <c r="F3016" i="1" s="1"/>
  <c r="F3017" i="1" s="1"/>
  <c r="F3018" i="1" s="1"/>
  <c r="F3019" i="1" s="1"/>
  <c r="F3020" i="1" s="1"/>
  <c r="F3021" i="1" s="1"/>
  <c r="F3022" i="1" s="1"/>
  <c r="F3023" i="1" s="1"/>
  <c r="F3024" i="1" s="1"/>
  <c r="F3025" i="1" s="1"/>
  <c r="F3026" i="1" s="1"/>
  <c r="F3027" i="1" s="1"/>
  <c r="F3028" i="1" s="1"/>
  <c r="F3029" i="1" s="1"/>
  <c r="F3030" i="1" s="1"/>
  <c r="F3031" i="1" s="1"/>
  <c r="F3032" i="1" s="1"/>
  <c r="F3033" i="1" s="1"/>
  <c r="F3034" i="1" s="1"/>
  <c r="F3035" i="1" s="1"/>
  <c r="F3036" i="1" s="1"/>
  <c r="F3037" i="1" s="1"/>
  <c r="F3038" i="1" s="1"/>
  <c r="F3039" i="1" s="1"/>
  <c r="F3040" i="1" s="1"/>
  <c r="F3041" i="1" s="1"/>
  <c r="F3042" i="1" s="1"/>
  <c r="F3043" i="1" s="1"/>
  <c r="F3044" i="1" s="1"/>
  <c r="F3045" i="1" s="1"/>
  <c r="F3046" i="1" s="1"/>
  <c r="F3047" i="1" s="1"/>
  <c r="F3048" i="1" s="1"/>
  <c r="F3049" i="1" s="1"/>
  <c r="F3050" i="1" s="1"/>
  <c r="F3051" i="1" s="1"/>
  <c r="F3052" i="1" s="1"/>
  <c r="F3053" i="1" s="1"/>
  <c r="F3054" i="1" s="1"/>
  <c r="F3055" i="1" s="1"/>
  <c r="F3056" i="1" s="1"/>
  <c r="F3057" i="1" s="1"/>
  <c r="F3058" i="1" s="1"/>
  <c r="F3059" i="1" s="1"/>
  <c r="F3060" i="1" s="1"/>
  <c r="F3061" i="1" s="1"/>
  <c r="F3062" i="1" s="1"/>
  <c r="F3063" i="1" s="1"/>
  <c r="F3064" i="1" s="1"/>
  <c r="F3065" i="1" s="1"/>
  <c r="F3066" i="1" s="1"/>
  <c r="F3067" i="1" s="1"/>
  <c r="F3068" i="1" s="1"/>
  <c r="F3069" i="1" s="1"/>
  <c r="F3070" i="1" s="1"/>
  <c r="F3071" i="1" s="1"/>
  <c r="F3072" i="1" s="1"/>
  <c r="F3073" i="1" s="1"/>
  <c r="F3074" i="1" s="1"/>
  <c r="F3075" i="1" s="1"/>
  <c r="F3076" i="1" s="1"/>
  <c r="F3077" i="1" s="1"/>
  <c r="F3078" i="1" s="1"/>
  <c r="F3079" i="1" s="1"/>
  <c r="F3080" i="1" s="1"/>
  <c r="F3081" i="1" s="1"/>
  <c r="F3082" i="1" s="1"/>
  <c r="F3083" i="1" s="1"/>
  <c r="F3084" i="1" s="1"/>
  <c r="F3085" i="1" s="1"/>
  <c r="F3086" i="1" s="1"/>
  <c r="F3087" i="1" s="1"/>
  <c r="F3088" i="1" s="1"/>
  <c r="F3089" i="1" s="1"/>
  <c r="F3090" i="1" s="1"/>
  <c r="F3091" i="1" s="1"/>
  <c r="F3092" i="1" s="1"/>
  <c r="F3093" i="1" s="1"/>
  <c r="F3094" i="1" s="1"/>
  <c r="F3095" i="1" s="1"/>
  <c r="F3096" i="1" s="1"/>
  <c r="F3097" i="1" s="1"/>
  <c r="F3098" i="1" s="1"/>
  <c r="F3099" i="1" s="1"/>
  <c r="F3100" i="1" s="1"/>
  <c r="F3101" i="1" s="1"/>
  <c r="F3102" i="1" s="1"/>
  <c r="F3103" i="1" s="1"/>
  <c r="F3104" i="1" s="1"/>
  <c r="F3105" i="1" s="1"/>
  <c r="F3106" i="1" s="1"/>
  <c r="F3107" i="1" s="1"/>
  <c r="F3108" i="1" s="1"/>
  <c r="F3109" i="1" s="1"/>
  <c r="F3110" i="1" s="1"/>
  <c r="F3111" i="1" s="1"/>
  <c r="F3112" i="1" s="1"/>
  <c r="F3113" i="1" s="1"/>
  <c r="F3114" i="1" s="1"/>
  <c r="F3115" i="1" s="1"/>
  <c r="F3116" i="1" s="1"/>
  <c r="F3117" i="1" s="1"/>
  <c r="F3118" i="1" s="1"/>
  <c r="F3119" i="1" s="1"/>
  <c r="F3120" i="1" s="1"/>
  <c r="F3121" i="1" s="1"/>
  <c r="F3122" i="1" s="1"/>
  <c r="F3123" i="1" s="1"/>
  <c r="F3124" i="1" s="1"/>
  <c r="F3125" i="1" s="1"/>
  <c r="F3126" i="1" s="1"/>
  <c r="F3127" i="1" s="1"/>
  <c r="F3128" i="1" s="1"/>
  <c r="F3129" i="1" s="1"/>
  <c r="F3130" i="1" s="1"/>
  <c r="F3131" i="1" s="1"/>
  <c r="F3132" i="1" s="1"/>
  <c r="F3133" i="1" s="1"/>
  <c r="F3134" i="1" s="1"/>
  <c r="F3135" i="1" s="1"/>
  <c r="F3136" i="1" s="1"/>
  <c r="F3137" i="1" s="1"/>
  <c r="F3138" i="1" s="1"/>
  <c r="F3139" i="1" s="1"/>
  <c r="F3140" i="1" s="1"/>
  <c r="F3141" i="1" s="1"/>
  <c r="F3142" i="1" s="1"/>
  <c r="F3143" i="1" s="1"/>
  <c r="F3144" i="1" s="1"/>
  <c r="F3145" i="1" s="1"/>
  <c r="F3146" i="1" s="1"/>
  <c r="F3147" i="1" s="1"/>
  <c r="F3148" i="1" s="1"/>
  <c r="F3149" i="1" s="1"/>
  <c r="F3150" i="1" s="1"/>
  <c r="F3151" i="1" s="1"/>
  <c r="F3152" i="1" s="1"/>
  <c r="F3153" i="1" s="1"/>
  <c r="F3154" i="1" s="1"/>
  <c r="F3155" i="1" s="1"/>
  <c r="F3156" i="1" s="1"/>
  <c r="F3157" i="1" s="1"/>
  <c r="F3158" i="1" s="1"/>
  <c r="F3159" i="1" s="1"/>
  <c r="F3160" i="1" s="1"/>
  <c r="F3161" i="1" s="1"/>
  <c r="F3162" i="1" s="1"/>
  <c r="F3163" i="1" s="1"/>
  <c r="F3164" i="1" s="1"/>
  <c r="F3165" i="1" s="1"/>
  <c r="F3166" i="1" s="1"/>
  <c r="F3167" i="1" s="1"/>
  <c r="F3168" i="1" s="1"/>
  <c r="F3169" i="1" s="1"/>
  <c r="F3170" i="1" s="1"/>
  <c r="F3171" i="1" s="1"/>
  <c r="F3172" i="1" s="1"/>
  <c r="F3173" i="1" s="1"/>
  <c r="F3174" i="1" s="1"/>
  <c r="F3175" i="1" s="1"/>
  <c r="F3176" i="1" s="1"/>
  <c r="F3177" i="1" s="1"/>
  <c r="F3178" i="1" s="1"/>
  <c r="F3179" i="1" s="1"/>
  <c r="F3180" i="1" s="1"/>
  <c r="F3181" i="1" s="1"/>
  <c r="F2478" i="1" l="1"/>
  <c r="F2479" i="1" s="1"/>
  <c r="F2480" i="1" s="1"/>
  <c r="F2481" i="1" s="1"/>
  <c r="F2482" i="1" s="1"/>
  <c r="F2483" i="1" s="1"/>
  <c r="F2484" i="1" s="1"/>
  <c r="F2485" i="1" s="1"/>
  <c r="F2486" i="1" s="1"/>
  <c r="F2487" i="1" s="1"/>
  <c r="F2488" i="1" s="1"/>
  <c r="F2489" i="1" s="1"/>
  <c r="F2490" i="1" s="1"/>
  <c r="F2491" i="1" s="1"/>
  <c r="F2492" i="1" s="1"/>
  <c r="F2493" i="1" s="1"/>
  <c r="F2494" i="1" s="1"/>
  <c r="F2495" i="1" s="1"/>
  <c r="F2496" i="1" s="1"/>
  <c r="F2497" i="1" s="1"/>
  <c r="F2498" i="1" s="1"/>
  <c r="F2499" i="1" s="1"/>
  <c r="F2500" i="1" s="1"/>
  <c r="F2501" i="1" s="1"/>
  <c r="F2502" i="1" s="1"/>
  <c r="F2503" i="1" s="1"/>
  <c r="F2504" i="1" s="1"/>
  <c r="F2505" i="1" s="1"/>
  <c r="F2506" i="1" s="1"/>
  <c r="F2507" i="1" s="1"/>
  <c r="F2508" i="1" s="1"/>
  <c r="F2509" i="1" s="1"/>
  <c r="F2510" i="1" s="1"/>
  <c r="F2511" i="1" s="1"/>
  <c r="F2512" i="1" s="1"/>
  <c r="F2513" i="1" s="1"/>
  <c r="F2514" i="1" s="1"/>
  <c r="F2515" i="1" s="1"/>
  <c r="F2516" i="1" s="1"/>
  <c r="F2517" i="1" s="1"/>
  <c r="F2518" i="1" s="1"/>
  <c r="F2519" i="1" s="1"/>
  <c r="F2520" i="1" s="1"/>
  <c r="F2521" i="1" s="1"/>
  <c r="F2522" i="1" s="1"/>
  <c r="F2523" i="1" s="1"/>
  <c r="F2524" i="1" s="1"/>
  <c r="F2525" i="1" s="1"/>
  <c r="F2526" i="1" s="1"/>
  <c r="F2527" i="1" s="1"/>
  <c r="F2528" i="1" s="1"/>
  <c r="F2529" i="1" s="1"/>
  <c r="F2530" i="1" s="1"/>
  <c r="F2531" i="1" s="1"/>
  <c r="F2532" i="1" s="1"/>
  <c r="F2533" i="1" s="1"/>
  <c r="F2534" i="1" s="1"/>
  <c r="F2535" i="1" s="1"/>
  <c r="F2536" i="1" s="1"/>
  <c r="F2537" i="1" s="1"/>
  <c r="F2538" i="1" s="1"/>
  <c r="F2539" i="1" s="1"/>
  <c r="F2540" i="1" s="1"/>
  <c r="F2541" i="1" s="1"/>
  <c r="F2542" i="1" s="1"/>
  <c r="F2543" i="1" s="1"/>
  <c r="F2544" i="1" s="1"/>
  <c r="F2545" i="1" s="1"/>
  <c r="F2546" i="1" s="1"/>
  <c r="F2547" i="1" s="1"/>
  <c r="F2548" i="1" s="1"/>
  <c r="F2549" i="1" s="1"/>
  <c r="F2550" i="1" s="1"/>
  <c r="F2551" i="1" s="1"/>
  <c r="F2552" i="1" s="1"/>
  <c r="F2553" i="1" s="1"/>
  <c r="F2554" i="1" s="1"/>
  <c r="F2555" i="1" s="1"/>
  <c r="F2556" i="1" s="1"/>
  <c r="F2557" i="1" s="1"/>
  <c r="F2558" i="1" s="1"/>
  <c r="F2559" i="1" s="1"/>
  <c r="F2560" i="1" s="1"/>
  <c r="F2561" i="1" s="1"/>
  <c r="F2562" i="1" s="1"/>
  <c r="F2563" i="1" s="1"/>
  <c r="F2564" i="1" s="1"/>
  <c r="F2565" i="1" s="1"/>
  <c r="F2566" i="1" s="1"/>
  <c r="F2567" i="1" s="1"/>
  <c r="F2568" i="1" s="1"/>
  <c r="F2569" i="1" s="1"/>
  <c r="F2570" i="1" s="1"/>
  <c r="F2571" i="1" s="1"/>
  <c r="F2572" i="1" s="1"/>
  <c r="F2573" i="1" s="1"/>
  <c r="F2574" i="1" s="1"/>
  <c r="F2575" i="1" s="1"/>
  <c r="F2576" i="1" s="1"/>
  <c r="F2577" i="1" s="1"/>
  <c r="F2578" i="1" s="1"/>
  <c r="F2579" i="1" s="1"/>
  <c r="F2580" i="1" s="1"/>
  <c r="F2581" i="1" s="1"/>
  <c r="F2582" i="1" s="1"/>
  <c r="F2583" i="1" s="1"/>
  <c r="F2584" i="1" s="1"/>
  <c r="F2585" i="1" s="1"/>
  <c r="F2586" i="1" s="1"/>
  <c r="F2587" i="1" s="1"/>
  <c r="F2588" i="1" s="1"/>
  <c r="F2589" i="1" s="1"/>
  <c r="F2590" i="1" s="1"/>
  <c r="F2591" i="1" s="1"/>
  <c r="F2592" i="1" s="1"/>
  <c r="F2593" i="1" s="1"/>
  <c r="F2594" i="1" s="1"/>
  <c r="F2595" i="1" s="1"/>
  <c r="F2596" i="1" s="1"/>
  <c r="F2597" i="1" s="1"/>
  <c r="F2598" i="1" s="1"/>
  <c r="F2599" i="1" s="1"/>
  <c r="F2600" i="1" s="1"/>
  <c r="F2601" i="1" s="1"/>
  <c r="F2602" i="1" s="1"/>
  <c r="F2603" i="1" s="1"/>
  <c r="F2604" i="1" s="1"/>
  <c r="F2605" i="1" s="1"/>
  <c r="F2606" i="1" s="1"/>
  <c r="F2607" i="1" s="1"/>
  <c r="F2608" i="1" s="1"/>
  <c r="F2609" i="1" s="1"/>
  <c r="F2610" i="1" s="1"/>
  <c r="F2611" i="1" s="1"/>
  <c r="F2612" i="1" s="1"/>
  <c r="F2613" i="1" s="1"/>
  <c r="F2614" i="1" s="1"/>
  <c r="F2615" i="1" s="1"/>
  <c r="F2616" i="1" s="1"/>
  <c r="F2617" i="1" s="1"/>
  <c r="F2618" i="1" s="1"/>
  <c r="F2619" i="1" s="1"/>
  <c r="F2620" i="1" s="1"/>
  <c r="F2621" i="1" s="1"/>
  <c r="F2622" i="1" s="1"/>
  <c r="F2623" i="1" s="1"/>
  <c r="F2624" i="1" s="1"/>
  <c r="F2625" i="1" s="1"/>
  <c r="F2626" i="1" s="1"/>
  <c r="F2627" i="1" s="1"/>
  <c r="F2628" i="1" s="1"/>
  <c r="F2629" i="1" s="1"/>
  <c r="F2630" i="1" s="1"/>
  <c r="F2631" i="1" s="1"/>
  <c r="F2632" i="1" s="1"/>
  <c r="F2633" i="1" s="1"/>
  <c r="F2634" i="1" s="1"/>
  <c r="F2635" i="1" s="1"/>
  <c r="F2636" i="1" s="1"/>
  <c r="F2637" i="1" s="1"/>
  <c r="F2638" i="1" s="1"/>
  <c r="F2639" i="1" s="1"/>
  <c r="F2640" i="1" s="1"/>
  <c r="F2641" i="1" s="1"/>
  <c r="F2642" i="1" s="1"/>
  <c r="F2643" i="1" s="1"/>
  <c r="F2644" i="1" s="1"/>
  <c r="F2645" i="1" s="1"/>
  <c r="F2646" i="1" s="1"/>
  <c r="F2647" i="1" s="1"/>
  <c r="F2648" i="1" s="1"/>
  <c r="F2649" i="1" s="1"/>
  <c r="F2650" i="1" s="1"/>
  <c r="F2651" i="1" s="1"/>
  <c r="F2652" i="1" s="1"/>
  <c r="F2653" i="1" s="1"/>
  <c r="F2654" i="1" s="1"/>
  <c r="F2655" i="1" s="1"/>
  <c r="F2656" i="1" s="1"/>
  <c r="F2657" i="1" s="1"/>
  <c r="F2658" i="1" s="1"/>
  <c r="F2659" i="1" s="1"/>
  <c r="F2660" i="1" s="1"/>
  <c r="F2661" i="1" s="1"/>
  <c r="F2662" i="1" s="1"/>
  <c r="F2663" i="1" s="1"/>
  <c r="F2664" i="1" s="1"/>
  <c r="F2665" i="1" s="1"/>
  <c r="F2666" i="1" s="1"/>
  <c r="F2667" i="1" s="1"/>
  <c r="F2668" i="1" s="1"/>
  <c r="F2669" i="1" s="1"/>
  <c r="F2670" i="1" s="1"/>
  <c r="F2671" i="1" s="1"/>
  <c r="F2672" i="1" s="1"/>
  <c r="F2673" i="1" s="1"/>
  <c r="F2674" i="1" s="1"/>
  <c r="F2675" i="1" s="1"/>
  <c r="F2676" i="1" s="1"/>
  <c r="F2677" i="1" s="1"/>
  <c r="F2678" i="1" s="1"/>
  <c r="F2679" i="1" s="1"/>
  <c r="F2680" i="1" s="1"/>
  <c r="F2681" i="1" s="1"/>
  <c r="F2682" i="1" s="1"/>
  <c r="F2683" i="1" s="1"/>
  <c r="F2684" i="1" s="1"/>
  <c r="F2685" i="1" s="1"/>
  <c r="F2686" i="1" s="1"/>
  <c r="F2687" i="1" s="1"/>
  <c r="F2688" i="1" s="1"/>
  <c r="F2689" i="1" s="1"/>
  <c r="F2690" i="1" s="1"/>
  <c r="F2691" i="1" s="1"/>
  <c r="F2692" i="1" s="1"/>
  <c r="F2693" i="1" s="1"/>
  <c r="F2694" i="1" s="1"/>
  <c r="F2695" i="1" s="1"/>
  <c r="F2696" i="1" s="1"/>
  <c r="F2697" i="1" s="1"/>
  <c r="F2698" i="1" s="1"/>
  <c r="F2699" i="1" s="1"/>
  <c r="F2700" i="1" s="1"/>
  <c r="F2701" i="1" s="1"/>
  <c r="F2702" i="1" s="1"/>
  <c r="F2703" i="1" s="1"/>
  <c r="F2704" i="1" s="1"/>
  <c r="F2705" i="1" s="1"/>
  <c r="F2706" i="1" s="1"/>
  <c r="F2707" i="1" s="1"/>
  <c r="F2708" i="1" s="1"/>
  <c r="F2709" i="1" s="1"/>
  <c r="F2710" i="1" s="1"/>
  <c r="F2711" i="1" s="1"/>
  <c r="F2712" i="1" s="1"/>
  <c r="F2713" i="1" s="1"/>
  <c r="F2714" i="1" s="1"/>
  <c r="F2715" i="1" s="1"/>
  <c r="F2716" i="1" s="1"/>
  <c r="F2717" i="1" s="1"/>
  <c r="F2718" i="1" s="1"/>
  <c r="F2719" i="1" s="1"/>
  <c r="F2720" i="1" s="1"/>
  <c r="F2721" i="1" s="1"/>
  <c r="F2722" i="1" s="1"/>
  <c r="F2723" i="1" s="1"/>
  <c r="F2724" i="1" s="1"/>
  <c r="F2725" i="1" s="1"/>
  <c r="F2726" i="1" s="1"/>
  <c r="F2727" i="1" s="1"/>
  <c r="F2728" i="1" s="1"/>
  <c r="F2729" i="1" s="1"/>
  <c r="F2730" i="1" s="1"/>
  <c r="F2731" i="1" s="1"/>
  <c r="F2732" i="1" s="1"/>
  <c r="F2733" i="1" s="1"/>
  <c r="F2734" i="1" s="1"/>
  <c r="F2735" i="1" s="1"/>
  <c r="F2736" i="1" s="1"/>
  <c r="F2737" i="1" s="1"/>
  <c r="F2738" i="1" s="1"/>
  <c r="F2739" i="1" s="1"/>
  <c r="F2740" i="1" s="1"/>
  <c r="F2741" i="1" s="1"/>
  <c r="F2742" i="1" s="1"/>
  <c r="F2743" i="1" s="1"/>
  <c r="F2744" i="1" s="1"/>
  <c r="F2745" i="1" s="1"/>
  <c r="F2746" i="1" s="1"/>
  <c r="F2747" i="1" s="1"/>
  <c r="F2748" i="1" s="1"/>
  <c r="F2749" i="1" s="1"/>
  <c r="F2750" i="1" s="1"/>
  <c r="F2751" i="1" s="1"/>
  <c r="F2752" i="1" s="1"/>
  <c r="F2753" i="1" s="1"/>
  <c r="F2754" i="1" s="1"/>
  <c r="F2755" i="1" s="1"/>
  <c r="F2756" i="1" s="1"/>
  <c r="F2757" i="1" s="1"/>
  <c r="F2758" i="1" s="1"/>
  <c r="F2759" i="1" s="1"/>
  <c r="F2760" i="1" s="1"/>
  <c r="F2761" i="1" s="1"/>
  <c r="F2762" i="1" s="1"/>
  <c r="F2763" i="1" s="1"/>
  <c r="F2764" i="1" s="1"/>
  <c r="F2765" i="1" s="1"/>
  <c r="F2766" i="1" s="1"/>
  <c r="F2767" i="1" s="1"/>
  <c r="F2768" i="1" s="1"/>
  <c r="F2769" i="1" s="1"/>
  <c r="F2770" i="1" s="1"/>
  <c r="F2771" i="1" s="1"/>
  <c r="F2772" i="1" s="1"/>
  <c r="F2773" i="1" s="1"/>
  <c r="F2774" i="1" s="1"/>
  <c r="F2775" i="1" s="1"/>
  <c r="F2776" i="1" s="1"/>
  <c r="F2777" i="1" s="1"/>
  <c r="F2778" i="1" s="1"/>
  <c r="F2779" i="1" s="1"/>
  <c r="F2780" i="1" s="1"/>
  <c r="F2781" i="1" s="1"/>
  <c r="F2782" i="1" s="1"/>
  <c r="F2783" i="1" s="1"/>
  <c r="F2784" i="1" s="1"/>
  <c r="F2785" i="1" s="1"/>
  <c r="F2786" i="1" s="1"/>
  <c r="F2787" i="1" s="1"/>
  <c r="F2788" i="1" s="1"/>
  <c r="F2789" i="1" s="1"/>
  <c r="F2790" i="1" s="1"/>
  <c r="F2791" i="1" s="1"/>
  <c r="F2792" i="1" s="1"/>
  <c r="F2793" i="1" s="1"/>
  <c r="F2794" i="1" s="1"/>
  <c r="F2795" i="1" s="1"/>
  <c r="F2796" i="1" s="1"/>
  <c r="F2797" i="1" s="1"/>
  <c r="F2798" i="1" s="1"/>
  <c r="F2799" i="1" s="1"/>
  <c r="F2800" i="1" s="1"/>
  <c r="F2801" i="1" s="1"/>
  <c r="F2802" i="1" s="1"/>
  <c r="F2803" i="1" s="1"/>
  <c r="F2804" i="1" s="1"/>
  <c r="F2805" i="1" s="1"/>
  <c r="F2806" i="1" s="1"/>
  <c r="F2807" i="1" s="1"/>
  <c r="F2808" i="1" s="1"/>
  <c r="F2809" i="1" s="1"/>
  <c r="F2810" i="1" s="1"/>
  <c r="F2811" i="1" s="1"/>
  <c r="F2812" i="1" s="1"/>
  <c r="F2813" i="1" s="1"/>
  <c r="F2814" i="1" s="1"/>
  <c r="F2815" i="1" s="1"/>
  <c r="F2816" i="1" s="1"/>
  <c r="F2817" i="1" s="1"/>
  <c r="F2818" i="1" s="1"/>
  <c r="F2819" i="1" s="1"/>
  <c r="F2820" i="1" s="1"/>
  <c r="F2821" i="1" s="1"/>
  <c r="F2105" i="1" l="1"/>
  <c r="F2106" i="1" s="1"/>
  <c r="F2107" i="1" s="1"/>
  <c r="F2108" i="1" s="1"/>
  <c r="F2109" i="1" s="1"/>
  <c r="F2110" i="1" s="1"/>
  <c r="F2111" i="1" s="1"/>
  <c r="F2112" i="1" s="1"/>
  <c r="F2113" i="1" s="1"/>
  <c r="F2114" i="1" s="1"/>
  <c r="F2115" i="1" s="1"/>
  <c r="F2116" i="1" s="1"/>
  <c r="F2117" i="1" s="1"/>
  <c r="F2118" i="1" s="1"/>
  <c r="F2119" i="1" s="1"/>
  <c r="F2120" i="1" s="1"/>
  <c r="F2121" i="1" s="1"/>
  <c r="F2122" i="1" s="1"/>
  <c r="F2123" i="1" s="1"/>
  <c r="F2124" i="1" s="1"/>
  <c r="F2125" i="1" s="1"/>
  <c r="F2126" i="1" s="1"/>
  <c r="F2127" i="1" s="1"/>
  <c r="F2128" i="1" s="1"/>
  <c r="F2129" i="1" s="1"/>
  <c r="F2130" i="1" s="1"/>
  <c r="F2131" i="1" s="1"/>
  <c r="F2132" i="1" s="1"/>
  <c r="F2133" i="1" s="1"/>
  <c r="F2134" i="1" s="1"/>
  <c r="F2135" i="1" s="1"/>
  <c r="F2136" i="1" s="1"/>
  <c r="F2137" i="1" s="1"/>
  <c r="F2138" i="1" s="1"/>
  <c r="F2139" i="1" s="1"/>
  <c r="F2140" i="1" s="1"/>
  <c r="F2141" i="1" s="1"/>
  <c r="F2142" i="1" s="1"/>
  <c r="F2143" i="1" s="1"/>
  <c r="F2144" i="1" s="1"/>
  <c r="F2145" i="1" s="1"/>
  <c r="F2146" i="1" s="1"/>
  <c r="F2147" i="1" s="1"/>
  <c r="F2148" i="1" s="1"/>
  <c r="F2149" i="1" s="1"/>
  <c r="F2150" i="1" s="1"/>
  <c r="F2151" i="1" s="1"/>
  <c r="F2152" i="1" s="1"/>
  <c r="F2153" i="1" s="1"/>
  <c r="F2154" i="1" s="1"/>
  <c r="F2155" i="1" s="1"/>
  <c r="F2156" i="1" s="1"/>
  <c r="F2157" i="1" s="1"/>
  <c r="F2158" i="1" s="1"/>
  <c r="F2159" i="1" s="1"/>
  <c r="F2160" i="1" s="1"/>
  <c r="F2161" i="1" s="1"/>
  <c r="F2162" i="1" s="1"/>
  <c r="F2163" i="1" s="1"/>
  <c r="F2164" i="1" s="1"/>
  <c r="F2165" i="1" s="1"/>
  <c r="F2166" i="1" s="1"/>
  <c r="F2167" i="1" s="1"/>
  <c r="F2168" i="1" s="1"/>
  <c r="F2169" i="1" s="1"/>
  <c r="F2170" i="1" s="1"/>
  <c r="F2171" i="1" s="1"/>
  <c r="F2172" i="1" s="1"/>
  <c r="F2173" i="1" s="1"/>
  <c r="F2174" i="1" s="1"/>
  <c r="F2175" i="1" s="1"/>
  <c r="F2176" i="1" s="1"/>
  <c r="F2177" i="1" s="1"/>
  <c r="F2178" i="1" s="1"/>
  <c r="F2179" i="1" s="1"/>
  <c r="F2180" i="1" s="1"/>
  <c r="F2181" i="1" s="1"/>
  <c r="F2182" i="1" s="1"/>
  <c r="F2183" i="1" s="1"/>
  <c r="F2184" i="1" s="1"/>
  <c r="F2185" i="1" s="1"/>
  <c r="F2186" i="1" s="1"/>
  <c r="F2187" i="1" s="1"/>
  <c r="F2188" i="1" s="1"/>
  <c r="F2189" i="1" s="1"/>
  <c r="F2190" i="1" s="1"/>
  <c r="F2191" i="1" s="1"/>
  <c r="F2192" i="1" s="1"/>
  <c r="F2193" i="1" s="1"/>
  <c r="F2194" i="1" s="1"/>
  <c r="F2195" i="1" s="1"/>
  <c r="F2196" i="1" s="1"/>
  <c r="F2197" i="1" s="1"/>
  <c r="F2198" i="1" s="1"/>
  <c r="F2199" i="1" s="1"/>
  <c r="F2200" i="1" s="1"/>
  <c r="F2201" i="1" s="1"/>
  <c r="F2202" i="1" s="1"/>
  <c r="F2203" i="1" s="1"/>
  <c r="F2204" i="1" s="1"/>
  <c r="F2205" i="1" s="1"/>
  <c r="F2206" i="1" s="1"/>
  <c r="F2207" i="1" s="1"/>
  <c r="F2208" i="1" s="1"/>
  <c r="F2209" i="1" s="1"/>
  <c r="F2210" i="1" s="1"/>
  <c r="F2211" i="1" s="1"/>
  <c r="F2212" i="1" s="1"/>
  <c r="F2213" i="1" s="1"/>
  <c r="F2214" i="1" s="1"/>
  <c r="F2215" i="1" s="1"/>
  <c r="F2216" i="1" s="1"/>
  <c r="F2217" i="1" s="1"/>
  <c r="F2218" i="1" s="1"/>
  <c r="F2219" i="1" s="1"/>
  <c r="F2220" i="1" s="1"/>
  <c r="F2221" i="1" s="1"/>
  <c r="F2222" i="1" s="1"/>
  <c r="F2223" i="1" s="1"/>
  <c r="F2224" i="1" s="1"/>
  <c r="F2225" i="1" s="1"/>
  <c r="F2226" i="1" s="1"/>
  <c r="F2227" i="1" s="1"/>
  <c r="F2228" i="1" s="1"/>
  <c r="F2229" i="1" s="1"/>
  <c r="F2230" i="1" s="1"/>
  <c r="F2231" i="1" s="1"/>
  <c r="F2232" i="1" s="1"/>
  <c r="F2233" i="1" s="1"/>
  <c r="F2234" i="1" s="1"/>
  <c r="F2235" i="1" s="1"/>
  <c r="F2236" i="1" s="1"/>
  <c r="F2237" i="1" s="1"/>
  <c r="F2238" i="1" s="1"/>
  <c r="F2239" i="1" s="1"/>
  <c r="F2240" i="1" s="1"/>
  <c r="F2241" i="1" s="1"/>
  <c r="F2242" i="1" s="1"/>
  <c r="F2243" i="1" s="1"/>
  <c r="F2244" i="1" s="1"/>
  <c r="F2245" i="1" s="1"/>
  <c r="F2246" i="1" s="1"/>
  <c r="F2247" i="1" s="1"/>
  <c r="F2248" i="1" s="1"/>
  <c r="F2249" i="1" s="1"/>
  <c r="F2250" i="1" s="1"/>
  <c r="F2251" i="1" s="1"/>
  <c r="F2252" i="1" s="1"/>
  <c r="F2253" i="1" s="1"/>
  <c r="F2254" i="1" s="1"/>
  <c r="F2255" i="1" s="1"/>
  <c r="F2256" i="1" s="1"/>
  <c r="F2257" i="1" s="1"/>
  <c r="F2258" i="1" s="1"/>
  <c r="F2259" i="1" s="1"/>
  <c r="F2260" i="1" s="1"/>
  <c r="F2261" i="1" s="1"/>
  <c r="F2262" i="1" s="1"/>
  <c r="F2263" i="1" s="1"/>
  <c r="F2264" i="1" s="1"/>
  <c r="F2265" i="1" s="1"/>
  <c r="F2266" i="1" s="1"/>
  <c r="F2267" i="1" s="1"/>
  <c r="F2268" i="1" s="1"/>
  <c r="F2269" i="1" s="1"/>
  <c r="F2270" i="1" s="1"/>
  <c r="F2271" i="1" s="1"/>
  <c r="F2272" i="1" s="1"/>
  <c r="F2273" i="1" s="1"/>
  <c r="F2274" i="1" s="1"/>
  <c r="F2275" i="1" s="1"/>
  <c r="F2276" i="1" s="1"/>
  <c r="F2277" i="1" s="1"/>
  <c r="F2278" i="1" s="1"/>
  <c r="F2279" i="1" s="1"/>
  <c r="F2280" i="1" s="1"/>
  <c r="F2281" i="1" s="1"/>
  <c r="F2282" i="1" s="1"/>
  <c r="F2283" i="1" s="1"/>
  <c r="F2284" i="1" s="1"/>
  <c r="F2285" i="1" s="1"/>
  <c r="F2286" i="1" s="1"/>
  <c r="F2287" i="1" s="1"/>
  <c r="F2288" i="1" s="1"/>
  <c r="F2289" i="1" s="1"/>
  <c r="F2290" i="1" s="1"/>
  <c r="F2291" i="1" s="1"/>
  <c r="F2292" i="1" s="1"/>
  <c r="F2293" i="1" s="1"/>
  <c r="F2294" i="1" s="1"/>
  <c r="F2295" i="1" s="1"/>
  <c r="F2296" i="1" s="1"/>
  <c r="F2297" i="1" s="1"/>
  <c r="F2298" i="1" s="1"/>
  <c r="F2299" i="1" s="1"/>
  <c r="F2300" i="1" s="1"/>
  <c r="F2301" i="1" s="1"/>
  <c r="F2302" i="1" s="1"/>
  <c r="F2303" i="1" s="1"/>
  <c r="F2304" i="1" s="1"/>
  <c r="F2305" i="1" s="1"/>
  <c r="F2306" i="1" s="1"/>
  <c r="F2307" i="1" s="1"/>
  <c r="F2308" i="1" s="1"/>
  <c r="F2309" i="1" s="1"/>
  <c r="F2310" i="1" s="1"/>
  <c r="F2311" i="1" s="1"/>
  <c r="F2312" i="1" s="1"/>
  <c r="F2313" i="1" s="1"/>
  <c r="F2314" i="1" s="1"/>
  <c r="F2315" i="1" s="1"/>
  <c r="F2316" i="1" s="1"/>
  <c r="F2317" i="1" s="1"/>
  <c r="F2318" i="1" s="1"/>
  <c r="F2319" i="1" s="1"/>
  <c r="F2320" i="1" s="1"/>
  <c r="F2321" i="1" s="1"/>
  <c r="F2322" i="1" s="1"/>
  <c r="F2323" i="1" s="1"/>
  <c r="F2324" i="1" s="1"/>
  <c r="F2325" i="1" s="1"/>
  <c r="F2326" i="1" s="1"/>
  <c r="F2327" i="1" s="1"/>
  <c r="F2328" i="1" s="1"/>
  <c r="F2329" i="1" s="1"/>
  <c r="F2330" i="1" s="1"/>
  <c r="F2331" i="1" s="1"/>
  <c r="F2332" i="1" s="1"/>
  <c r="F2333" i="1" s="1"/>
  <c r="F2334" i="1" s="1"/>
  <c r="F2335" i="1" s="1"/>
  <c r="F2336" i="1" s="1"/>
  <c r="F2337" i="1" s="1"/>
  <c r="F2338" i="1" s="1"/>
  <c r="F2339" i="1" s="1"/>
  <c r="F2340" i="1" s="1"/>
  <c r="F2341" i="1" s="1"/>
  <c r="F2342" i="1" s="1"/>
  <c r="F2343" i="1" s="1"/>
  <c r="F2344" i="1" s="1"/>
  <c r="F2345" i="1" s="1"/>
  <c r="F2346" i="1" s="1"/>
  <c r="F2347" i="1" s="1"/>
  <c r="F2348" i="1" s="1"/>
  <c r="F2349" i="1" s="1"/>
  <c r="F2350" i="1" s="1"/>
  <c r="F2351" i="1" s="1"/>
  <c r="F2352" i="1" s="1"/>
  <c r="F2353" i="1" s="1"/>
  <c r="F2354" i="1" s="1"/>
  <c r="F2355" i="1" s="1"/>
  <c r="F2356" i="1" s="1"/>
  <c r="F2357" i="1" s="1"/>
  <c r="F2358" i="1" s="1"/>
  <c r="F2359" i="1" s="1"/>
  <c r="F2360" i="1" s="1"/>
  <c r="F2361" i="1" s="1"/>
  <c r="F2362" i="1" s="1"/>
  <c r="F2363" i="1" s="1"/>
  <c r="F2364" i="1" s="1"/>
  <c r="F2365" i="1" s="1"/>
  <c r="F2366" i="1" s="1"/>
  <c r="F2367" i="1" s="1"/>
  <c r="F2368" i="1" s="1"/>
  <c r="F2369" i="1" s="1"/>
  <c r="F2370" i="1" s="1"/>
  <c r="F2371" i="1" s="1"/>
  <c r="F2372" i="1" s="1"/>
  <c r="F2373" i="1" s="1"/>
  <c r="F2374" i="1" s="1"/>
  <c r="F2375" i="1" s="1"/>
  <c r="F2376" i="1" s="1"/>
  <c r="F2377" i="1" s="1"/>
  <c r="F2378" i="1" s="1"/>
  <c r="F2379" i="1" s="1"/>
  <c r="F2380" i="1" s="1"/>
  <c r="F2381" i="1" s="1"/>
  <c r="F2382" i="1" s="1"/>
  <c r="F2383" i="1" s="1"/>
  <c r="F2384" i="1" s="1"/>
  <c r="F2385" i="1" s="1"/>
  <c r="F2386" i="1" s="1"/>
  <c r="F2387" i="1" s="1"/>
  <c r="F2388" i="1" s="1"/>
  <c r="F2389" i="1" s="1"/>
  <c r="F2390" i="1" s="1"/>
  <c r="F2391" i="1" s="1"/>
  <c r="F2392" i="1" s="1"/>
  <c r="F2393" i="1" s="1"/>
  <c r="F2394" i="1" s="1"/>
  <c r="F2395" i="1" s="1"/>
  <c r="F2396" i="1" s="1"/>
  <c r="F2397" i="1" s="1"/>
  <c r="F2398" i="1" s="1"/>
  <c r="F2399" i="1" s="1"/>
  <c r="F2400" i="1" s="1"/>
  <c r="F2401" i="1" s="1"/>
  <c r="F2402" i="1" s="1"/>
  <c r="F2403" i="1" s="1"/>
  <c r="F2404" i="1" s="1"/>
  <c r="F2405" i="1" s="1"/>
  <c r="F2406" i="1" s="1"/>
  <c r="F2407" i="1" s="1"/>
  <c r="F2408" i="1" s="1"/>
  <c r="F2409" i="1" s="1"/>
  <c r="F2410" i="1" s="1"/>
  <c r="F2411" i="1" s="1"/>
  <c r="F2412" i="1" s="1"/>
  <c r="F2413" i="1" s="1"/>
  <c r="F2414" i="1" s="1"/>
  <c r="F2415" i="1" s="1"/>
  <c r="F2416" i="1" s="1"/>
  <c r="F2417" i="1" s="1"/>
  <c r="F2418" i="1" s="1"/>
  <c r="F2419" i="1" s="1"/>
  <c r="F2420" i="1" s="1"/>
  <c r="F2421" i="1" s="1"/>
  <c r="F2422" i="1" s="1"/>
  <c r="F2423" i="1" s="1"/>
  <c r="F2424" i="1" s="1"/>
  <c r="F2425" i="1" s="1"/>
  <c r="F2426" i="1" s="1"/>
  <c r="F2427" i="1" s="1"/>
  <c r="F2428" i="1" s="1"/>
  <c r="F2429" i="1" s="1"/>
  <c r="F2430" i="1" s="1"/>
  <c r="F2431" i="1" s="1"/>
  <c r="F2432" i="1" s="1"/>
  <c r="F2433" i="1" s="1"/>
  <c r="F2434" i="1" s="1"/>
  <c r="F2435" i="1" s="1"/>
  <c r="F2436" i="1" s="1"/>
  <c r="F2437" i="1" s="1"/>
  <c r="F2438" i="1" s="1"/>
  <c r="F2439" i="1" s="1"/>
  <c r="F2440" i="1" s="1"/>
  <c r="F2441" i="1" s="1"/>
  <c r="F2442" i="1" s="1"/>
  <c r="F2443" i="1" s="1"/>
  <c r="F2444" i="1" s="1"/>
  <c r="F2445" i="1" s="1"/>
  <c r="F2446" i="1" s="1"/>
  <c r="F2447" i="1" s="1"/>
  <c r="F2448" i="1" s="1"/>
  <c r="F2449" i="1" s="1"/>
  <c r="F2450" i="1" s="1"/>
  <c r="F2451" i="1" s="1"/>
  <c r="F2452" i="1" s="1"/>
  <c r="F2453" i="1" s="1"/>
  <c r="F2454" i="1" s="1"/>
  <c r="F2455" i="1" s="1"/>
  <c r="F2456" i="1" s="1"/>
  <c r="F2457" i="1" s="1"/>
  <c r="F2458" i="1" s="1"/>
  <c r="F2459" i="1" s="1"/>
  <c r="F2460" i="1" s="1"/>
  <c r="F2461" i="1" s="1"/>
  <c r="F2462" i="1" s="1"/>
  <c r="F2463" i="1" s="1"/>
  <c r="F2464" i="1" s="1"/>
  <c r="F2465" i="1" s="1"/>
  <c r="F2466" i="1" s="1"/>
  <c r="F2467" i="1" s="1"/>
  <c r="F2468" i="1" s="1"/>
  <c r="F2469" i="1" s="1"/>
  <c r="F2470" i="1" s="1"/>
  <c r="F2471" i="1" s="1"/>
  <c r="F2472" i="1" s="1"/>
  <c r="F2473" i="1" s="1"/>
  <c r="F1751" i="1" l="1"/>
  <c r="F1752" i="1" s="1"/>
  <c r="F1753" i="1" s="1"/>
  <c r="F1754" i="1" s="1"/>
  <c r="F1755" i="1" s="1"/>
  <c r="F1756" i="1" s="1"/>
  <c r="F1757" i="1" s="1"/>
  <c r="F1758" i="1" s="1"/>
  <c r="F1759" i="1" s="1"/>
  <c r="F1760" i="1" s="1"/>
  <c r="F1761" i="1" s="1"/>
  <c r="F1762" i="1" s="1"/>
  <c r="F1763" i="1" s="1"/>
  <c r="F1764" i="1" s="1"/>
  <c r="F1765" i="1" s="1"/>
  <c r="F1766" i="1" s="1"/>
  <c r="F1767" i="1" s="1"/>
  <c r="F1768" i="1" s="1"/>
  <c r="F1769" i="1" s="1"/>
  <c r="F1770" i="1" s="1"/>
  <c r="F1771" i="1" s="1"/>
  <c r="F1772" i="1" s="1"/>
  <c r="F1773" i="1" s="1"/>
  <c r="F1774" i="1" s="1"/>
  <c r="F1775" i="1" s="1"/>
  <c r="F1776" i="1" s="1"/>
  <c r="F1777" i="1" s="1"/>
  <c r="F1778" i="1" s="1"/>
  <c r="F1779" i="1" s="1"/>
  <c r="F1780" i="1" s="1"/>
  <c r="F1781" i="1" s="1"/>
  <c r="F1782" i="1" s="1"/>
  <c r="F1783" i="1" s="1"/>
  <c r="F1784" i="1" s="1"/>
  <c r="F1785" i="1" s="1"/>
  <c r="F1786" i="1" s="1"/>
  <c r="F1787" i="1" s="1"/>
  <c r="F1788" i="1" s="1"/>
  <c r="F1789" i="1" s="1"/>
  <c r="F1790" i="1" s="1"/>
  <c r="F1791" i="1" s="1"/>
  <c r="F1792" i="1" s="1"/>
  <c r="F1793" i="1" s="1"/>
  <c r="F1794" i="1" s="1"/>
  <c r="F1795" i="1" s="1"/>
  <c r="F1796" i="1" s="1"/>
  <c r="F1797" i="1" s="1"/>
  <c r="F1798" i="1" s="1"/>
  <c r="F1799" i="1" s="1"/>
  <c r="F1800" i="1" s="1"/>
  <c r="F1801" i="1" s="1"/>
  <c r="F1802" i="1" s="1"/>
  <c r="F1803" i="1" s="1"/>
  <c r="F1804" i="1" s="1"/>
  <c r="F1805" i="1" s="1"/>
  <c r="F1806" i="1" s="1"/>
  <c r="F1807" i="1" s="1"/>
  <c r="F1808" i="1" s="1"/>
  <c r="F1809" i="1" s="1"/>
  <c r="F1810" i="1" s="1"/>
  <c r="F1811" i="1" s="1"/>
  <c r="F1812" i="1" s="1"/>
  <c r="F1813" i="1" s="1"/>
  <c r="F1814" i="1" s="1"/>
  <c r="F1815" i="1" s="1"/>
  <c r="F1816" i="1" s="1"/>
  <c r="F1817" i="1" s="1"/>
  <c r="F1818" i="1" s="1"/>
  <c r="F1819" i="1" s="1"/>
  <c r="F1820" i="1" s="1"/>
  <c r="F1821" i="1" s="1"/>
  <c r="F1822" i="1" s="1"/>
  <c r="F1823" i="1" s="1"/>
  <c r="F1824" i="1" s="1"/>
  <c r="F1825" i="1" s="1"/>
  <c r="F1826" i="1" s="1"/>
  <c r="F1827" i="1" s="1"/>
  <c r="F1828" i="1" s="1"/>
  <c r="F1829" i="1" s="1"/>
  <c r="F1830" i="1" s="1"/>
  <c r="F1831" i="1" s="1"/>
  <c r="F1832" i="1" s="1"/>
  <c r="F1833" i="1" s="1"/>
  <c r="F1834" i="1" s="1"/>
  <c r="F1835" i="1" s="1"/>
  <c r="F1836" i="1" s="1"/>
  <c r="F1837" i="1" s="1"/>
  <c r="F1838" i="1" s="1"/>
  <c r="F1839" i="1" s="1"/>
  <c r="F1840" i="1" s="1"/>
  <c r="F1841" i="1" s="1"/>
  <c r="F1842" i="1" s="1"/>
  <c r="F1843" i="1" s="1"/>
  <c r="F1844" i="1" s="1"/>
  <c r="F1845" i="1" s="1"/>
  <c r="F1846" i="1" s="1"/>
  <c r="F1847" i="1" s="1"/>
  <c r="F1848" i="1" s="1"/>
  <c r="F1849" i="1" s="1"/>
  <c r="F1850" i="1" s="1"/>
  <c r="F1851" i="1" s="1"/>
  <c r="F1852" i="1" s="1"/>
  <c r="F1853" i="1" s="1"/>
  <c r="F1854" i="1" s="1"/>
  <c r="F1855" i="1" s="1"/>
  <c r="F1856" i="1" s="1"/>
  <c r="F1857" i="1" s="1"/>
  <c r="F1858" i="1" s="1"/>
  <c r="F1859" i="1" s="1"/>
  <c r="F1860" i="1" s="1"/>
  <c r="F1861" i="1" s="1"/>
  <c r="F1862" i="1" s="1"/>
  <c r="F1863" i="1" s="1"/>
  <c r="F1864" i="1" s="1"/>
  <c r="F1865" i="1" s="1"/>
  <c r="F1866" i="1" s="1"/>
  <c r="F1867" i="1" s="1"/>
  <c r="F1868" i="1" s="1"/>
  <c r="F1869" i="1" s="1"/>
  <c r="F1870" i="1" s="1"/>
  <c r="F1871" i="1" s="1"/>
  <c r="F1872" i="1" s="1"/>
  <c r="F1873" i="1" s="1"/>
  <c r="F1874" i="1" s="1"/>
  <c r="F1875" i="1" s="1"/>
  <c r="F1876" i="1" s="1"/>
  <c r="F1877" i="1" s="1"/>
  <c r="F1878" i="1" s="1"/>
  <c r="F1879" i="1" s="1"/>
  <c r="F1880" i="1" s="1"/>
  <c r="F1881" i="1" s="1"/>
  <c r="F1882" i="1" s="1"/>
  <c r="F1883" i="1" s="1"/>
  <c r="F1884" i="1" s="1"/>
  <c r="F1885" i="1" s="1"/>
  <c r="F1886" i="1" s="1"/>
  <c r="F1887" i="1" s="1"/>
  <c r="F1888" i="1" s="1"/>
  <c r="F1889" i="1" s="1"/>
  <c r="F1890" i="1" s="1"/>
  <c r="F1891" i="1" s="1"/>
  <c r="F1892" i="1" s="1"/>
  <c r="F1893" i="1" s="1"/>
  <c r="F1894" i="1" s="1"/>
  <c r="F1895" i="1" s="1"/>
  <c r="F1896" i="1" s="1"/>
  <c r="F1897" i="1" s="1"/>
  <c r="F1898" i="1" s="1"/>
  <c r="F1899" i="1" s="1"/>
  <c r="F1900" i="1" s="1"/>
  <c r="F1901" i="1" s="1"/>
  <c r="F1902" i="1" s="1"/>
  <c r="F1903" i="1" s="1"/>
  <c r="F1904" i="1" s="1"/>
  <c r="F1905" i="1" s="1"/>
  <c r="F1906" i="1" s="1"/>
  <c r="F1907" i="1" s="1"/>
  <c r="F1908" i="1" s="1"/>
  <c r="F1909" i="1" s="1"/>
  <c r="F1910" i="1" s="1"/>
  <c r="F1911" i="1" s="1"/>
  <c r="F1912" i="1" s="1"/>
  <c r="F1913" i="1" s="1"/>
  <c r="F1914" i="1" s="1"/>
  <c r="F1915" i="1" s="1"/>
  <c r="F1916" i="1" s="1"/>
  <c r="F1917" i="1" s="1"/>
  <c r="F1918" i="1" s="1"/>
  <c r="F1919" i="1" s="1"/>
  <c r="F1920" i="1" s="1"/>
  <c r="F1921" i="1" s="1"/>
  <c r="F1922" i="1" s="1"/>
  <c r="F1923" i="1" s="1"/>
  <c r="F1924" i="1" s="1"/>
  <c r="F1925" i="1" s="1"/>
  <c r="F1926" i="1" s="1"/>
  <c r="F1927" i="1" s="1"/>
  <c r="F1928" i="1" s="1"/>
  <c r="F1929" i="1" s="1"/>
  <c r="F1930" i="1" s="1"/>
  <c r="F1931" i="1" s="1"/>
  <c r="F1932" i="1" s="1"/>
  <c r="F1933" i="1" s="1"/>
  <c r="F1934" i="1" s="1"/>
  <c r="F1935" i="1" s="1"/>
  <c r="F1936" i="1" s="1"/>
  <c r="F1937" i="1" s="1"/>
  <c r="F1938" i="1" s="1"/>
  <c r="F1939" i="1" s="1"/>
  <c r="F1940" i="1" s="1"/>
  <c r="F1941" i="1" s="1"/>
  <c r="F1942" i="1" s="1"/>
  <c r="F1943" i="1" s="1"/>
  <c r="F1944" i="1" s="1"/>
  <c r="F1945" i="1" s="1"/>
  <c r="F1946" i="1" s="1"/>
  <c r="F1947" i="1" s="1"/>
  <c r="F1948" i="1" s="1"/>
  <c r="F1949" i="1" s="1"/>
  <c r="F1950" i="1" s="1"/>
  <c r="F1951" i="1" s="1"/>
  <c r="F1952" i="1" s="1"/>
  <c r="F1953" i="1" s="1"/>
  <c r="F1954" i="1" s="1"/>
  <c r="F1955" i="1" s="1"/>
  <c r="F1956" i="1" s="1"/>
  <c r="F1957" i="1" s="1"/>
  <c r="F1958" i="1" s="1"/>
  <c r="F1959" i="1" s="1"/>
  <c r="F1960" i="1" s="1"/>
  <c r="F1961" i="1" s="1"/>
  <c r="F1962" i="1" s="1"/>
  <c r="F1963" i="1" s="1"/>
  <c r="F1964" i="1" s="1"/>
  <c r="F1965" i="1" s="1"/>
  <c r="F1966" i="1" s="1"/>
  <c r="F1967" i="1" s="1"/>
  <c r="F1968" i="1" s="1"/>
  <c r="F1969" i="1" s="1"/>
  <c r="F1970" i="1" s="1"/>
  <c r="F1971" i="1" s="1"/>
  <c r="F1972" i="1" s="1"/>
  <c r="F1973" i="1" s="1"/>
  <c r="F1974" i="1" s="1"/>
  <c r="F1975" i="1" s="1"/>
  <c r="F1976" i="1" s="1"/>
  <c r="F1977" i="1" s="1"/>
  <c r="F1978" i="1" s="1"/>
  <c r="F1979" i="1" s="1"/>
  <c r="F1980" i="1" s="1"/>
  <c r="F1981" i="1" s="1"/>
  <c r="F1982" i="1" s="1"/>
  <c r="F1983" i="1" s="1"/>
  <c r="F1984" i="1" s="1"/>
  <c r="F1985" i="1" s="1"/>
  <c r="F1986" i="1" s="1"/>
  <c r="F1987" i="1" s="1"/>
  <c r="F1988" i="1" s="1"/>
  <c r="F1989" i="1" s="1"/>
  <c r="F1990" i="1" s="1"/>
  <c r="F1991" i="1" s="1"/>
  <c r="F1992" i="1" s="1"/>
  <c r="F1993" i="1" s="1"/>
  <c r="F1994" i="1" s="1"/>
  <c r="F1995" i="1" s="1"/>
  <c r="F1996" i="1" s="1"/>
  <c r="F1997" i="1" s="1"/>
  <c r="F1998" i="1" s="1"/>
  <c r="F1999" i="1" s="1"/>
  <c r="F2000" i="1" s="1"/>
  <c r="F2001" i="1" s="1"/>
  <c r="F2002" i="1" s="1"/>
  <c r="F2003" i="1" s="1"/>
  <c r="F2004" i="1" s="1"/>
  <c r="F2005" i="1" s="1"/>
  <c r="F2006" i="1" s="1"/>
  <c r="F2007" i="1" s="1"/>
  <c r="F2008" i="1" s="1"/>
  <c r="F2009" i="1" s="1"/>
  <c r="F2010" i="1" s="1"/>
  <c r="F2011" i="1" s="1"/>
  <c r="F2012" i="1" s="1"/>
  <c r="F2013" i="1" s="1"/>
  <c r="F2014" i="1" s="1"/>
  <c r="F2015" i="1" s="1"/>
  <c r="F2016" i="1" s="1"/>
  <c r="F2017" i="1" s="1"/>
  <c r="F2018" i="1" s="1"/>
  <c r="F2019" i="1" s="1"/>
  <c r="F2020" i="1" s="1"/>
  <c r="F2021" i="1" s="1"/>
  <c r="F2022" i="1" s="1"/>
  <c r="F2023" i="1" s="1"/>
  <c r="F2024" i="1" s="1"/>
  <c r="F2025" i="1" s="1"/>
  <c r="F2026" i="1" s="1"/>
  <c r="F2027" i="1" s="1"/>
  <c r="F2028" i="1" s="1"/>
  <c r="F2029" i="1" s="1"/>
  <c r="F2030" i="1" s="1"/>
  <c r="F2031" i="1" s="1"/>
  <c r="F2032" i="1" s="1"/>
  <c r="F2033" i="1" s="1"/>
  <c r="F2034" i="1" s="1"/>
  <c r="F2035" i="1" s="1"/>
  <c r="F2036" i="1" s="1"/>
  <c r="F2037" i="1" s="1"/>
  <c r="F2038" i="1" s="1"/>
  <c r="F2039" i="1" s="1"/>
  <c r="F2040" i="1" s="1"/>
  <c r="F2041" i="1" s="1"/>
  <c r="F2042" i="1" s="1"/>
  <c r="F2043" i="1" s="1"/>
  <c r="F2044" i="1" s="1"/>
  <c r="F2045" i="1" s="1"/>
  <c r="F2046" i="1" s="1"/>
  <c r="F2047" i="1" s="1"/>
  <c r="F2048" i="1" s="1"/>
  <c r="F2049" i="1" s="1"/>
  <c r="F2050" i="1" s="1"/>
  <c r="F2051" i="1" s="1"/>
  <c r="F2052" i="1" s="1"/>
  <c r="F2053" i="1" s="1"/>
  <c r="F2054" i="1" s="1"/>
  <c r="F2055" i="1" s="1"/>
  <c r="F2056" i="1" s="1"/>
  <c r="F2057" i="1" s="1"/>
  <c r="F2058" i="1" s="1"/>
  <c r="F2059" i="1" s="1"/>
  <c r="F2060" i="1" s="1"/>
  <c r="F2061" i="1" s="1"/>
  <c r="F2062" i="1" s="1"/>
  <c r="F2063" i="1" s="1"/>
  <c r="F2064" i="1" s="1"/>
  <c r="F2065" i="1" s="1"/>
  <c r="F2066" i="1" s="1"/>
  <c r="F2067" i="1" s="1"/>
  <c r="F2068" i="1" s="1"/>
  <c r="F2069" i="1" s="1"/>
  <c r="F2070" i="1" s="1"/>
  <c r="F2071" i="1" s="1"/>
  <c r="F2072" i="1" s="1"/>
  <c r="F2073" i="1" s="1"/>
  <c r="F2074" i="1" s="1"/>
  <c r="F2075" i="1" s="1"/>
  <c r="F2076" i="1" s="1"/>
  <c r="F2077" i="1" s="1"/>
  <c r="F2078" i="1" s="1"/>
  <c r="F2079" i="1" s="1"/>
  <c r="F2080" i="1" s="1"/>
  <c r="F2081" i="1" s="1"/>
  <c r="F2082" i="1" s="1"/>
  <c r="F2083" i="1" s="1"/>
  <c r="F2084" i="1" s="1"/>
  <c r="F2085" i="1" s="1"/>
  <c r="F2086" i="1" s="1"/>
  <c r="F2087" i="1" s="1"/>
  <c r="F2088" i="1" s="1"/>
  <c r="F2089" i="1" s="1"/>
  <c r="F2090" i="1" s="1"/>
  <c r="F2091" i="1" s="1"/>
  <c r="F2092" i="1" s="1"/>
  <c r="F2093" i="1" s="1"/>
  <c r="F2094" i="1" s="1"/>
  <c r="F2095" i="1" s="1"/>
  <c r="F2096" i="1" s="1"/>
  <c r="F2097" i="1" s="1"/>
  <c r="F2098" i="1" s="1"/>
  <c r="F2099" i="1" s="1"/>
  <c r="F2100" i="1" s="1"/>
  <c r="F1750" i="1"/>
  <c r="F1380" i="1" l="1"/>
  <c r="F1381" i="1" s="1"/>
  <c r="F1382" i="1" s="1"/>
  <c r="F1383" i="1" s="1"/>
  <c r="F1384" i="1" s="1"/>
  <c r="F1385" i="1" s="1"/>
  <c r="F1386" i="1" s="1"/>
  <c r="F1387" i="1" s="1"/>
  <c r="F1388" i="1" s="1"/>
  <c r="F1389" i="1" s="1"/>
  <c r="F1390" i="1" s="1"/>
  <c r="F1391" i="1" s="1"/>
  <c r="F1392" i="1" s="1"/>
  <c r="F1393" i="1" s="1"/>
  <c r="F1394" i="1" s="1"/>
  <c r="F1395" i="1" s="1"/>
  <c r="F1396" i="1" s="1"/>
  <c r="F1397" i="1" s="1"/>
  <c r="F1398" i="1" s="1"/>
  <c r="F1399" i="1" s="1"/>
  <c r="F1400" i="1" s="1"/>
  <c r="F1401" i="1" s="1"/>
  <c r="F1402" i="1" s="1"/>
  <c r="F1403" i="1" s="1"/>
  <c r="F1404" i="1" s="1"/>
  <c r="F1405" i="1" s="1"/>
  <c r="F1406" i="1" s="1"/>
  <c r="F1407" i="1" s="1"/>
  <c r="F1408" i="1" s="1"/>
  <c r="F1409" i="1" s="1"/>
  <c r="F1410" i="1" s="1"/>
  <c r="F1411" i="1" s="1"/>
  <c r="F1412" i="1" s="1"/>
  <c r="F1413" i="1" s="1"/>
  <c r="F1414" i="1" s="1"/>
  <c r="F1415" i="1" s="1"/>
  <c r="F1416" i="1" s="1"/>
  <c r="F1417" i="1" s="1"/>
  <c r="F1418" i="1" s="1"/>
  <c r="F1419" i="1" s="1"/>
  <c r="F1420" i="1" s="1"/>
  <c r="F1421" i="1" s="1"/>
  <c r="F1422" i="1" s="1"/>
  <c r="F1423" i="1" s="1"/>
  <c r="F1424" i="1" s="1"/>
  <c r="F1425" i="1" s="1"/>
  <c r="F1426" i="1" s="1"/>
  <c r="F1427" i="1" s="1"/>
  <c r="F1428" i="1" s="1"/>
  <c r="F1429" i="1" s="1"/>
  <c r="F1430" i="1" s="1"/>
  <c r="F1431" i="1" s="1"/>
  <c r="F1432" i="1" s="1"/>
  <c r="F1433" i="1" s="1"/>
  <c r="F1434" i="1" s="1"/>
  <c r="F1435" i="1" s="1"/>
  <c r="F1436" i="1" s="1"/>
  <c r="F1437" i="1" s="1"/>
  <c r="F1438" i="1" s="1"/>
  <c r="F1439" i="1" s="1"/>
  <c r="F1440" i="1" s="1"/>
  <c r="F1441" i="1" s="1"/>
  <c r="F1442" i="1" s="1"/>
  <c r="F1443" i="1" s="1"/>
  <c r="F1444" i="1" s="1"/>
  <c r="F1445" i="1" s="1"/>
  <c r="F1446" i="1" s="1"/>
  <c r="F1447" i="1" s="1"/>
  <c r="F1448" i="1" s="1"/>
  <c r="F1449" i="1" s="1"/>
  <c r="F1450" i="1" s="1"/>
  <c r="F1451" i="1" s="1"/>
  <c r="F1452" i="1" s="1"/>
  <c r="F1453" i="1" s="1"/>
  <c r="F1454" i="1" s="1"/>
  <c r="F1455" i="1" s="1"/>
  <c r="F1456" i="1" s="1"/>
  <c r="F1457" i="1" s="1"/>
  <c r="F1458" i="1" s="1"/>
  <c r="F1459" i="1" s="1"/>
  <c r="F1460" i="1" s="1"/>
  <c r="F1461" i="1" s="1"/>
  <c r="F1462" i="1" s="1"/>
  <c r="F1463" i="1" s="1"/>
  <c r="F1464" i="1" s="1"/>
  <c r="F1465" i="1" s="1"/>
  <c r="F1466" i="1" s="1"/>
  <c r="F1467" i="1" s="1"/>
  <c r="F1468" i="1" s="1"/>
  <c r="F1469" i="1" s="1"/>
  <c r="F1470" i="1" s="1"/>
  <c r="F1471" i="1" s="1"/>
  <c r="F1472" i="1" s="1"/>
  <c r="F1473" i="1" s="1"/>
  <c r="F1474" i="1" s="1"/>
  <c r="F1475" i="1" s="1"/>
  <c r="F1476" i="1" s="1"/>
  <c r="F1477" i="1" s="1"/>
  <c r="F1478" i="1" s="1"/>
  <c r="F1479" i="1" s="1"/>
  <c r="F1480" i="1" s="1"/>
  <c r="F1481" i="1" s="1"/>
  <c r="F1482" i="1" s="1"/>
  <c r="F1483" i="1" s="1"/>
  <c r="F1484" i="1" s="1"/>
  <c r="F1485" i="1" s="1"/>
  <c r="F1486" i="1" s="1"/>
  <c r="F1487" i="1" s="1"/>
  <c r="F1488" i="1" s="1"/>
  <c r="F1489" i="1" s="1"/>
  <c r="F1490" i="1" s="1"/>
  <c r="F1491" i="1" s="1"/>
  <c r="F1492" i="1" s="1"/>
  <c r="F1493" i="1" s="1"/>
  <c r="F1494" i="1" s="1"/>
  <c r="F1495" i="1" s="1"/>
  <c r="F1496" i="1" s="1"/>
  <c r="F1497" i="1" s="1"/>
  <c r="F1498" i="1" s="1"/>
  <c r="F1499" i="1" s="1"/>
  <c r="F1500" i="1" s="1"/>
  <c r="F1501" i="1" s="1"/>
  <c r="F1502" i="1" s="1"/>
  <c r="F1503" i="1" s="1"/>
  <c r="F1504" i="1" s="1"/>
  <c r="F1505" i="1" s="1"/>
  <c r="F1506" i="1" s="1"/>
  <c r="F1507" i="1" s="1"/>
  <c r="F1508" i="1" s="1"/>
  <c r="F1509" i="1" s="1"/>
  <c r="F1510" i="1" s="1"/>
  <c r="F1511" i="1" s="1"/>
  <c r="F1512" i="1" s="1"/>
  <c r="F1513" i="1" s="1"/>
  <c r="F1514" i="1" s="1"/>
  <c r="F1515" i="1" s="1"/>
  <c r="F1516" i="1" s="1"/>
  <c r="F1517" i="1" s="1"/>
  <c r="F1518" i="1" s="1"/>
  <c r="F1519" i="1" s="1"/>
  <c r="F1520" i="1" s="1"/>
  <c r="F1521" i="1" s="1"/>
  <c r="F1522" i="1" s="1"/>
  <c r="F1523" i="1" s="1"/>
  <c r="F1524" i="1" s="1"/>
  <c r="F1525" i="1" s="1"/>
  <c r="F1526" i="1" s="1"/>
  <c r="F1527" i="1" s="1"/>
  <c r="F1528" i="1" s="1"/>
  <c r="F1529" i="1" s="1"/>
  <c r="F1530" i="1" s="1"/>
  <c r="F1531" i="1" s="1"/>
  <c r="F1532" i="1" s="1"/>
  <c r="F1533" i="1" s="1"/>
  <c r="F1534" i="1" s="1"/>
  <c r="F1535" i="1" s="1"/>
  <c r="F1536" i="1" s="1"/>
  <c r="F1537" i="1" s="1"/>
  <c r="F1538" i="1" s="1"/>
  <c r="F1539" i="1" s="1"/>
  <c r="F1540" i="1" s="1"/>
  <c r="F1541" i="1" s="1"/>
  <c r="F1542" i="1" s="1"/>
  <c r="F1543" i="1" s="1"/>
  <c r="F1544" i="1" s="1"/>
  <c r="F1545" i="1" s="1"/>
  <c r="F1546" i="1" s="1"/>
  <c r="F1547" i="1" s="1"/>
  <c r="F1548" i="1" s="1"/>
  <c r="F1549" i="1" s="1"/>
  <c r="F1550" i="1" s="1"/>
  <c r="F1551" i="1" s="1"/>
  <c r="F1552" i="1" s="1"/>
  <c r="F1553" i="1" s="1"/>
  <c r="F1554" i="1" s="1"/>
  <c r="F1555" i="1" s="1"/>
  <c r="F1556" i="1" s="1"/>
  <c r="F1557" i="1" s="1"/>
  <c r="F1558" i="1" s="1"/>
  <c r="F1559" i="1" s="1"/>
  <c r="F1560" i="1" s="1"/>
  <c r="F1561" i="1" s="1"/>
  <c r="F1562" i="1" s="1"/>
  <c r="F1563" i="1" s="1"/>
  <c r="F1564" i="1" s="1"/>
  <c r="F1565" i="1" s="1"/>
  <c r="F1566" i="1" s="1"/>
  <c r="F1567" i="1" s="1"/>
  <c r="F1568" i="1" s="1"/>
  <c r="F1569" i="1" s="1"/>
  <c r="F1570" i="1" s="1"/>
  <c r="F1571" i="1" s="1"/>
  <c r="F1572" i="1" s="1"/>
  <c r="F1573" i="1" s="1"/>
  <c r="F1574" i="1" s="1"/>
  <c r="F1575" i="1" s="1"/>
  <c r="F1576" i="1" s="1"/>
  <c r="F1577" i="1" s="1"/>
  <c r="F1578" i="1" s="1"/>
  <c r="F1579" i="1" s="1"/>
  <c r="F1580" i="1" s="1"/>
  <c r="F1581" i="1" s="1"/>
  <c r="F1582" i="1" s="1"/>
  <c r="F1583" i="1" s="1"/>
  <c r="F1584" i="1" s="1"/>
  <c r="F1585" i="1" s="1"/>
  <c r="F1586" i="1" s="1"/>
  <c r="F1587" i="1" s="1"/>
  <c r="F1588" i="1" s="1"/>
  <c r="F1589" i="1" s="1"/>
  <c r="F1590" i="1" s="1"/>
  <c r="F1591" i="1" s="1"/>
  <c r="F1592" i="1" s="1"/>
  <c r="F1593" i="1" s="1"/>
  <c r="F1594" i="1" s="1"/>
  <c r="F1595" i="1" s="1"/>
  <c r="F1596" i="1" s="1"/>
  <c r="F1597" i="1" s="1"/>
  <c r="F1598" i="1" s="1"/>
  <c r="F1599" i="1" s="1"/>
  <c r="F1600" i="1" s="1"/>
  <c r="F1601" i="1" s="1"/>
  <c r="F1602" i="1" s="1"/>
  <c r="F1603" i="1" s="1"/>
  <c r="F1604" i="1" s="1"/>
  <c r="F1605" i="1" s="1"/>
  <c r="F1606" i="1" s="1"/>
  <c r="F1607" i="1" s="1"/>
  <c r="F1608" i="1" s="1"/>
  <c r="F1609" i="1" s="1"/>
  <c r="F1610" i="1" s="1"/>
  <c r="F1611" i="1" s="1"/>
  <c r="F1612" i="1" s="1"/>
  <c r="F1613" i="1" s="1"/>
  <c r="F1614" i="1" s="1"/>
  <c r="F1615" i="1" s="1"/>
  <c r="F1616" i="1" s="1"/>
  <c r="F1617" i="1" s="1"/>
  <c r="F1618" i="1" s="1"/>
  <c r="F1619" i="1" s="1"/>
  <c r="F1620" i="1" s="1"/>
  <c r="F1621" i="1" s="1"/>
  <c r="F1622" i="1" s="1"/>
  <c r="F1623" i="1" s="1"/>
  <c r="F1624" i="1" s="1"/>
  <c r="F1625" i="1" s="1"/>
  <c r="F1626" i="1" s="1"/>
  <c r="F1627" i="1" s="1"/>
  <c r="F1628" i="1" s="1"/>
  <c r="F1629" i="1" s="1"/>
  <c r="F1630" i="1" s="1"/>
  <c r="F1631" i="1" s="1"/>
  <c r="F1632" i="1" s="1"/>
  <c r="F1633" i="1" s="1"/>
  <c r="F1634" i="1" s="1"/>
  <c r="F1635" i="1" s="1"/>
  <c r="F1636" i="1" s="1"/>
  <c r="F1637" i="1" s="1"/>
  <c r="F1638" i="1" s="1"/>
  <c r="F1639" i="1" s="1"/>
  <c r="F1640" i="1" s="1"/>
  <c r="F1641" i="1" s="1"/>
  <c r="F1642" i="1" s="1"/>
  <c r="F1643" i="1" s="1"/>
  <c r="F1644" i="1" s="1"/>
  <c r="F1645" i="1" s="1"/>
  <c r="F1646" i="1" s="1"/>
  <c r="F1647" i="1" s="1"/>
  <c r="F1648" i="1" s="1"/>
  <c r="F1649" i="1" s="1"/>
  <c r="F1650" i="1" s="1"/>
  <c r="F1651" i="1" s="1"/>
  <c r="F1652" i="1" s="1"/>
  <c r="F1653" i="1" s="1"/>
  <c r="F1654" i="1" s="1"/>
  <c r="F1655" i="1" s="1"/>
  <c r="F1656" i="1" s="1"/>
  <c r="F1657" i="1" s="1"/>
  <c r="F1658" i="1" s="1"/>
  <c r="F1659" i="1" s="1"/>
  <c r="F1660" i="1" s="1"/>
  <c r="F1661" i="1" s="1"/>
  <c r="F1662" i="1" s="1"/>
  <c r="F1663" i="1" s="1"/>
  <c r="F1664" i="1" s="1"/>
  <c r="F1665" i="1" s="1"/>
  <c r="F1666" i="1" s="1"/>
  <c r="F1667" i="1" s="1"/>
  <c r="F1668" i="1" s="1"/>
  <c r="F1669" i="1" s="1"/>
  <c r="F1670" i="1" s="1"/>
  <c r="F1671" i="1" s="1"/>
  <c r="F1672" i="1" s="1"/>
  <c r="F1673" i="1" s="1"/>
  <c r="F1674" i="1" s="1"/>
  <c r="F1675" i="1" s="1"/>
  <c r="F1676" i="1" s="1"/>
  <c r="F1677" i="1" s="1"/>
  <c r="F1678" i="1" s="1"/>
  <c r="F1679" i="1" s="1"/>
  <c r="F1680" i="1" s="1"/>
  <c r="F1681" i="1" s="1"/>
  <c r="F1682" i="1" s="1"/>
  <c r="F1683" i="1" s="1"/>
  <c r="F1684" i="1" s="1"/>
  <c r="F1685" i="1" s="1"/>
  <c r="F1686" i="1" s="1"/>
  <c r="F1687" i="1" s="1"/>
  <c r="F1688" i="1" s="1"/>
  <c r="F1689" i="1" s="1"/>
  <c r="F1690" i="1" s="1"/>
  <c r="F1691" i="1" s="1"/>
  <c r="F1692" i="1" s="1"/>
  <c r="F1693" i="1" s="1"/>
  <c r="F1694" i="1" s="1"/>
  <c r="F1695" i="1" s="1"/>
  <c r="F1696" i="1" s="1"/>
  <c r="F1697" i="1" s="1"/>
  <c r="F1698" i="1" s="1"/>
  <c r="F1699" i="1" s="1"/>
  <c r="F1700" i="1" s="1"/>
  <c r="F1701" i="1" s="1"/>
  <c r="F1702" i="1" s="1"/>
  <c r="F1703" i="1" s="1"/>
  <c r="F1704" i="1" s="1"/>
  <c r="F1705" i="1" s="1"/>
  <c r="F1706" i="1" s="1"/>
  <c r="F1707" i="1" s="1"/>
  <c r="F1708" i="1" s="1"/>
  <c r="F1709" i="1" s="1"/>
  <c r="F1710" i="1" s="1"/>
  <c r="F1711" i="1" s="1"/>
  <c r="F1712" i="1" s="1"/>
  <c r="F1713" i="1" s="1"/>
  <c r="F1714" i="1" s="1"/>
  <c r="F1715" i="1" s="1"/>
  <c r="F1716" i="1" s="1"/>
  <c r="F1717" i="1" s="1"/>
  <c r="F1718" i="1" s="1"/>
  <c r="F1719" i="1" s="1"/>
  <c r="F1720" i="1" s="1"/>
  <c r="F1721" i="1" s="1"/>
  <c r="F1722" i="1" s="1"/>
  <c r="F1723" i="1" s="1"/>
  <c r="F1724" i="1" s="1"/>
  <c r="F1725" i="1" s="1"/>
  <c r="F1726" i="1" s="1"/>
  <c r="F1727" i="1" s="1"/>
  <c r="F1728" i="1" s="1"/>
  <c r="F1729" i="1" s="1"/>
  <c r="F1730" i="1" s="1"/>
  <c r="F1731" i="1" s="1"/>
  <c r="F1732" i="1" s="1"/>
  <c r="F1733" i="1" s="1"/>
  <c r="F1734" i="1" s="1"/>
  <c r="F1735" i="1" s="1"/>
  <c r="F1736" i="1" s="1"/>
  <c r="F1737" i="1" s="1"/>
  <c r="F1738" i="1" s="1"/>
  <c r="F1739" i="1" s="1"/>
  <c r="F1740" i="1" s="1"/>
  <c r="F1741" i="1" s="1"/>
  <c r="F1742" i="1" s="1"/>
  <c r="F1743" i="1" s="1"/>
  <c r="F1744" i="1" s="1"/>
  <c r="F1745" i="1" s="1"/>
  <c r="F1048" i="1" l="1"/>
  <c r="F1049" i="1" s="1"/>
  <c r="F1050" i="1" s="1"/>
  <c r="F1051" i="1" s="1"/>
  <c r="F1052" i="1" s="1"/>
  <c r="F1053" i="1" s="1"/>
  <c r="F1054" i="1" s="1"/>
  <c r="F1055" i="1" s="1"/>
  <c r="F1056" i="1" s="1"/>
  <c r="F1057" i="1" s="1"/>
  <c r="F1058" i="1" s="1"/>
  <c r="F1059" i="1" s="1"/>
  <c r="F1060" i="1" s="1"/>
  <c r="F1061" i="1" s="1"/>
  <c r="F1062" i="1" s="1"/>
  <c r="F1063" i="1" s="1"/>
  <c r="F1064" i="1" s="1"/>
  <c r="F1065" i="1" s="1"/>
  <c r="F1066" i="1" s="1"/>
  <c r="F1067" i="1" s="1"/>
  <c r="F1068" i="1" s="1"/>
  <c r="F1069" i="1" s="1"/>
  <c r="F1070" i="1" s="1"/>
  <c r="F1071" i="1" s="1"/>
  <c r="F1072" i="1" s="1"/>
  <c r="F1073" i="1" s="1"/>
  <c r="F1074" i="1" s="1"/>
  <c r="F1075" i="1" s="1"/>
  <c r="F1076" i="1" s="1"/>
  <c r="F1077" i="1" s="1"/>
  <c r="F1078" i="1" s="1"/>
  <c r="F1079" i="1" s="1"/>
  <c r="F1080" i="1" s="1"/>
  <c r="F1081" i="1" s="1"/>
  <c r="F1082" i="1" s="1"/>
  <c r="F1083" i="1" s="1"/>
  <c r="F1084" i="1" s="1"/>
  <c r="F1085" i="1" s="1"/>
  <c r="F1086" i="1" s="1"/>
  <c r="F1087" i="1" s="1"/>
  <c r="F1088" i="1" s="1"/>
  <c r="F1089" i="1" s="1"/>
  <c r="F1090" i="1" s="1"/>
  <c r="F1091" i="1" s="1"/>
  <c r="F1092" i="1" s="1"/>
  <c r="F1093" i="1" s="1"/>
  <c r="F1094" i="1" s="1"/>
  <c r="F1095" i="1" s="1"/>
  <c r="F1096" i="1" s="1"/>
  <c r="F1097" i="1" s="1"/>
  <c r="F1098" i="1" s="1"/>
  <c r="F1099" i="1" s="1"/>
  <c r="F1100" i="1" s="1"/>
  <c r="F1101" i="1" s="1"/>
  <c r="F1102" i="1" s="1"/>
  <c r="F1103" i="1" s="1"/>
  <c r="F1104" i="1" s="1"/>
  <c r="F1105" i="1" s="1"/>
  <c r="F1106" i="1" s="1"/>
  <c r="F1107" i="1" s="1"/>
  <c r="F1108" i="1" s="1"/>
  <c r="F1109" i="1" s="1"/>
  <c r="F1110" i="1" s="1"/>
  <c r="F1111" i="1" s="1"/>
  <c r="F1112" i="1" s="1"/>
  <c r="F1113" i="1" s="1"/>
  <c r="F1114" i="1" s="1"/>
  <c r="F1115" i="1" s="1"/>
  <c r="F1116" i="1" s="1"/>
  <c r="F1117" i="1" s="1"/>
  <c r="F1118" i="1" s="1"/>
  <c r="F1119" i="1" s="1"/>
  <c r="F1120" i="1" s="1"/>
  <c r="F1121" i="1" s="1"/>
  <c r="F1122" i="1" s="1"/>
  <c r="F1123" i="1" s="1"/>
  <c r="F1124" i="1" s="1"/>
  <c r="F1125" i="1" s="1"/>
  <c r="F1126" i="1" s="1"/>
  <c r="F1127" i="1" s="1"/>
  <c r="F1128" i="1" s="1"/>
  <c r="F1129" i="1" s="1"/>
  <c r="F1130" i="1" s="1"/>
  <c r="F1131" i="1" s="1"/>
  <c r="F1132" i="1" s="1"/>
  <c r="F1133" i="1" s="1"/>
  <c r="F1134" i="1" s="1"/>
  <c r="F1135" i="1" s="1"/>
  <c r="F1136" i="1" s="1"/>
  <c r="F1137" i="1" s="1"/>
  <c r="F1138" i="1" s="1"/>
  <c r="F1139" i="1" s="1"/>
  <c r="F1140" i="1" s="1"/>
  <c r="F1141" i="1" s="1"/>
  <c r="F1142" i="1" s="1"/>
  <c r="F1143" i="1" s="1"/>
  <c r="F1144" i="1" s="1"/>
  <c r="F1145" i="1" s="1"/>
  <c r="F1146" i="1" s="1"/>
  <c r="F1147" i="1" s="1"/>
  <c r="F1148" i="1" s="1"/>
  <c r="F1149" i="1" s="1"/>
  <c r="F1150" i="1" s="1"/>
  <c r="F1151" i="1" s="1"/>
  <c r="F1152" i="1" s="1"/>
  <c r="F1153" i="1" s="1"/>
  <c r="F1154" i="1" s="1"/>
  <c r="F1155" i="1" s="1"/>
  <c r="F1156" i="1" s="1"/>
  <c r="F1157" i="1" s="1"/>
  <c r="F1158" i="1" s="1"/>
  <c r="F1159" i="1" s="1"/>
  <c r="F1160" i="1" s="1"/>
  <c r="F1161" i="1" s="1"/>
  <c r="F1162" i="1" s="1"/>
  <c r="F1163" i="1" s="1"/>
  <c r="F1164" i="1" s="1"/>
  <c r="F1165" i="1" s="1"/>
  <c r="F1166" i="1" s="1"/>
  <c r="F1167" i="1" s="1"/>
  <c r="F1168" i="1" s="1"/>
  <c r="F1169" i="1" s="1"/>
  <c r="F1170" i="1" s="1"/>
  <c r="F1171" i="1" s="1"/>
  <c r="F1172" i="1" s="1"/>
  <c r="F1173" i="1" s="1"/>
  <c r="F1174" i="1" s="1"/>
  <c r="F1175" i="1" s="1"/>
  <c r="F1176" i="1" s="1"/>
  <c r="F1177" i="1" s="1"/>
  <c r="F1178" i="1" s="1"/>
  <c r="F1179" i="1" s="1"/>
  <c r="F1180" i="1" s="1"/>
  <c r="F1181" i="1" s="1"/>
  <c r="F1182" i="1" s="1"/>
  <c r="F1183" i="1" s="1"/>
  <c r="F1184" i="1" s="1"/>
  <c r="F1185" i="1" s="1"/>
  <c r="F1186" i="1" s="1"/>
  <c r="F1187" i="1" s="1"/>
  <c r="F1188" i="1" s="1"/>
  <c r="F1189" i="1" s="1"/>
  <c r="F1190" i="1" s="1"/>
  <c r="F1191" i="1" s="1"/>
  <c r="F1192" i="1" s="1"/>
  <c r="F1193" i="1" s="1"/>
  <c r="F1194" i="1" s="1"/>
  <c r="F1195" i="1" s="1"/>
  <c r="F1196" i="1" s="1"/>
  <c r="F1197" i="1" s="1"/>
  <c r="F1198" i="1" s="1"/>
  <c r="F1199" i="1" s="1"/>
  <c r="F1200" i="1" s="1"/>
  <c r="F1201" i="1" s="1"/>
  <c r="F1202" i="1" s="1"/>
  <c r="F1203" i="1" s="1"/>
  <c r="F1204" i="1" s="1"/>
  <c r="F1205" i="1" s="1"/>
  <c r="F1206" i="1" s="1"/>
  <c r="F1207" i="1" s="1"/>
  <c r="F1208" i="1" s="1"/>
  <c r="F1209" i="1" s="1"/>
  <c r="F1210" i="1" s="1"/>
  <c r="F1211" i="1" s="1"/>
  <c r="F1212" i="1" s="1"/>
  <c r="F1213" i="1" s="1"/>
  <c r="F1214" i="1" s="1"/>
  <c r="F1215" i="1" s="1"/>
  <c r="F1216" i="1" s="1"/>
  <c r="F1217" i="1" s="1"/>
  <c r="F1218" i="1" s="1"/>
  <c r="F1219" i="1" s="1"/>
  <c r="F1220" i="1" s="1"/>
  <c r="F1221" i="1" s="1"/>
  <c r="F1222" i="1" s="1"/>
  <c r="F1223" i="1" s="1"/>
  <c r="F1224" i="1" s="1"/>
  <c r="F1225" i="1" s="1"/>
  <c r="F1226" i="1" s="1"/>
  <c r="F1227" i="1" s="1"/>
  <c r="F1228" i="1" s="1"/>
  <c r="F1229" i="1" s="1"/>
  <c r="F1230" i="1" s="1"/>
  <c r="F1231" i="1" s="1"/>
  <c r="F1232" i="1" s="1"/>
  <c r="F1233" i="1" s="1"/>
  <c r="F1234" i="1" s="1"/>
  <c r="F1235" i="1" s="1"/>
  <c r="F1236" i="1" s="1"/>
  <c r="F1237" i="1" s="1"/>
  <c r="F1238" i="1" s="1"/>
  <c r="F1239" i="1" s="1"/>
  <c r="F1240" i="1" s="1"/>
  <c r="F1241" i="1" s="1"/>
  <c r="F1242" i="1" s="1"/>
  <c r="F1243" i="1" s="1"/>
  <c r="F1244" i="1" s="1"/>
  <c r="F1245" i="1" s="1"/>
  <c r="F1246" i="1" s="1"/>
  <c r="F1247" i="1" s="1"/>
  <c r="F1248" i="1" s="1"/>
  <c r="F1249" i="1" s="1"/>
  <c r="F1250" i="1" s="1"/>
  <c r="F1251" i="1" s="1"/>
  <c r="F1252" i="1" s="1"/>
  <c r="F1253" i="1" s="1"/>
  <c r="F1254" i="1" s="1"/>
  <c r="F1255" i="1" s="1"/>
  <c r="F1256" i="1" s="1"/>
  <c r="F1257" i="1" s="1"/>
  <c r="F1258" i="1" s="1"/>
  <c r="F1259" i="1" s="1"/>
  <c r="F1260" i="1" s="1"/>
  <c r="F1261" i="1" s="1"/>
  <c r="F1262" i="1" s="1"/>
  <c r="F1263" i="1" s="1"/>
  <c r="F1264" i="1" s="1"/>
  <c r="F1265" i="1" s="1"/>
  <c r="F1266" i="1" s="1"/>
  <c r="F1267" i="1" s="1"/>
  <c r="F1268" i="1" s="1"/>
  <c r="F1269" i="1" s="1"/>
  <c r="F1270" i="1" s="1"/>
  <c r="F1271" i="1" s="1"/>
  <c r="F1272" i="1" s="1"/>
  <c r="F1273" i="1" s="1"/>
  <c r="F1274" i="1" s="1"/>
  <c r="F1275" i="1" s="1"/>
  <c r="F1276" i="1" s="1"/>
  <c r="F1277" i="1" s="1"/>
  <c r="F1278" i="1" s="1"/>
  <c r="F1279" i="1" s="1"/>
  <c r="F1280" i="1" s="1"/>
  <c r="F1281" i="1" s="1"/>
  <c r="F1282" i="1" s="1"/>
  <c r="F1283" i="1" s="1"/>
  <c r="F1284" i="1" s="1"/>
  <c r="F1285" i="1" s="1"/>
  <c r="F1286" i="1" s="1"/>
  <c r="F1287" i="1" s="1"/>
  <c r="F1288" i="1" s="1"/>
  <c r="F1289" i="1" s="1"/>
  <c r="F1290" i="1" s="1"/>
  <c r="F1291" i="1" s="1"/>
  <c r="F1292" i="1" s="1"/>
  <c r="F1293" i="1" s="1"/>
  <c r="F1294" i="1" s="1"/>
  <c r="F1295" i="1" s="1"/>
  <c r="F1296" i="1" s="1"/>
  <c r="F1297" i="1" s="1"/>
  <c r="F1298" i="1" s="1"/>
  <c r="F1299" i="1" s="1"/>
  <c r="F1300" i="1" s="1"/>
  <c r="F1301" i="1" s="1"/>
  <c r="F1302" i="1" s="1"/>
  <c r="F1303" i="1" s="1"/>
  <c r="F1304" i="1" s="1"/>
  <c r="F1305" i="1" s="1"/>
  <c r="F1306" i="1" s="1"/>
  <c r="F1307" i="1" s="1"/>
  <c r="F1308" i="1" s="1"/>
  <c r="F1309" i="1" s="1"/>
  <c r="F1310" i="1" s="1"/>
  <c r="F1311" i="1" s="1"/>
  <c r="F1312" i="1" s="1"/>
  <c r="F1313" i="1" s="1"/>
  <c r="F1314" i="1" s="1"/>
  <c r="F1315" i="1" s="1"/>
  <c r="F1316" i="1" s="1"/>
  <c r="F1317" i="1" s="1"/>
  <c r="F1318" i="1" s="1"/>
  <c r="F1319" i="1" s="1"/>
  <c r="F1320" i="1" s="1"/>
  <c r="F1321" i="1" s="1"/>
  <c r="F1322" i="1" s="1"/>
  <c r="F1323" i="1" s="1"/>
  <c r="F1324" i="1" s="1"/>
  <c r="F1325" i="1" s="1"/>
  <c r="F1326" i="1" s="1"/>
  <c r="F1327" i="1" s="1"/>
  <c r="F1328" i="1" s="1"/>
  <c r="F1329" i="1" s="1"/>
  <c r="F1330" i="1" s="1"/>
  <c r="F1331" i="1" s="1"/>
  <c r="F1332" i="1" s="1"/>
  <c r="F1333" i="1" s="1"/>
  <c r="F1334" i="1" s="1"/>
  <c r="F1335" i="1" s="1"/>
  <c r="F1336" i="1" s="1"/>
  <c r="F1337" i="1" s="1"/>
  <c r="F1338" i="1" s="1"/>
  <c r="F1339" i="1" s="1"/>
  <c r="F1340" i="1" s="1"/>
  <c r="F1341" i="1" s="1"/>
  <c r="F1342" i="1" s="1"/>
  <c r="F1343" i="1" s="1"/>
  <c r="F1344" i="1" s="1"/>
  <c r="F1345" i="1" s="1"/>
  <c r="F1346" i="1" s="1"/>
  <c r="F1347" i="1" s="1"/>
  <c r="F1348" i="1" s="1"/>
  <c r="F1349" i="1" s="1"/>
  <c r="F1350" i="1" s="1"/>
  <c r="F1351" i="1" s="1"/>
  <c r="F1352" i="1" s="1"/>
  <c r="F1353" i="1" s="1"/>
  <c r="F1354" i="1" s="1"/>
  <c r="F1355" i="1" s="1"/>
  <c r="F1356" i="1" s="1"/>
  <c r="F1357" i="1" s="1"/>
  <c r="F1358" i="1" s="1"/>
  <c r="F1359" i="1" s="1"/>
  <c r="F1360" i="1" s="1"/>
  <c r="F1361" i="1" s="1"/>
  <c r="F1362" i="1" s="1"/>
  <c r="F1363" i="1" s="1"/>
  <c r="F1364" i="1" s="1"/>
  <c r="F1365" i="1" s="1"/>
  <c r="F1366" i="1" s="1"/>
  <c r="F1367" i="1" s="1"/>
  <c r="F1368" i="1" s="1"/>
  <c r="F1369" i="1" s="1"/>
  <c r="F1370" i="1" s="1"/>
  <c r="F1371" i="1" s="1"/>
  <c r="F1372" i="1" s="1"/>
  <c r="F1373" i="1" s="1"/>
  <c r="F1374" i="1" s="1"/>
  <c r="F1375" i="1" s="1"/>
  <c r="F694" i="1" l="1"/>
  <c r="F695" i="1" s="1"/>
  <c r="F696" i="1" s="1"/>
  <c r="F697" i="1" s="1"/>
  <c r="F698" i="1" s="1"/>
  <c r="F699" i="1" s="1"/>
  <c r="F700" i="1" s="1"/>
  <c r="F701" i="1" s="1"/>
  <c r="F702" i="1" s="1"/>
  <c r="F703" i="1" s="1"/>
  <c r="F704" i="1" s="1"/>
  <c r="F705" i="1" s="1"/>
  <c r="F706" i="1" s="1"/>
  <c r="F707" i="1" s="1"/>
  <c r="F708" i="1" s="1"/>
  <c r="F709" i="1" s="1"/>
  <c r="F710" i="1" s="1"/>
  <c r="F711" i="1" s="1"/>
  <c r="F712" i="1" s="1"/>
  <c r="F713" i="1" s="1"/>
  <c r="F714" i="1" s="1"/>
  <c r="F715" i="1" s="1"/>
  <c r="F716" i="1" s="1"/>
  <c r="F717" i="1" s="1"/>
  <c r="F718" i="1" s="1"/>
  <c r="F719" i="1" s="1"/>
  <c r="F720" i="1" s="1"/>
  <c r="F721" i="1" s="1"/>
  <c r="F722" i="1" s="1"/>
  <c r="F723" i="1" s="1"/>
  <c r="F724" i="1" s="1"/>
  <c r="F725" i="1" s="1"/>
  <c r="F726" i="1" s="1"/>
  <c r="F727" i="1" s="1"/>
  <c r="F728" i="1" s="1"/>
  <c r="F729" i="1" s="1"/>
  <c r="F730" i="1" s="1"/>
  <c r="F731" i="1" s="1"/>
  <c r="F732" i="1" s="1"/>
  <c r="F733" i="1" s="1"/>
  <c r="F734" i="1" s="1"/>
  <c r="F735" i="1" s="1"/>
  <c r="F736" i="1" s="1"/>
  <c r="F737" i="1" s="1"/>
  <c r="F738" i="1" s="1"/>
  <c r="F739" i="1" s="1"/>
  <c r="F740" i="1" s="1"/>
  <c r="F741" i="1" s="1"/>
  <c r="F742" i="1" s="1"/>
  <c r="F743" i="1" s="1"/>
  <c r="F744" i="1" s="1"/>
  <c r="F745" i="1" s="1"/>
  <c r="F746" i="1" s="1"/>
  <c r="F747" i="1" s="1"/>
  <c r="F748" i="1" s="1"/>
  <c r="F749" i="1" s="1"/>
  <c r="F750" i="1" s="1"/>
  <c r="F751" i="1" s="1"/>
  <c r="F752" i="1" s="1"/>
  <c r="F753" i="1" s="1"/>
  <c r="F754" i="1" s="1"/>
  <c r="F755" i="1" s="1"/>
  <c r="F756" i="1" s="1"/>
  <c r="F757" i="1" s="1"/>
  <c r="F758" i="1" s="1"/>
  <c r="F759" i="1" s="1"/>
  <c r="F760" i="1" s="1"/>
  <c r="F761" i="1" s="1"/>
  <c r="F762" i="1" s="1"/>
  <c r="F763" i="1" s="1"/>
  <c r="F764" i="1" s="1"/>
  <c r="F765" i="1" s="1"/>
  <c r="F766" i="1" s="1"/>
  <c r="F767" i="1" s="1"/>
  <c r="F768" i="1" s="1"/>
  <c r="F769" i="1" s="1"/>
  <c r="F770" i="1" s="1"/>
  <c r="F771" i="1" s="1"/>
  <c r="F772" i="1" s="1"/>
  <c r="F773" i="1" s="1"/>
  <c r="F774" i="1" s="1"/>
  <c r="F775" i="1" s="1"/>
  <c r="F776" i="1" s="1"/>
  <c r="F777" i="1" s="1"/>
  <c r="F778" i="1" s="1"/>
  <c r="F779" i="1" s="1"/>
  <c r="F780" i="1" s="1"/>
  <c r="F781" i="1" s="1"/>
  <c r="F782" i="1" s="1"/>
  <c r="F783" i="1" s="1"/>
  <c r="F784" i="1" s="1"/>
  <c r="F785" i="1" s="1"/>
  <c r="F786" i="1" s="1"/>
  <c r="F787" i="1" s="1"/>
  <c r="F788" i="1" s="1"/>
  <c r="F789" i="1" s="1"/>
  <c r="F790" i="1" s="1"/>
  <c r="F791" i="1" s="1"/>
  <c r="F792" i="1" s="1"/>
  <c r="F793" i="1" s="1"/>
  <c r="F794" i="1" s="1"/>
  <c r="F795" i="1" s="1"/>
  <c r="F796" i="1" s="1"/>
  <c r="F797" i="1" s="1"/>
  <c r="F798" i="1" s="1"/>
  <c r="F799" i="1" s="1"/>
  <c r="F800" i="1" s="1"/>
  <c r="F801" i="1" s="1"/>
  <c r="F802" i="1" s="1"/>
  <c r="F803" i="1" s="1"/>
  <c r="F804" i="1" s="1"/>
  <c r="F805" i="1" s="1"/>
  <c r="F806" i="1" s="1"/>
  <c r="F807" i="1" s="1"/>
  <c r="F808" i="1" s="1"/>
  <c r="F809" i="1" s="1"/>
  <c r="F810" i="1" s="1"/>
  <c r="F811" i="1" s="1"/>
  <c r="F812" i="1" s="1"/>
  <c r="F813" i="1" s="1"/>
  <c r="F814" i="1" s="1"/>
  <c r="F815" i="1" s="1"/>
  <c r="F816" i="1" s="1"/>
  <c r="F817" i="1" s="1"/>
  <c r="F818" i="1" s="1"/>
  <c r="F819" i="1" s="1"/>
  <c r="F820" i="1" s="1"/>
  <c r="F821" i="1" s="1"/>
  <c r="F822" i="1" s="1"/>
  <c r="F823" i="1" s="1"/>
  <c r="F824" i="1" s="1"/>
  <c r="F825" i="1" s="1"/>
  <c r="F826" i="1" s="1"/>
  <c r="F827" i="1" s="1"/>
  <c r="F828" i="1" s="1"/>
  <c r="F829" i="1" s="1"/>
  <c r="F830" i="1" s="1"/>
  <c r="F831" i="1" s="1"/>
  <c r="F832" i="1" s="1"/>
  <c r="F833" i="1" s="1"/>
  <c r="F834" i="1" s="1"/>
  <c r="F835" i="1" s="1"/>
  <c r="F836" i="1" s="1"/>
  <c r="F837" i="1" s="1"/>
  <c r="F838" i="1" s="1"/>
  <c r="F839" i="1" s="1"/>
  <c r="F840" i="1" s="1"/>
  <c r="F841" i="1" s="1"/>
  <c r="F842" i="1" s="1"/>
  <c r="F843" i="1" s="1"/>
  <c r="F844" i="1" s="1"/>
  <c r="F845" i="1" s="1"/>
  <c r="F846" i="1" s="1"/>
  <c r="F847" i="1" s="1"/>
  <c r="F848" i="1" s="1"/>
  <c r="F849" i="1" s="1"/>
  <c r="F850" i="1" s="1"/>
  <c r="F851" i="1" s="1"/>
  <c r="F852" i="1" s="1"/>
  <c r="F853" i="1" s="1"/>
  <c r="F854" i="1" s="1"/>
  <c r="F855" i="1" s="1"/>
  <c r="F856" i="1" s="1"/>
  <c r="F857" i="1" s="1"/>
  <c r="F858" i="1" s="1"/>
  <c r="F859" i="1" s="1"/>
  <c r="F860" i="1" s="1"/>
  <c r="F861" i="1" s="1"/>
  <c r="F862" i="1" s="1"/>
  <c r="F863" i="1" s="1"/>
  <c r="F864" i="1" s="1"/>
  <c r="F865" i="1" s="1"/>
  <c r="F866" i="1" s="1"/>
  <c r="F867" i="1" s="1"/>
  <c r="F868" i="1" s="1"/>
  <c r="F869" i="1" s="1"/>
  <c r="F870" i="1" s="1"/>
  <c r="F871" i="1" s="1"/>
  <c r="F872" i="1" s="1"/>
  <c r="F873" i="1" s="1"/>
  <c r="F874" i="1" s="1"/>
  <c r="F875" i="1" s="1"/>
  <c r="F876" i="1" s="1"/>
  <c r="F877" i="1" s="1"/>
  <c r="F878" i="1" s="1"/>
  <c r="F879" i="1" s="1"/>
  <c r="F880" i="1" s="1"/>
  <c r="F881" i="1" s="1"/>
  <c r="F882" i="1" s="1"/>
  <c r="F883" i="1" s="1"/>
  <c r="F884" i="1" s="1"/>
  <c r="F885" i="1" s="1"/>
  <c r="F886" i="1" s="1"/>
  <c r="F887" i="1" s="1"/>
  <c r="F888" i="1" s="1"/>
  <c r="F889" i="1" s="1"/>
  <c r="F890" i="1" s="1"/>
  <c r="F891" i="1" s="1"/>
  <c r="F892" i="1" s="1"/>
  <c r="F893" i="1" s="1"/>
  <c r="F894" i="1" s="1"/>
  <c r="F895" i="1" s="1"/>
  <c r="F896" i="1" s="1"/>
  <c r="F897" i="1" s="1"/>
  <c r="F898" i="1" s="1"/>
  <c r="F899" i="1" s="1"/>
  <c r="F900" i="1" s="1"/>
  <c r="F901" i="1" s="1"/>
  <c r="F902" i="1" s="1"/>
  <c r="F903" i="1" s="1"/>
  <c r="F904" i="1" s="1"/>
  <c r="F905" i="1" s="1"/>
  <c r="F906" i="1" s="1"/>
  <c r="F907" i="1" s="1"/>
  <c r="F908" i="1" s="1"/>
  <c r="F909" i="1" s="1"/>
  <c r="F910" i="1" s="1"/>
  <c r="F911" i="1" s="1"/>
  <c r="F912" i="1" s="1"/>
  <c r="F913" i="1" s="1"/>
  <c r="F914" i="1" s="1"/>
  <c r="F915" i="1" s="1"/>
  <c r="F916" i="1" s="1"/>
  <c r="F917" i="1" s="1"/>
  <c r="F918" i="1" s="1"/>
  <c r="F919" i="1" s="1"/>
  <c r="F920" i="1" s="1"/>
  <c r="F921" i="1" s="1"/>
  <c r="F922" i="1" s="1"/>
  <c r="F923" i="1" s="1"/>
  <c r="F924" i="1" s="1"/>
  <c r="F925" i="1" s="1"/>
  <c r="F926" i="1" s="1"/>
  <c r="F927" i="1" s="1"/>
  <c r="F928" i="1" s="1"/>
  <c r="F929" i="1" s="1"/>
  <c r="F930" i="1" s="1"/>
  <c r="F931" i="1" s="1"/>
  <c r="F932" i="1" s="1"/>
  <c r="F933" i="1" s="1"/>
  <c r="F934" i="1" s="1"/>
  <c r="F935" i="1" s="1"/>
  <c r="F936" i="1" s="1"/>
  <c r="F937" i="1" s="1"/>
  <c r="F938" i="1" s="1"/>
  <c r="F939" i="1" s="1"/>
  <c r="F940" i="1" s="1"/>
  <c r="F941" i="1" s="1"/>
  <c r="F942" i="1" s="1"/>
  <c r="F943" i="1" s="1"/>
  <c r="F944" i="1" s="1"/>
  <c r="F945" i="1" s="1"/>
  <c r="F946" i="1" s="1"/>
  <c r="F947" i="1" s="1"/>
  <c r="F948" i="1" s="1"/>
  <c r="F949" i="1" s="1"/>
  <c r="F950" i="1" s="1"/>
  <c r="F951" i="1" s="1"/>
  <c r="F952" i="1" s="1"/>
  <c r="F953" i="1" s="1"/>
  <c r="F954" i="1" s="1"/>
  <c r="F955" i="1" s="1"/>
  <c r="F956" i="1" s="1"/>
  <c r="F957" i="1" s="1"/>
  <c r="F958" i="1" s="1"/>
  <c r="F959" i="1" s="1"/>
  <c r="F960" i="1" s="1"/>
  <c r="F961" i="1" s="1"/>
  <c r="F962" i="1" s="1"/>
  <c r="F963" i="1" s="1"/>
  <c r="F964" i="1" s="1"/>
  <c r="F965" i="1" s="1"/>
  <c r="F966" i="1" s="1"/>
  <c r="F967" i="1" s="1"/>
  <c r="F968" i="1" s="1"/>
  <c r="F969" i="1" s="1"/>
  <c r="F970" i="1" s="1"/>
  <c r="F971" i="1" s="1"/>
  <c r="F972" i="1" s="1"/>
  <c r="F973" i="1" s="1"/>
  <c r="F974" i="1" s="1"/>
  <c r="F975" i="1" s="1"/>
  <c r="F976" i="1" s="1"/>
  <c r="F977" i="1" s="1"/>
  <c r="F978" i="1" s="1"/>
  <c r="F979" i="1" s="1"/>
  <c r="F980" i="1" s="1"/>
  <c r="F981" i="1" s="1"/>
  <c r="F982" i="1" s="1"/>
  <c r="F983" i="1" s="1"/>
  <c r="F984" i="1" s="1"/>
  <c r="F985" i="1" s="1"/>
  <c r="F986" i="1" s="1"/>
  <c r="F987" i="1" s="1"/>
  <c r="F988" i="1" s="1"/>
  <c r="F989" i="1" s="1"/>
  <c r="F990" i="1" s="1"/>
  <c r="F991" i="1" s="1"/>
  <c r="F992" i="1" s="1"/>
  <c r="F993" i="1" s="1"/>
  <c r="F994" i="1" s="1"/>
  <c r="F995" i="1" s="1"/>
  <c r="F996" i="1" s="1"/>
  <c r="F997" i="1" s="1"/>
  <c r="F998" i="1" s="1"/>
  <c r="F999" i="1" s="1"/>
  <c r="F1000" i="1" s="1"/>
  <c r="F1001" i="1" s="1"/>
  <c r="F1002" i="1" s="1"/>
  <c r="F1003" i="1" s="1"/>
  <c r="F1004" i="1" s="1"/>
  <c r="F1005" i="1" s="1"/>
  <c r="F1006" i="1" s="1"/>
  <c r="F1007" i="1" s="1"/>
  <c r="F1008" i="1" s="1"/>
  <c r="F1009" i="1" s="1"/>
  <c r="F1010" i="1" s="1"/>
  <c r="F1011" i="1" s="1"/>
  <c r="F1012" i="1" s="1"/>
  <c r="F1013" i="1" s="1"/>
  <c r="F1014" i="1" s="1"/>
  <c r="F1015" i="1" s="1"/>
  <c r="F1016" i="1" s="1"/>
  <c r="F1017" i="1" s="1"/>
  <c r="F1018" i="1" s="1"/>
  <c r="F1019" i="1" s="1"/>
  <c r="F1020" i="1" s="1"/>
  <c r="F1021" i="1" s="1"/>
  <c r="F1022" i="1" s="1"/>
  <c r="F1023" i="1" s="1"/>
  <c r="F1024" i="1" s="1"/>
  <c r="F1025" i="1" s="1"/>
  <c r="F1026" i="1" s="1"/>
  <c r="F1027" i="1" s="1"/>
  <c r="F1028" i="1" s="1"/>
  <c r="F1029" i="1" s="1"/>
  <c r="F1030" i="1" s="1"/>
  <c r="F1031" i="1" s="1"/>
  <c r="F1032" i="1" s="1"/>
  <c r="F1033" i="1" s="1"/>
  <c r="F1034" i="1" s="1"/>
  <c r="F1035" i="1" s="1"/>
  <c r="F1036" i="1" s="1"/>
  <c r="F1037" i="1" s="1"/>
  <c r="F1038" i="1" s="1"/>
  <c r="F1039" i="1" s="1"/>
  <c r="F1040" i="1" s="1"/>
  <c r="F1041" i="1" s="1"/>
  <c r="F1042" i="1" s="1"/>
  <c r="F1043" i="1" s="1"/>
  <c r="F333" i="1" l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 s="1"/>
  <c r="F391" i="1" s="1"/>
  <c r="F392" i="1" s="1"/>
  <c r="F393" i="1" s="1"/>
  <c r="F394" i="1" s="1"/>
  <c r="F395" i="1" s="1"/>
  <c r="F396" i="1" s="1"/>
  <c r="F397" i="1" s="1"/>
  <c r="F398" i="1" s="1"/>
  <c r="F399" i="1" s="1"/>
  <c r="F400" i="1" s="1"/>
  <c r="F401" i="1" s="1"/>
  <c r="F402" i="1" s="1"/>
  <c r="F403" i="1" s="1"/>
  <c r="F404" i="1" s="1"/>
  <c r="F405" i="1" s="1"/>
  <c r="F406" i="1" s="1"/>
  <c r="F407" i="1" s="1"/>
  <c r="F408" i="1" s="1"/>
  <c r="F409" i="1" s="1"/>
  <c r="F410" i="1" s="1"/>
  <c r="F411" i="1" s="1"/>
  <c r="F412" i="1" s="1"/>
  <c r="F413" i="1" s="1"/>
  <c r="F414" i="1" s="1"/>
  <c r="F415" i="1" s="1"/>
  <c r="F416" i="1" s="1"/>
  <c r="F417" i="1" s="1"/>
  <c r="F418" i="1" s="1"/>
  <c r="F419" i="1" s="1"/>
  <c r="F420" i="1" s="1"/>
  <c r="F421" i="1" s="1"/>
  <c r="F422" i="1" s="1"/>
  <c r="F423" i="1" s="1"/>
  <c r="F424" i="1" s="1"/>
  <c r="F425" i="1" s="1"/>
  <c r="F426" i="1" s="1"/>
  <c r="F427" i="1" s="1"/>
  <c r="F428" i="1" s="1"/>
  <c r="F429" i="1" s="1"/>
  <c r="F430" i="1" s="1"/>
  <c r="F431" i="1" s="1"/>
  <c r="F432" i="1" s="1"/>
  <c r="F433" i="1" s="1"/>
  <c r="F434" i="1" s="1"/>
  <c r="F435" i="1" s="1"/>
  <c r="F436" i="1" s="1"/>
  <c r="F437" i="1" s="1"/>
  <c r="F438" i="1" s="1"/>
  <c r="F439" i="1" s="1"/>
  <c r="F440" i="1" s="1"/>
  <c r="F441" i="1" s="1"/>
  <c r="F442" i="1" s="1"/>
  <c r="F443" i="1" s="1"/>
  <c r="F444" i="1" s="1"/>
  <c r="F445" i="1" s="1"/>
  <c r="F446" i="1" s="1"/>
  <c r="F447" i="1" s="1"/>
  <c r="F448" i="1" s="1"/>
  <c r="F449" i="1" s="1"/>
  <c r="F450" i="1" s="1"/>
  <c r="F451" i="1" s="1"/>
  <c r="F452" i="1" s="1"/>
  <c r="F453" i="1" s="1"/>
  <c r="F454" i="1" s="1"/>
  <c r="F455" i="1" s="1"/>
  <c r="F456" i="1" s="1"/>
  <c r="F457" i="1" s="1"/>
  <c r="F458" i="1" s="1"/>
  <c r="F459" i="1" s="1"/>
  <c r="F460" i="1" s="1"/>
  <c r="F461" i="1" s="1"/>
  <c r="F462" i="1" s="1"/>
  <c r="F463" i="1" s="1"/>
  <c r="F464" i="1" s="1"/>
  <c r="F465" i="1" s="1"/>
  <c r="F466" i="1" s="1"/>
  <c r="F467" i="1" s="1"/>
  <c r="F468" i="1" s="1"/>
  <c r="F469" i="1" s="1"/>
  <c r="F470" i="1" s="1"/>
  <c r="F471" i="1" s="1"/>
  <c r="F472" i="1" s="1"/>
  <c r="F473" i="1" s="1"/>
  <c r="F474" i="1" s="1"/>
  <c r="F475" i="1" s="1"/>
  <c r="F476" i="1" s="1"/>
  <c r="F477" i="1" s="1"/>
  <c r="F478" i="1" s="1"/>
  <c r="F479" i="1" s="1"/>
  <c r="F480" i="1" s="1"/>
  <c r="F481" i="1" s="1"/>
  <c r="F482" i="1" s="1"/>
  <c r="F483" i="1" s="1"/>
  <c r="F484" i="1" s="1"/>
  <c r="F485" i="1" s="1"/>
  <c r="F486" i="1" s="1"/>
  <c r="F487" i="1" s="1"/>
  <c r="F488" i="1" s="1"/>
  <c r="F489" i="1" s="1"/>
  <c r="F490" i="1" s="1"/>
  <c r="F491" i="1" s="1"/>
  <c r="F492" i="1" s="1"/>
  <c r="F493" i="1" s="1"/>
  <c r="F494" i="1" s="1"/>
  <c r="F495" i="1" s="1"/>
  <c r="F496" i="1" s="1"/>
  <c r="F497" i="1" s="1"/>
  <c r="F498" i="1" s="1"/>
  <c r="F499" i="1" s="1"/>
  <c r="F500" i="1" s="1"/>
  <c r="F501" i="1" s="1"/>
  <c r="F502" i="1" s="1"/>
  <c r="F503" i="1" s="1"/>
  <c r="F504" i="1" s="1"/>
  <c r="F505" i="1" s="1"/>
  <c r="F506" i="1" s="1"/>
  <c r="F507" i="1" s="1"/>
  <c r="F508" i="1" s="1"/>
  <c r="F509" i="1" s="1"/>
  <c r="F510" i="1" s="1"/>
  <c r="F511" i="1" s="1"/>
  <c r="F512" i="1" s="1"/>
  <c r="F513" i="1" s="1"/>
  <c r="F514" i="1" s="1"/>
  <c r="F515" i="1" s="1"/>
  <c r="F516" i="1" s="1"/>
  <c r="F517" i="1" s="1"/>
  <c r="F518" i="1" s="1"/>
  <c r="F519" i="1" s="1"/>
  <c r="F520" i="1" s="1"/>
  <c r="F521" i="1" s="1"/>
  <c r="F522" i="1" s="1"/>
  <c r="F523" i="1" s="1"/>
  <c r="F524" i="1" s="1"/>
  <c r="F525" i="1" s="1"/>
  <c r="F526" i="1" s="1"/>
  <c r="F527" i="1" s="1"/>
  <c r="F528" i="1" s="1"/>
  <c r="F529" i="1" s="1"/>
  <c r="F530" i="1" s="1"/>
  <c r="F531" i="1" s="1"/>
  <c r="F532" i="1" s="1"/>
  <c r="F533" i="1" s="1"/>
  <c r="F534" i="1" s="1"/>
  <c r="F535" i="1" s="1"/>
  <c r="F536" i="1" s="1"/>
  <c r="F537" i="1" s="1"/>
  <c r="F538" i="1" s="1"/>
  <c r="F539" i="1" s="1"/>
  <c r="F540" i="1" s="1"/>
  <c r="F541" i="1" s="1"/>
  <c r="F542" i="1" s="1"/>
  <c r="F543" i="1" s="1"/>
  <c r="F544" i="1" s="1"/>
  <c r="F545" i="1" s="1"/>
  <c r="F546" i="1" s="1"/>
  <c r="F547" i="1" s="1"/>
  <c r="F548" i="1" s="1"/>
  <c r="F549" i="1" s="1"/>
  <c r="F550" i="1" s="1"/>
  <c r="F551" i="1" s="1"/>
  <c r="F552" i="1" s="1"/>
  <c r="F553" i="1" s="1"/>
  <c r="F554" i="1" s="1"/>
  <c r="F555" i="1" s="1"/>
  <c r="F556" i="1" s="1"/>
  <c r="F557" i="1" s="1"/>
  <c r="F558" i="1" s="1"/>
  <c r="F559" i="1" s="1"/>
  <c r="F560" i="1" s="1"/>
  <c r="F561" i="1" s="1"/>
  <c r="F562" i="1" s="1"/>
  <c r="F563" i="1" s="1"/>
  <c r="F564" i="1" s="1"/>
  <c r="F565" i="1" s="1"/>
  <c r="F566" i="1" s="1"/>
  <c r="F567" i="1" s="1"/>
  <c r="F568" i="1" s="1"/>
  <c r="F569" i="1" s="1"/>
  <c r="F570" i="1" s="1"/>
  <c r="F571" i="1" s="1"/>
  <c r="F572" i="1" s="1"/>
  <c r="F573" i="1" s="1"/>
  <c r="F574" i="1" s="1"/>
  <c r="F575" i="1" s="1"/>
  <c r="F576" i="1" s="1"/>
  <c r="F577" i="1" s="1"/>
  <c r="F578" i="1" s="1"/>
  <c r="F579" i="1" s="1"/>
  <c r="F580" i="1" s="1"/>
  <c r="F581" i="1" s="1"/>
  <c r="F582" i="1" s="1"/>
  <c r="F583" i="1" s="1"/>
  <c r="F584" i="1" s="1"/>
  <c r="F585" i="1" s="1"/>
  <c r="F586" i="1" s="1"/>
  <c r="F587" i="1" s="1"/>
  <c r="F588" i="1" s="1"/>
  <c r="F589" i="1" s="1"/>
  <c r="F590" i="1" s="1"/>
  <c r="F591" i="1" s="1"/>
  <c r="F592" i="1" s="1"/>
  <c r="F593" i="1" s="1"/>
  <c r="F594" i="1" s="1"/>
  <c r="F595" i="1" s="1"/>
  <c r="F596" i="1" s="1"/>
  <c r="F597" i="1" s="1"/>
  <c r="F598" i="1" s="1"/>
  <c r="F599" i="1" s="1"/>
  <c r="F600" i="1" s="1"/>
  <c r="F601" i="1" s="1"/>
  <c r="F602" i="1" s="1"/>
  <c r="F603" i="1" s="1"/>
  <c r="F604" i="1" s="1"/>
  <c r="F605" i="1" s="1"/>
  <c r="F606" i="1" s="1"/>
  <c r="F607" i="1" s="1"/>
  <c r="F608" i="1" s="1"/>
  <c r="F609" i="1" s="1"/>
  <c r="F610" i="1" s="1"/>
  <c r="F611" i="1" s="1"/>
  <c r="F612" i="1" s="1"/>
  <c r="F613" i="1" s="1"/>
  <c r="F614" i="1" s="1"/>
  <c r="F615" i="1" s="1"/>
  <c r="F616" i="1" s="1"/>
  <c r="F617" i="1" s="1"/>
  <c r="F618" i="1" s="1"/>
  <c r="F619" i="1" s="1"/>
  <c r="F620" i="1" s="1"/>
  <c r="F621" i="1" s="1"/>
  <c r="F622" i="1" s="1"/>
  <c r="F623" i="1" s="1"/>
  <c r="F624" i="1" s="1"/>
  <c r="F625" i="1" s="1"/>
  <c r="F626" i="1" s="1"/>
  <c r="F627" i="1" s="1"/>
  <c r="F628" i="1" s="1"/>
  <c r="F629" i="1" s="1"/>
  <c r="F630" i="1" s="1"/>
  <c r="F631" i="1" s="1"/>
  <c r="F632" i="1" s="1"/>
  <c r="F633" i="1" s="1"/>
  <c r="F634" i="1" s="1"/>
  <c r="F635" i="1" s="1"/>
  <c r="F636" i="1" s="1"/>
  <c r="F637" i="1" s="1"/>
  <c r="F638" i="1" s="1"/>
  <c r="F639" i="1" s="1"/>
  <c r="F640" i="1" s="1"/>
  <c r="F641" i="1" s="1"/>
  <c r="F642" i="1" s="1"/>
  <c r="F643" i="1" s="1"/>
  <c r="F644" i="1" s="1"/>
  <c r="F645" i="1" s="1"/>
  <c r="F646" i="1" s="1"/>
  <c r="F647" i="1" s="1"/>
  <c r="F648" i="1" s="1"/>
  <c r="F649" i="1" s="1"/>
  <c r="F650" i="1" s="1"/>
  <c r="F651" i="1" s="1"/>
  <c r="F652" i="1" s="1"/>
  <c r="F653" i="1" s="1"/>
  <c r="F654" i="1" s="1"/>
  <c r="F655" i="1" s="1"/>
  <c r="F656" i="1" s="1"/>
  <c r="F657" i="1" s="1"/>
  <c r="F658" i="1" s="1"/>
  <c r="F659" i="1" s="1"/>
  <c r="F660" i="1" s="1"/>
  <c r="F661" i="1" s="1"/>
  <c r="F662" i="1" s="1"/>
  <c r="F663" i="1" s="1"/>
  <c r="F664" i="1" s="1"/>
  <c r="F665" i="1" s="1"/>
  <c r="F666" i="1" s="1"/>
  <c r="F667" i="1" s="1"/>
  <c r="F668" i="1" s="1"/>
  <c r="F669" i="1" s="1"/>
  <c r="F670" i="1" s="1"/>
  <c r="F671" i="1" s="1"/>
  <c r="F672" i="1" s="1"/>
  <c r="F673" i="1" s="1"/>
  <c r="F674" i="1" s="1"/>
  <c r="F675" i="1" s="1"/>
  <c r="F676" i="1" s="1"/>
  <c r="F677" i="1" s="1"/>
  <c r="F678" i="1" s="1"/>
  <c r="F679" i="1" s="1"/>
  <c r="F680" i="1" s="1"/>
  <c r="F681" i="1" s="1"/>
  <c r="F682" i="1" s="1"/>
  <c r="F683" i="1" s="1"/>
  <c r="F684" i="1" s="1"/>
  <c r="F685" i="1" s="1"/>
  <c r="F686" i="1" s="1"/>
  <c r="F687" i="1" s="1"/>
  <c r="F688" i="1" s="1"/>
  <c r="F689" i="1" s="1"/>
  <c r="F690" i="1" s="1"/>
  <c r="F3" i="1" l="1"/>
  <c r="F4" i="1" s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</calcChain>
</file>

<file path=xl/sharedStrings.xml><?xml version="1.0" encoding="utf-8"?>
<sst xmlns="http://schemas.openxmlformats.org/spreadsheetml/2006/main" count="9919" uniqueCount="834">
  <si>
    <t>Fecha</t>
  </si>
  <si>
    <t>Comprobante</t>
  </si>
  <si>
    <t>Movimiento</t>
  </si>
  <si>
    <t>Débito</t>
  </si>
  <si>
    <t>Crédito</t>
  </si>
  <si>
    <t>Saldo en cuenta</t>
  </si>
  <si>
    <t>Saldo Inicial</t>
  </si>
  <si>
    <t>Com transf a otros bancos canales
Comision transferencias</t>
  </si>
  <si>
    <t>Iva 21%</t>
  </si>
  <si>
    <t>Cheque debitado</t>
  </si>
  <si>
    <t>Transferencia recibida
De st.md.adrogue s.a. / - var / 30679889458</t>
  </si>
  <si>
    <t>Pago de haberes por cci
&amp;&amp;0</t>
  </si>
  <si>
    <t>Canje interno recibido 24 hs</t>
  </si>
  <si>
    <t>Pago haberes</t>
  </si>
  <si>
    <t>Comision servicio pago haberes</t>
  </si>
  <si>
    <t>Iva</t>
  </si>
  <si>
    <t>Impuesto ley 25.413 debito 0,6%</t>
  </si>
  <si>
    <t>Pago comercios prisma visa nro.liq. 01966882/0041354424</t>
  </si>
  <si>
    <t>Pago a proveedores recibido
O s personal o t serv sanitar 30682642552 03 7294909</t>
  </si>
  <si>
    <t>Transferencia realizada
A ministerio de seguridad / honorarios - hon / 30648839088</t>
  </si>
  <si>
    <t>Transferencia realizada
A franchignoni roberto an / varios - var / 20081083976</t>
  </si>
  <si>
    <t>Pago a proveedores recibido
Visitar s.r.l 33657129629 pag o a proveed</t>
  </si>
  <si>
    <t>Impuesto ley 25.413 credito 0,6%</t>
  </si>
  <si>
    <t>Regimen de recaudacion sircreb l
Responsable:30679889458 / 1,00% sobre $108.503,53</t>
  </si>
  <si>
    <t>Depositos cheques 48 hs</t>
  </si>
  <si>
    <t>Regimen de recaudacion sircreb l
Responsable:30679889458 / 1,00% sobre $159.701,06</t>
  </si>
  <si>
    <t>Debito transferencia por internet
A sanatorio modelo burzac / - var / 30676159483</t>
  </si>
  <si>
    <t>Cheque pagador por caja
Belis sofia</t>
  </si>
  <si>
    <t>Cheque pagador por caja
Ortiz matias fabian</t>
  </si>
  <si>
    <t>Cheque pagador por caja
Athue maria de los angeles</t>
  </si>
  <si>
    <t>Cheque pagador por caja
Abuzzi alejandrabeatriz</t>
  </si>
  <si>
    <t>Transferencia realizada
A nestor alfredo,almada / - var / 20133365487</t>
  </si>
  <si>
    <t>Debito transf. online banking emp
00720502007000020620ars</t>
  </si>
  <si>
    <t>Transferencia realizada
A leandro alan,busacca / alquileres - alq / 20263592353</t>
  </si>
  <si>
    <t>Imp al debito extr efvo 1,2%</t>
  </si>
  <si>
    <t>Comision pago ch y/o retiro efecti
Total extracciones del dia $ 200000,00</t>
  </si>
  <si>
    <t>Iibb percepcion pcia buenos aires</t>
  </si>
  <si>
    <t>Iva percepcion rg 2408</t>
  </si>
  <si>
    <t>Transferencia recibida
De o s pers admi y tec / facturas - fac / 30530955253</t>
  </si>
  <si>
    <t>Regimen de recaudacion sircreb l
Responsable:30679889458 / 1,00% sobre $30.591,00</t>
  </si>
  <si>
    <t>Pago a proveedores recibido
Obra social ferroviaria 30546706970 03 8952487</t>
  </si>
  <si>
    <t>Suscripcion fondos comunes invers</t>
  </si>
  <si>
    <t>Regimen de recaudacion sircreb l
Responsable:30679889458 / 1,00% sobre $75.752,70</t>
  </si>
  <si>
    <t>Pago a proveedores recibido
Riomedica s.a. 30709391433 03 3718818</t>
  </si>
  <si>
    <t>Debito transferencia por internet
A franchignoni roberto / - var / 20081083976</t>
  </si>
  <si>
    <t>Regimen de recaudacion sircreb l
Responsable:30679889458 / 1,00% sobre $7.500,00</t>
  </si>
  <si>
    <t>Debito automatico
Afip -30679889458</t>
  </si>
  <si>
    <t>Regimen de recaudacion sircreb l
Responsable:30679889458 / 1,00% sobre $79.966,40</t>
  </si>
  <si>
    <t>Transferencia inmediata
A alberto sergio bono / varios - var / 20147946784</t>
  </si>
  <si>
    <t>Transferencia realizada
A citomlab srl / honorarios - hon / 30707914064</t>
  </si>
  <si>
    <t>Transferencia realizada
A malpica cervantes, fern / honorarios - hon / 20188290745</t>
  </si>
  <si>
    <t>Transferencia realizada
A asociacion camara / honorarios - hon / 33717417149</t>
  </si>
  <si>
    <t>Transferencia recibida
De o.s.r.j.a. / 08 - fac / 30691011395</t>
  </si>
  <si>
    <t>Pago de servicios
Movistarhogar: 0530532234615</t>
  </si>
  <si>
    <t>Pago de servicios
Mun a brown: 2000138608</t>
  </si>
  <si>
    <t>Pago de servicios
Mun a brown: 2000142098</t>
  </si>
  <si>
    <t>Pago de servicios
Mun a brown: 2000018500</t>
  </si>
  <si>
    <t>Pago de servicios
Mun a brown: 2000005136</t>
  </si>
  <si>
    <t>Regimen de recaudacion sircreb l
Responsable:30679889458 / 1,00% sobre $11.660,00</t>
  </si>
  <si>
    <t>Transferencia realizada
A empresa distribuidora s / varios - var / 30655116512</t>
  </si>
  <si>
    <t>Transferencia realizada
A ar-rob sa / varios - var / 30663402052</t>
  </si>
  <si>
    <t>Pago de servicios
Telecentro: 34534501</t>
  </si>
  <si>
    <t>Pago de servicios
Edesur: 0001428237</t>
  </si>
  <si>
    <t>Pago de servicios
Edesur: 0001532743</t>
  </si>
  <si>
    <t>Pago de servicios
Metrogas: 020329363100</t>
  </si>
  <si>
    <t>Pago de servicios
Movistarhogar: 0530538774529</t>
  </si>
  <si>
    <t>Pago de servicios
Movistarhogar: 0530539478279</t>
  </si>
  <si>
    <t>Pago de servicios
Metrogas: 030002667564</t>
  </si>
  <si>
    <t>Pago de servicios
Aysa: 0001105390</t>
  </si>
  <si>
    <t>Pago de servicios
Aysa: 0000808132</t>
  </si>
  <si>
    <t>Pago de servicios
Aysa: 0001429451</t>
  </si>
  <si>
    <t>Pago de servicios
Aysa: 0000778132</t>
  </si>
  <si>
    <t>Transferencia recibida
De osfatun / osfatun - fac / 30683336765</t>
  </si>
  <si>
    <t>Regimen de recaudacion sircreb l
Responsable:30679889458 / 1,00% sobre $118.373,70</t>
  </si>
  <si>
    <t>Transferencia recibida
De o.s.d.guinch.y m.g.m / op 63857 - fac / 30602701847</t>
  </si>
  <si>
    <t>Regimen de recaudacion sircreb l
Responsable:30679889458 / 1,00% sobre $19.540,22</t>
  </si>
  <si>
    <t>Snp debito directo
Smg-ciadeseggros-01903100</t>
  </si>
  <si>
    <t>Transferencia realizada
A gargiulo matias damian / - var / 23300465099</t>
  </si>
  <si>
    <t>Transferencia realizada
A daniel,fernandez,boldri / - var / 20173400285</t>
  </si>
  <si>
    <t>Transferencia realizada
A almada nestor alfredo / varios - var / 20133365487</t>
  </si>
  <si>
    <t>Debito transf. online banking emp
A ricardo alejandro fonse / proveedor - pro / 20339132721</t>
  </si>
  <si>
    <t>Pago a proveedores recibido
Medicina prepaga hominis s.a. 30658035033 03 5470664</t>
  </si>
  <si>
    <t>Pago a proveedores recibido
Obra social trabajadores past 30679065382 03 5553997</t>
  </si>
  <si>
    <t>Regimen de recaudacion sircreb l
Responsable:30679889458 / 1,00% sobre $136.296,68</t>
  </si>
  <si>
    <t>Pago a proveedores por cci
&amp;&amp;0</t>
  </si>
  <si>
    <t>Transferencia realizada
A eduardo j b ducker y lu / honorarios - hon / 30604091574</t>
  </si>
  <si>
    <t>Transferencia realizada
A m. de trabajadores resi / honorarios - hon / 30717161528</t>
  </si>
  <si>
    <t>Transferencia inmediata
A xavier alejandro velasq / honorarios - hon / 27962103338</t>
  </si>
  <si>
    <t>Pago de honorarios</t>
  </si>
  <si>
    <t>Credito transferencia por internet
De ctro de esp en an bi / - hon / 30515713995</t>
  </si>
  <si>
    <t>Credito transferencia por internet
De sanatorio modelo bur / - var / 30676159483</t>
  </si>
  <si>
    <t>Regimen de recaudacion sircreb l
Responsable:30679889458 / 1,00% sobre $17.348.990,78</t>
  </si>
  <si>
    <t>Comision por servicio de cuenta</t>
  </si>
  <si>
    <t>Comision movs mensuales clearing</t>
  </si>
  <si>
    <t>Credito transferencia por internet
De femeca / - fac / 30529118194</t>
  </si>
  <si>
    <t>Comisiones pago voluntario</t>
  </si>
  <si>
    <t>Regimen de recaudacion sircreb l
Responsable:30679889458 / 1,00% sobre $473.318,46</t>
  </si>
  <si>
    <t>Cheque pagador por caja
Acevedo cintia noelia</t>
  </si>
  <si>
    <t>Cheque imputado
Pago de servicios publicos e impuestos</t>
  </si>
  <si>
    <t>Transferencia realizada
A ministerio de salud pci / honorarios - hon / 30626983398</t>
  </si>
  <si>
    <t>Pago de servicios
Edesur: 0001532748</t>
  </si>
  <si>
    <t>Pago de servicios
Aysa: 0001429412</t>
  </si>
  <si>
    <t>Transferencia realizada
A gayoso hector angel / varios - var / 20253374013</t>
  </si>
  <si>
    <t>Comision pago ch y/o retiro efecti
Total extracciones del dia $ 100000,00</t>
  </si>
  <si>
    <t>Regimen de recaudacion sircreb d
Responsable:30679889458 / 0,20% sobre $108.877,40</t>
  </si>
  <si>
    <t>Pago a proveedores recibido
Ob.soc.p pers.de obras y serv 30682642552 03 7567764</t>
  </si>
  <si>
    <t>Rescate fondos comunes inversion</t>
  </si>
  <si>
    <t>Regimen de recaudacion sircreb d
Responsable:30679889458 / 0,20% sobre $72.022,16</t>
  </si>
  <si>
    <t>Pago comercios prisma visa nro.liq. 01989125/0041354424</t>
  </si>
  <si>
    <t>Pago a proveedores recibido
Obra social ferroviaria 30546706970 03 7817774</t>
  </si>
  <si>
    <t>Regimen de recaudacion sircreb d
Responsable:30679889458 / 0,20% sobre $17.565,00</t>
  </si>
  <si>
    <t>Transferencia ctas mobile banking
De anibal ramon aguirre b / varios - var / 20930883000</t>
  </si>
  <si>
    <t>Regimen de recaudacion sircreb d
Responsable:30679889458 / 0,20% sobre $13.700,00</t>
  </si>
  <si>
    <t>Comision gestion cobertura de ch.</t>
  </si>
  <si>
    <t>Regimen de recaudacion sircreb d
Responsable:30679889458 / 0,20% sobre $69.804,90</t>
  </si>
  <si>
    <t>Transferencia realizada
A caja prev y seguro medi / varios - var / 30542265317</t>
  </si>
  <si>
    <t>Transferencia realizada
A alvarez turczyn walte / honorarios - hon / 20228852393</t>
  </si>
  <si>
    <t>Pago de servicios
Movistarhogar: 0530538771875</t>
  </si>
  <si>
    <t>Pago a proveedores recibido
O social de emp port pe y me 30586661716 03 9026910</t>
  </si>
  <si>
    <t>Pago a proveedores recibido
Apres sa 30560243002 03 3233092</t>
  </si>
  <si>
    <t>Transferencia recibida
De osvara / varios - var / 30659541269</t>
  </si>
  <si>
    <t>Regimen de recaudacion sircreb d
Responsable:30679889458 / 0,20% sobre $2.006.100,52</t>
  </si>
  <si>
    <t>Transferencia realizada
A roberto luis,castro / - var / 20132160938</t>
  </si>
  <si>
    <t>Transferencia realizada
A itsos srl / - var / 30711994064</t>
  </si>
  <si>
    <t>Debito transf. online banking emp
00720533005000000741ars</t>
  </si>
  <si>
    <t>Transferencia realizada
A eduardo j b ducker y lu / varios - var / 30604091574</t>
  </si>
  <si>
    <t>Transf minorista recibida snp
Ob soc del pers 30711703949 fac</t>
  </si>
  <si>
    <t>Regimen de recaudacion sircreb d
Responsable:30679889458 / 0,20% sobre $40.272,90</t>
  </si>
  <si>
    <t>Pago a proveedores recibido
C p n sociedad anonima 30707816836 03 0216415</t>
  </si>
  <si>
    <t>Pago a proveedores recibido
Obra social trabajadores past 30679065382 03 5064069</t>
  </si>
  <si>
    <t>Pago a proveedores recibido
Obra social trabajadores past 30679065382 03 5064225</t>
  </si>
  <si>
    <t>Pago a proveedores recibido
Programas medicos consultoria 30630563050 03 3147303</t>
  </si>
  <si>
    <t>Regimen de recaudacion sircreb d
Responsable:30679889458 / 0,20% sobre $245.545,00</t>
  </si>
  <si>
    <t>Transferencia realizada
A edgardo marcelo,menchi / - var / 20232976862</t>
  </si>
  <si>
    <t>Transferencia realizada
A asociacion camara / - var / 33717417149</t>
  </si>
  <si>
    <t>Credito transf online banking emp
De privamed sa / factura - fac / 30707573690</t>
  </si>
  <si>
    <t>Regimen de recaudacion sircreb d
Responsable:30679889458 / 0,20% sobre $20.041,20</t>
  </si>
  <si>
    <t>Credito transf online banking emp
De activa salud srl / varios - var / 30708429518</t>
  </si>
  <si>
    <t>Transferencia recibida
De adrian alejandro leiva / - var / 20282664020</t>
  </si>
  <si>
    <t>Transferencia realizada
A municipalidad de almira / varios - var / 33999001489</t>
  </si>
  <si>
    <t>Regimen de recaudacion sircreb d
Responsable:30679889458 / 0,20% sobre $3.432.284,99</t>
  </si>
  <si>
    <t>Retencion por orden judicial
Exp55250 juz tribunal de trabajo</t>
  </si>
  <si>
    <t>Regimen de recaudacion sircreb d
Responsable:30679889458 / 0,20% sobre $272.464,07</t>
  </si>
  <si>
    <t>Com tarj adicional debito/deposito</t>
  </si>
  <si>
    <t>Pago comercios prisma visa nro.liq. 01995279/0041354424</t>
  </si>
  <si>
    <t>Transferencia recibida
De barrios, daniel angel / - var / 20222042403</t>
  </si>
  <si>
    <t>Transferencia realizada
A ministerio de seguridad / varios - var / 30648839088</t>
  </si>
  <si>
    <t>Transferencia realizada
A galarza fuentes eliodor / honorarios - hon / 20954071848</t>
  </si>
  <si>
    <t>Transferencia recibida
De brisa mailen ruiz acun / - var / 27465577571</t>
  </si>
  <si>
    <t>Pago a proveedores recibido
O s personal o y serv sanitar 30682642552 03 7072260</t>
  </si>
  <si>
    <t>Deposito ch canje interno 24 hs</t>
  </si>
  <si>
    <t>Intereses por descubierto excedido
Del 01/10/24 al 31/10/24</t>
  </si>
  <si>
    <t>Iva - reducido 10,5%</t>
  </si>
  <si>
    <t>Iva percep rg 2408 alic reducida</t>
  </si>
  <si>
    <t>Impuesto de sellos</t>
  </si>
  <si>
    <t>Rechazo ch fall tec no libr cj int
No corresp.2da.presentacion</t>
  </si>
  <si>
    <t>Anul imp ley 25.413 debito 0,6%</t>
  </si>
  <si>
    <t>Pago a proveedores recibido
Obra social pers.ind.lechera 30584194789 03 8174024</t>
  </si>
  <si>
    <t>Pago a proveedores recibido
Obra social pers.ind.lechera 30584194789 03 8174529</t>
  </si>
  <si>
    <t>Pago a proveedores recibido
Obra social ferroviaria 30546706970 03 8248418</t>
  </si>
  <si>
    <t>Transferencia realizada
A ghisoli viviana mari / - var / 27236149027</t>
  </si>
  <si>
    <t>Transferencia recibida
De o.social del pers.de l / ospecesa - fac / 30662172991</t>
  </si>
  <si>
    <t>Transferencia realizada
A leandro alan,busacca / varios - var / 20263592353</t>
  </si>
  <si>
    <t>Transferencia realizada
A asociacion camara / varios - var / 33717417149</t>
  </si>
  <si>
    <t>Transferencia realizada
A alvarez turczyn walte / varios - var / 20228852393</t>
  </si>
  <si>
    <t>Pago de servicios
Arba inmob.: 33400030185005</t>
  </si>
  <si>
    <t>Pago de servicios
Arba inmob.: 33400030051360</t>
  </si>
  <si>
    <t>Pago de servicios
Arba imp in c: 7513066340205208900</t>
  </si>
  <si>
    <t>Pago de servicios
Arba inmob.: 33400031386080</t>
  </si>
  <si>
    <t>Pago de servicios
Arba inmob.: 33400031420989</t>
  </si>
  <si>
    <t>Pago de servicios
Arba inmob.: 33400030091400</t>
  </si>
  <si>
    <t>Pago de servicios
Arba inmob.: 33400030031393</t>
  </si>
  <si>
    <t>Comision pago ch y/o retiro efecti
Total extracciones del dia $ 150000,00</t>
  </si>
  <si>
    <t>Transferencia realizada
A 000000000 / - fac / 30503772260</t>
  </si>
  <si>
    <t>Transferencia realizada
A daniel,fernandez,boldri / - fac / 20173400285</t>
  </si>
  <si>
    <t>Transferencia realizada
A 000000000 / - fac / 20179179750</t>
  </si>
  <si>
    <t>Transferencia realizada
A 000000000 / - fac / 20204704806</t>
  </si>
  <si>
    <t>Pago de servicios
C medicos ol: 0000000000000027815</t>
  </si>
  <si>
    <t>Transferencia realizada
A magliani irma laura / - var / 23254194654</t>
  </si>
  <si>
    <t>Pago a proveedores recibido
Apres sa 30560243002 03 3006570</t>
  </si>
  <si>
    <t>Pago a proveedores recibido
Programas medicos consultoria 30630563050 03 3026331</t>
  </si>
  <si>
    <t>Transferencia recibida
De o.s.r.j.a. / 26 27 - fac / 30691011395</t>
  </si>
  <si>
    <t>Pago a proveedores recibido
Doctis sa 30715052241 03 3120694</t>
  </si>
  <si>
    <t>Transferencia recibida
De sanatorio modelo adrog / - var / 30679889458</t>
  </si>
  <si>
    <t>Transferencia inmediata
A magliani irma laura / - var / 23254194654</t>
  </si>
  <si>
    <t>Transferencia inmediata
A nestor alfredo almad / - var / 20133365487</t>
  </si>
  <si>
    <t>Transferencia inmediata
A julio celestino dort / - var / 20209737990</t>
  </si>
  <si>
    <t>Transferencia inmediata
A rx asesores s r l / - var / 30619278743</t>
  </si>
  <si>
    <t>Transferencia inmediata
A itsos srl / - var / 30711994064</t>
  </si>
  <si>
    <t>Cheque pagador por caja
Irrasava karina veronica</t>
  </si>
  <si>
    <t>Transferencia realizada
A m de trabajadores re / - hon / 30717161528</t>
  </si>
  <si>
    <t>Transferencia realizada
A eduardo j b ducker y / - var / 30604091574</t>
  </si>
  <si>
    <t>Debito transferencia por internet
A asem martin omar / - hon / 20330194511</t>
  </si>
  <si>
    <t>Anul pago a proveedores por cci
A cbu 25900844200708510301322020171375720</t>
  </si>
  <si>
    <t>Pago a proveedores recibido
Programas medicos consultoria 30630563050 03 3444778</t>
  </si>
  <si>
    <t>Comision pago ch y/o retiro efecti
Total extracciones del dia $ 250000,00</t>
  </si>
  <si>
    <t>Transferencia inmediata
A pablo leonel samaha / - fac / 20280679403</t>
  </si>
  <si>
    <t>Transferencia inmediata
A walter ruben alvarez / - var / 20228852393</t>
  </si>
  <si>
    <t>Transferencia inmediata
A pascual marcelo raul / - var / 20171375720</t>
  </si>
  <si>
    <t>Iva 21% reg de transfisc ley27744</t>
  </si>
  <si>
    <t>Pago comercios prisma visa nro.liq. 02018087/0041354424</t>
  </si>
  <si>
    <t>Transferencia recibida
De enrique raul flores / - var / 20322261897</t>
  </si>
  <si>
    <t>Iva - reg de transp fisc ley27744</t>
  </si>
  <si>
    <t>Transferencia recibida
De adriana salome ramirez / - var / 27300861437</t>
  </si>
  <si>
    <t>Pago a proveedores recibido
O s personal o t serv sanitar 30682642552 03 6365593</t>
  </si>
  <si>
    <t>Transferencia realizada
A ar-rob sa / alquileres - alq / 30663402052</t>
  </si>
  <si>
    <t>Transferencia realizada
A fandino, martin alberto / honorarios - hon / 20231262912</t>
  </si>
  <si>
    <t>Comision pago ch y/o retiro efecti
Total extracciones del dia $ 50000,00</t>
  </si>
  <si>
    <t>Pago a proveedores recibido
Obra social trabajadores past 30679065382 03 7246893</t>
  </si>
  <si>
    <t>Pago a proveedores recibido
Ob.soc.p pers.de obras y serv 30682642552 03 7546314</t>
  </si>
  <si>
    <t>Transferencia realizada
A ruiz diaz raul martin / - var / 20248532735</t>
  </si>
  <si>
    <t>Transferencia realizada
A rodolico hernan andre / varios - var / 23255689509</t>
  </si>
  <si>
    <t>Debito transf. online banking emp
A johana karina torres / haberes - hab / 27349670297</t>
  </si>
  <si>
    <t>Pago a proveedores recibido
Obra social pers.ind.lechera 30584194789 03 8040743</t>
  </si>
  <si>
    <t>Pago a proveedores recibido
Obra social ferroviaria 30546706970 03 8286745</t>
  </si>
  <si>
    <t>Transferencia recibida
De o.social del pers.de l / op32074 - fac / 30662172991</t>
  </si>
  <si>
    <t>Transferencia recibida
De ob.soc.del pers.de la / adrogue - fac / 30711703949</t>
  </si>
  <si>
    <t>Transferencia recibida
De sanatorio modelo adrog / varios - var / 30679889458</t>
  </si>
  <si>
    <t>Transferencia realizada
A tausem / - var / 30604533380</t>
  </si>
  <si>
    <t>Transferencia realizada
A nestor alfredo,almada / varios - var / 20133365487</t>
  </si>
  <si>
    <t>Transferencia realizada
A kilservi srl / - var / 30717869520</t>
  </si>
  <si>
    <t>Transferencia recibida
De elba julia benitez / - var / 27404797668</t>
  </si>
  <si>
    <t>Pago de servicios
Edesur: 0003392030</t>
  </si>
  <si>
    <t>Pago a proveedores recibido
Programas medicos consultoria 30630563050 03 3165283</t>
  </si>
  <si>
    <t>Pago a proveedores recibido
C p n sociedad anonima 30707816836 03 0306222</t>
  </si>
  <si>
    <t>Transferencia realizada
A maldonado rodolfo he / - var / 20129883880</t>
  </si>
  <si>
    <t>Transferencia inmediata
A franchignoni roberto / - var / 20081083976</t>
  </si>
  <si>
    <t>Iva 21% reg de transfisc ley27743</t>
  </si>
  <si>
    <t>Transferencia realizada
A franchignoni roberto an / haberes - hab / 20081083976</t>
  </si>
  <si>
    <t>Transferencia recibida
De o.s.r.j.a. / - var / 30691011395</t>
  </si>
  <si>
    <t>Transferencia realizada
A rx asesores s r l / - var / 30619278743</t>
  </si>
  <si>
    <t>Debito transf. online banking emp
A grupos integrados sa / proveedor - pro / 30710373414</t>
  </si>
  <si>
    <t>Iva - reg de transp fisc ley27743</t>
  </si>
  <si>
    <t>Regimen de recaudacion sircreb c
Responsable:30679889458 / 0,10% sobre $86.166,52</t>
  </si>
  <si>
    <t>Transferencia recibida
De sanatorio modelo burza / varios - var / 30676159483</t>
  </si>
  <si>
    <t>Debito transf. online banking emp
A roberto alejandro franc / varios - var / 20299471609</t>
  </si>
  <si>
    <t>Debito transf. online banking emp
A maria emilia franchigno / varios - var / 27290442228</t>
  </si>
  <si>
    <t>Regimen de recaudacion sircreb c
Responsable:30679889458 / 0,10% sobre $10.000.000,00</t>
  </si>
  <si>
    <t>Pago comercios prisma visa nro.liq. 02018945/0041354424</t>
  </si>
  <si>
    <t>Regimen de recaudacion sircreb c
Responsable:30679889458 / 0,10% sobre $233.965,83</t>
  </si>
  <si>
    <t>Transferencia recibida
De emilce veronica riquel / - var / 27237874752</t>
  </si>
  <si>
    <t>Regimen de recaudacion sircreb c
Responsable:30679889458 / 0,10% sobre $17.000,00</t>
  </si>
  <si>
    <t>Transferencia realizada
A rx asesores srl / - var / 30619278743</t>
  </si>
  <si>
    <t>Debito transf. online banking emp
A herresur de guglielmino / proveedor - pro / 30708704012</t>
  </si>
  <si>
    <t>Transferencia recibida
De o s pers admi y tecnic / 00313728 - fac / 30530955253</t>
  </si>
  <si>
    <t>Pago a proveedores recibido
Obra social trabajadores past 30679065382 03 7705933</t>
  </si>
  <si>
    <t>Regimen de recaudacion sircreb c
Responsable:30679889458 / 0,10% sobre $318.307,69</t>
  </si>
  <si>
    <t>Comision pago ch y/o retiro efecti
Total extracciones del dia $ 42000,00</t>
  </si>
  <si>
    <t>Transferencia recibida
De o.s.vendedores ambulan / vs - var / 30659541269</t>
  </si>
  <si>
    <t>Transferencia recibida
De o.s.je.r.a. / op146885 - fac / 30696351771</t>
  </si>
  <si>
    <t>Transferencia recibida
De lucas agustin alanes / - var / 20425634128</t>
  </si>
  <si>
    <t>Regimen de recaudacion sircreb c
Responsable:30679889458 / 0,10% sobre $54.479,50</t>
  </si>
  <si>
    <t>Transferencia realizada
A pascual marcelo raul / honorarios - hon / 20171375720</t>
  </si>
  <si>
    <t>Pago a proveedores recibido
O social de emp port pe y me 30586661716 03 8028969</t>
  </si>
  <si>
    <t>Pago a proveedores recibido
Programas medicos consultoria 30630563050 03 3161578</t>
  </si>
  <si>
    <t>Regimen de recaudacion sircreb c
Responsable:30679889458 / 0,10% sobre $280.605,85</t>
  </si>
  <si>
    <t>Pago a proveedores recibido
Obra social ferroviaria 30546706970 03 8228100</t>
  </si>
  <si>
    <t>Regimen de recaudacion sircreb c
Responsable:30679889458 / 0,10% sobre $60.012,00</t>
  </si>
  <si>
    <t>Transferencia recibida
De valdez, azucena noemi / y - var / 27160490875</t>
  </si>
  <si>
    <t>Transferencia realizada
A iluz s.a. / - var / 30688499840</t>
  </si>
  <si>
    <t>Transferencia realizada
A e h weber sa / - var / 30708447281</t>
  </si>
  <si>
    <t>Pago de servicios
Mun a brown: 2000003139</t>
  </si>
  <si>
    <t>Pago de servicios
Mun a brown: 2000009140</t>
  </si>
  <si>
    <t>Pago de servicios
Mun a brown: 2000006700</t>
  </si>
  <si>
    <t>Pago a proveedores recibido
Apres sa 30560243002 03 3323928</t>
  </si>
  <si>
    <t>Regimen de recaudacion sircreb c
Responsable:30679889458 / 0,10% sobre $27.500,00</t>
  </si>
  <si>
    <t>Debito transf. online banking emp
A liz maricel cordoba / haberes - hab / 27272393910</t>
  </si>
  <si>
    <t>Transferencia recibida
De o.social del pers.de l / op32337 - fac / 30662172991</t>
  </si>
  <si>
    <t>Regimen de recaudacion sircreb c
Responsable:30679889458 / 0,10% sobre $293.535,30</t>
  </si>
  <si>
    <t>Pago a proveedores
250123507scis sa cuit 30708428082</t>
  </si>
  <si>
    <t>Transferencia recibida
De cocchis/luca / cocchis vale - hon / 20190463002</t>
  </si>
  <si>
    <t>Regimen de recaudacion sircreb c
Responsable:30679889458 / 0,10% sobre $35.050,00</t>
  </si>
  <si>
    <t>Transferencia realizada
A m de trabajadores re / - var / 30717161528</t>
  </si>
  <si>
    <t>Debito transf. online banking emp
00720032005000063609ars</t>
  </si>
  <si>
    <t>Debito transf. online banking emp
00720502007003588929ars</t>
  </si>
  <si>
    <t>Pago a proveedores recibido
C p n sociedad anonima 30707816836 03 0225401</t>
  </si>
  <si>
    <t>Transferencia ctas mobile banking
De florencia daiana tarpi / varios - var / 27393497578</t>
  </si>
  <si>
    <t>Regimen de recaudacion sircreb c
Responsable:30679889458 / 0,10% sobre $30.444,00</t>
  </si>
  <si>
    <t>Pago a proveedores recibido
O social de emp port pe y me 30586661716 03 9399254</t>
  </si>
  <si>
    <t>Regimen de recaudacion sircreb c
Responsable:30679889458 / 0,10% sobre $482.890,17</t>
  </si>
  <si>
    <t>Transferencia realizada
A quinterno sebastian / honorarios - hon / 20237919263</t>
  </si>
  <si>
    <t>Transferencia realizada
A encode sa / honorarios - hon / 30711103534</t>
  </si>
  <si>
    <t>Regimen de recaudacion sircreb c
Responsable:30679889458 / 0,10% sobre $3.614.397,18</t>
  </si>
  <si>
    <t>Pago a proveedores recibido
O s personal o y serv sanitar 30682642552 03 5169797</t>
  </si>
  <si>
    <t>Regimen de recaudacion sircreb c
Responsable:30679889458 / 0,10% sobre $10.023.570,00</t>
  </si>
  <si>
    <t>Transferencia recibida
De leticia veronica gonza / - var / 24351219366</t>
  </si>
  <si>
    <t>Pago comercios prisma visa nro.liq. 02021194/0041354424</t>
  </si>
  <si>
    <t>Transferencia realizada
A franchignoni roberto an / - hab / 20081083976</t>
  </si>
  <si>
    <t>Pago a proveedores recibido
Obra social trabajadores past 30679065382 03 5450770</t>
  </si>
  <si>
    <t>Transferencia realizada
A cerrajeria progreso / - var / 23300465099</t>
  </si>
  <si>
    <t>Transferencia realizada
A pintureria dea color / - var / 33712301649</t>
  </si>
  <si>
    <t>Regimen de recaudacion sircreb c
Responsable:30679889458 / 0,10% sobre $151.574.519,61</t>
  </si>
  <si>
    <t>Regimen de recaudacion sircreb c
Responsable:30679889458 / 0,10% sobre $1.390.280,00</t>
  </si>
  <si>
    <t>Transferencia realizada
A rent imagen s.a. / - var / 30711197865</t>
  </si>
  <si>
    <t>Transferencia recibida
De gonzalez evelin tamara / - var / 23389509094</t>
  </si>
  <si>
    <t>Debito transf. online banking emp
00720784007003519062ars</t>
  </si>
  <si>
    <t>Regimen de recaudacion sircreb c
Responsable:30679889458 / 0,10% sobre $27.000,00</t>
  </si>
  <si>
    <t>Transferencia realizada
A ministerio de seguridad / - hon / 30648839088</t>
  </si>
  <si>
    <t>Cheque pagador por caja
Humeres elizabethdaiana sus</t>
  </si>
  <si>
    <t>Pago a proveedores recibido
O social de emp port pe y me 30586661716 03 6854071</t>
  </si>
  <si>
    <t>Regimen de recaudacion sircreb c
Responsable:30679889458 / 0,10% sobre $232.421,01</t>
  </si>
  <si>
    <t>Transferencia recibida
De juan/ignacio diaz / - var / 20425441397</t>
  </si>
  <si>
    <t>Transferencia recibida
De o s pers admi y tecnic / 00315335 - fac / 30530955253</t>
  </si>
  <si>
    <t>Pago a proveedores recibido
Programas medicos consultoria 30630563050 03 3499874</t>
  </si>
  <si>
    <t>Regimen de recaudacion sircreb c
Responsable:30679889458 / 0,10% sobre $84.531,38</t>
  </si>
  <si>
    <t>Debito transf. online banking emp
A roberto alejandro franc / - var / 20299471609</t>
  </si>
  <si>
    <t>Transferencia realizada
A salinas patricia elizab / varios - var / 27272718704</t>
  </si>
  <si>
    <t>Regimen de recaudacion sircreb c
Responsable:30679889458 / 0,10% sobre $51.920,90</t>
  </si>
  <si>
    <t>Transferencia recibida
De o.social del pers.de l / op32422 - fac / 30662172991</t>
  </si>
  <si>
    <t>Transferencia realizada
A rosales walter juan / varios - var / 20283786480</t>
  </si>
  <si>
    <t>Regimen de recaudacion sircreb c
Responsable:30679889458 / 0,10% sobre $1.101.360,57</t>
  </si>
  <si>
    <t>Transferencia recibida
De ob.soc.del pers.de la / sanatorioadr - fac / 30711703949</t>
  </si>
  <si>
    <t>Debito transf. online banking emp
00720125007003780325ars</t>
  </si>
  <si>
    <t>Regimen de recaudacion sircreb c
Responsable:30679889458 / 0,10% sobre $19.900,00</t>
  </si>
  <si>
    <t>Comision pago ch y/o retiro efecti
Total extracciones del dia $ 90000,00</t>
  </si>
  <si>
    <t>Transferencia realizada
A villalba miguel angel / - var / 20317488476</t>
  </si>
  <si>
    <t>Transferencia realizada
A garibaldi, anibal ca / - var / 20214683440</t>
  </si>
  <si>
    <t>Regimen de recaudacion sircreb c
Responsable:30679889458 / 0,10% sobre $7.200,00</t>
  </si>
  <si>
    <t>Transferencia inmediata
A alberto sergio bono / honorarios - hon / 20147946784</t>
  </si>
  <si>
    <t>Pago personalizados por cci
&amp;&amp;0</t>
  </si>
  <si>
    <t>Pago a proveedores recibido
Obra social ferroviaria 30546706970 03 8440271</t>
  </si>
  <si>
    <t>Regimen de recaudacion sircreb c
Responsable:30679889458 / 0,10% sobre $77.121,00</t>
  </si>
  <si>
    <t>Pago a proveedores recibido
C p n sociedad anonima 30707816836 03 0227856</t>
  </si>
  <si>
    <t>Regimen de recaudacion sircreb c
Responsable:30679889458 / 0,10% sobre $95.845,79</t>
  </si>
  <si>
    <t>Regimen de recaudacion sircreb c
Responsable:30679889458 / 0,10% sobre $4.072.766,46</t>
  </si>
  <si>
    <t>Debito transf. online banking emp
00720125005000181947ars</t>
  </si>
  <si>
    <t>Transferencia realizada
A diaz ricardo daniel / - var / 20320911916</t>
  </si>
  <si>
    <t>Transferencia realizada
A cartocan srl / - var / 30503390759</t>
  </si>
  <si>
    <t>Transferencia realizada
A velasquez guarderas xav / honorarios - hon / 27962103338</t>
  </si>
  <si>
    <t>Transferencia realizada
A alvarez turczyn walter / honorarios - hon / 20228852393</t>
  </si>
  <si>
    <t>Regimen de recaudacion sircreb c
Responsable:30679889458 / 0,10% sobre $11.000,00</t>
  </si>
  <si>
    <t>Valores no conformados</t>
  </si>
  <si>
    <t>Credito transf online banking emp
De sanatorio modelo burza / varios - var / 30676159483</t>
  </si>
  <si>
    <t>Transferencia recibida
De cecilia soledad sosa / - var / 23308291464</t>
  </si>
  <si>
    <t>Pago a proveedores recibido
O s personal o t serv sanitar 30682642552 03 9553441</t>
  </si>
  <si>
    <t>Pago a proveedores recibido
Obra social trabajadores past 30679065382 03 9699052</t>
  </si>
  <si>
    <t>Transferencia recibida
De molina, paula giselle / p - var / 27378346695</t>
  </si>
  <si>
    <t>Regimen de recaudacion sircreb d
Responsable:30679889458 / 0,20% sobre $25.146.017,62</t>
  </si>
  <si>
    <t>Intereses por descubierto excedido
Del 01/02/25 al 28/02/25</t>
  </si>
  <si>
    <t>Iva 10,5% reg trans fisc ley 27743</t>
  </si>
  <si>
    <t>Transferencia recibida
De sanatorio modelo burza / - var / 30676159483</t>
  </si>
  <si>
    <t>Transferencia realizada
A fernandez sergio alfred / - var / 20135974782</t>
  </si>
  <si>
    <t>Transferencia recibida
De corbalan/jorge orlando / - var / 20248274434</t>
  </si>
  <si>
    <t>Regimen de recaudacion sircreb d
Responsable:30679889458 / 0,20% sobre $15.017.000,00</t>
  </si>
  <si>
    <t>Regimen de recaudacion sircreb d
Responsable:30679889458 / 0,20% sobre $58.517,87</t>
  </si>
  <si>
    <t>Pago comercios prisma visa nro.liq. 02030850/0041354424</t>
  </si>
  <si>
    <t>Transferencia recibida
De o s pers admi y tecnic / 00316951 - fac / 30530955253</t>
  </si>
  <si>
    <t>Regimen de recaudacion sircreb d
Responsable:30679889458 / 0,20% sobre $24.473,69</t>
  </si>
  <si>
    <t>Transferencia recibida
De facundo rodrigo tuama / - var / 20363859799</t>
  </si>
  <si>
    <t>Regimen de recaudacion sircreb d
Responsable:30679889458 / 0,20% sobre $17.200,00</t>
  </si>
  <si>
    <t>Transferencia realizada
A de jesus fernando a / haberes - hab / 20308936377</t>
  </si>
  <si>
    <t>Transferencia recibida
De o.s.r.j.a. / adrogue - fac / 30691011395</t>
  </si>
  <si>
    <t>Regimen de recaudacion sircreb d
Responsable:30679889458 / 0,20% sobre $30.631,10</t>
  </si>
  <si>
    <t>Pago a proveedores recibido
Obra social pers.ind.lechera 30584194789 03 6415211</t>
  </si>
  <si>
    <t>Regimen de recaudacion sircreb d
Responsable:30679889458 / 0,20% sobre $37.000,00</t>
  </si>
  <si>
    <t>Pago de servicios
Metrogas: 040000243892</t>
  </si>
  <si>
    <t>Pago de servicios
Arba inmob.: 33400030067002</t>
  </si>
  <si>
    <t>Pago de servicios
Arba inmob.: 33400030048555</t>
  </si>
  <si>
    <t>Pago de servicios
Arba inmob.: 33400030042042</t>
  </si>
  <si>
    <t>Pago a proveedores recibido
Obra social ferroviaria 30546706970 03 6999610</t>
  </si>
  <si>
    <t>Pago a proveedores recibido
Programas medicos consultoria 30630563050 03 3430431</t>
  </si>
  <si>
    <t>Regimen de recaudacion sircreb d
Responsable:30679889458 / 0,20% sobre $43.048,44</t>
  </si>
  <si>
    <t>Transferencia realizada
A izcovich edgardo dani/e / honorarios - hon / 20082370715</t>
  </si>
  <si>
    <t>Debito transf. online banking emp
00720125007003956720ars</t>
  </si>
  <si>
    <t>Transferencia recibida
De o.social del pers.de l / op32746 - fac / 30662172991</t>
  </si>
  <si>
    <t>Retiro en efvo por caja suc adrogue</t>
  </si>
  <si>
    <t>Regimen de recaudacion sircreb d
Responsable:30679889458 / 0,20% sobre $3.028.506,21</t>
  </si>
  <si>
    <t>Rechazo ch sin fdos canje interno
Sin fondos</t>
  </si>
  <si>
    <t>Comision pago ch y/o retiro efecti
Total extracciones del dia $ 1050000,00</t>
  </si>
  <si>
    <t>Transferencia realizada
A rodolico hernan andre / - var / 23255689509</t>
  </si>
  <si>
    <t>Debito transf. online banking emp
A crisol medina ruifernan / proveedor - pro / 27363535904</t>
  </si>
  <si>
    <t>Comision cheque rechaz fis sin fon</t>
  </si>
  <si>
    <t>Transferencia realizada
A franchignoni maria e / - hab / 27290442228</t>
  </si>
  <si>
    <t>Fondos embargados bcra
Expal9243-2025 juz de primera instancia en lo civil y</t>
  </si>
  <si>
    <t>comercial
Transferencia recibida
De sanatorio modelo burza / varios - var / 30676159483</t>
  </si>
  <si>
    <t>Multa cheque rech l. 25730 s/fdos</t>
  </si>
  <si>
    <t>Regimen de recaudacion sircreb d
Responsable:30679889458 / 0,20% sobre $20.000.000,00</t>
  </si>
  <si>
    <t>Regimen de recaudacion sircreb d
Responsable:30679889458 / 0,20% sobre $416.415,83</t>
  </si>
  <si>
    <t>Regimen de recaudacion sircreb d
Responsable:30679889458 / 0,20% sobre $100.000.000,00</t>
  </si>
  <si>
    <t>Transferencia realizada
A corniola daniel and / - hon / 20211431009</t>
  </si>
  <si>
    <t>Transferencia realizada
A caja de prevision y / - cuo / 30542265317</t>
  </si>
  <si>
    <t>Devol multa ch rech l.25730 s/fdos</t>
  </si>
  <si>
    <t>Regimen de recaudacion sircreb d
Responsable:30679889458 / 0,20% sobre $25.000,00</t>
  </si>
  <si>
    <t>Pago comercios prisma visa nro.liq. 01998350/0041354424</t>
  </si>
  <si>
    <t>Regimen de recaudacion sircreb d
Responsable:30679889458 / 0,20% sobre $158.252,10</t>
  </si>
  <si>
    <t>Transferencia recibida
De patricio diaz / - var / 20443952978</t>
  </si>
  <si>
    <t>Transferencia realizada
A casa vielva sa / - fac / 30503772260</t>
  </si>
  <si>
    <t>Regimen de recaudacion sircreb d
Responsable:30679889458 / 0,20% sobre $16.000,00</t>
  </si>
  <si>
    <t>Debito transf. online banking emp
A roberto angel franchign / - var / 20081083976</t>
  </si>
  <si>
    <t>Pago a proveedores recibido
Obra social pers.ind.lechera 30584194789 03 5103794</t>
  </si>
  <si>
    <t>Transferencia inmediata
A fernando anibal calv / - fac / 20077860860</t>
  </si>
  <si>
    <t>Transferencia inmediata
A victor hugo dabbene / - fac / 20112429175</t>
  </si>
  <si>
    <t>Transferencia inmediata
A walter ruben alvarez / - hon / 20228852393</t>
  </si>
  <si>
    <t>Transferencia inmediata
A daniel fernandez bol / - fac / 20173400285</t>
  </si>
  <si>
    <t>Regimen de recaudacion sircreb d
Responsable:30679889458 / 0,20% sobre $18.100,00</t>
  </si>
  <si>
    <t>Transferencia recibida
De rodolfo alejandro flei / - var / 20306006348</t>
  </si>
  <si>
    <t>Transferencia recibida
De bustamante, maria de l / pago - var / 24267482469</t>
  </si>
  <si>
    <t>Regimen de recaudacion sircreb d
Responsable:30679889458 / 0,20% sobre $19.000,00</t>
  </si>
  <si>
    <t>Pago a proveedores recibido
Obra social trabajadores past 30679065382 03 5862233</t>
  </si>
  <si>
    <t>Regimen de recaudacion sircreb d
Responsable:30679889458 / 0,20% sobre $78.731,83</t>
  </si>
  <si>
    <t>Transferencia recibida
De o.social del pers.de l / op32850 - fac / 30662172991</t>
  </si>
  <si>
    <t>Regimen de recaudacion sircreb d
Responsable:30679889458 / 0,20% sobre $316.184,50</t>
  </si>
  <si>
    <t>Transferencia realizada
A iraola alfredo fr / honorarios - hon / 20250203498</t>
  </si>
  <si>
    <t>Pago a proveedores recibido
Obra social ferroviaria 30546706970 03 6497750</t>
  </si>
  <si>
    <t>Regimen de recaudacion sircreb d
Responsable:30679889458 / 0,20% sobre $10.706,00</t>
  </si>
  <si>
    <t>Transferencia recibida
De diego hernan alagastin / - var / 20363975713</t>
  </si>
  <si>
    <t>Regimen de recaudacion sircreb d
Responsable:30679889458 / 0,20% sobre $130.662,40</t>
  </si>
  <si>
    <t>Transferencia ctas mobile banking
De gonzalo ezequiel lopez / varios - var / 20444119153</t>
  </si>
  <si>
    <t>Debito transf. online banking emp
00720195007003608416ars</t>
  </si>
  <si>
    <t>Debito transf. online banking emp
A liliana vanesa cisneros / haberes - hab / 27310145144</t>
  </si>
  <si>
    <t>Transferencia tercer no grav snp
Sanatorio model 30679889458 var</t>
  </si>
  <si>
    <t>Regimen de recaudacion sircreb d
Responsable:30679889458 / 0,20% sobre $1.058.437,49</t>
  </si>
  <si>
    <t>Transferencia recibida
De maite gisele sanabria / - var / 27350507154</t>
  </si>
  <si>
    <t>Debito transf. online banking emp
A medical images sa / - var / 30716253399</t>
  </si>
  <si>
    <t>Transferencia realizada
A livio santiago / honorarios - hon / 20367210967</t>
  </si>
  <si>
    <t>Pago a proveedores recibido
Medicina prepaga hominis s.a. 30658035033 03 7226880</t>
  </si>
  <si>
    <t>Transferencia tercer no grav snp
Sanatorio model 30679889458 var tr</t>
  </si>
  <si>
    <t>Regimen de recaudacion sircreb d
Responsable:30679889458 / 0,20% sobre $19.473.011,84</t>
  </si>
  <si>
    <t>Transf recibida cvu dif titular
De luis alberto burgos / uala /20141085175</t>
  </si>
  <si>
    <t>Credito transferencia por internet
De femeca / - var / 30529118194</t>
  </si>
  <si>
    <t>Regimen de recaudacion sircreb d
Responsable:30679889458 / 0,20% sobre $237.874,86</t>
  </si>
  <si>
    <t>Regimen de recaudacion sircreb d
Responsable:30679889458 / 0,20% sobre $50.000.000,00</t>
  </si>
  <si>
    <t>Pago comercios prisma visa nro.liq. 02052419/0041354424</t>
  </si>
  <si>
    <t>Transferencia recibida
De rosa olegaria cerabona / - var / 27162591148</t>
  </si>
  <si>
    <t>Regimen de recaudacion sircreb d
Responsable:30679889458 / 0,20% sobre $15.019.000,00</t>
  </si>
  <si>
    <t>Transferencia realizada
A caja prev y seguro medi / honorarios - hon / 30542265317</t>
  </si>
  <si>
    <t>Transferencia recibida
De juan carlos alcaraz / - var / 20343400412</t>
  </si>
  <si>
    <t>Rechazo ch falla tec no libr 48-72
Sin fondos</t>
  </si>
  <si>
    <t>Pago a proveedores recibido
Ob.soc.p pers.de obras y serv 30682642552 03 8638359</t>
  </si>
  <si>
    <t>Pago a proveedores recibido
Obra social trabajadores past 30679065382 03 8788815</t>
  </si>
  <si>
    <t>Regimen de recaudacion sircreb d
Responsable:30679889458 / 0,20% sobre $323.229,94</t>
  </si>
  <si>
    <t>Transferencia realizada
A monges marcia ruth / - var / 27229658765</t>
  </si>
  <si>
    <t>Transferencia realizada
A rosales walter juan / honorarios - hon / 20283786480</t>
  </si>
  <si>
    <t>Transf minorista recibida snp
Transferencia s.n.p.</t>
  </si>
  <si>
    <t>Regimen de recaudacion sircreb d
Responsable:30679889458 / 0,20% sobre $28.663.939,80</t>
  </si>
  <si>
    <t>Transferencia recibida
De samuel miguel angel pa / - var / 20365613274</t>
  </si>
  <si>
    <t>Transferencia recibida
De obra social del person / 985 - fac / 30532460774</t>
  </si>
  <si>
    <t>Regimen de recaudacion sircreb d
Responsable:30679889458 / 0,20% sobre $113.876,64</t>
  </si>
  <si>
    <t>Pago a proveedores recibido
Obra social pers.ind.lechera 30584194789 03 9563163</t>
  </si>
  <si>
    <t>Pago a proveedores recibido
Obra social ferroviaria 30546706970 03 9588404</t>
  </si>
  <si>
    <t>Transferencia recibida
De mariana elina freire g / - var / 27337870827</t>
  </si>
  <si>
    <t>Regimen de recaudacion sircreb d
Responsable:30679889458 / 0,20% sobre $96.943,50</t>
  </si>
  <si>
    <t>Pago a proveedores recibido
Apres sa 30560243002 03 3263311</t>
  </si>
  <si>
    <t>Regimen de recaudacion sircreb d
Responsable:30679889458 / 0,20% sobre $15.269,00</t>
  </si>
  <si>
    <t>Pago a proveedores recibido
Programas medicos consultoria 30630563050 03 3408568</t>
  </si>
  <si>
    <t>Regimen de recaudacion sircreb d
Responsable:30679889458 / 0,20% sobre $437.188,73</t>
  </si>
  <si>
    <t>Transferencia recibida
De o.social del pers.de l / op33075 - fac / 30662172991</t>
  </si>
  <si>
    <t>Transferencia realizada
A fernandez boldrini dani / varios - var / 20173400285</t>
  </si>
  <si>
    <t>Debito transf. online banking emp
A alberto daniel rondolet / proveedor - pro / 20141642473</t>
  </si>
  <si>
    <t>Regimen de recaudacion sircreb d
Responsable:30679889458 / 0,20% sobre $1.054.704,24</t>
  </si>
  <si>
    <t>Transferencia recibida
De maria belen fuente / - var / 27302122399</t>
  </si>
  <si>
    <t>Pago cci 24hs no gravada interbank
A sanatorio modelo adrogu / varios - var / 30679889458</t>
  </si>
  <si>
    <t>Regimen de recaudacion sircreb d
Responsable:30679889458 / 0,20% sobre $18.500,00</t>
  </si>
  <si>
    <t>Comision pago ch y/o retiro efecti
Total extracciones del dia $ 40000,00</t>
  </si>
  <si>
    <t>Transferencia realizada
A r x asesores srl / - var / 30619278743</t>
  </si>
  <si>
    <t>Transferencia realizada
A paula vanesa,bonapelch / - var / 23310702684</t>
  </si>
  <si>
    <t>Debito transf. online banking emp
00720125005000123954ars</t>
  </si>
  <si>
    <t>Transferencia realizada
A natalia gabriela,molina / - var / 27284014591</t>
  </si>
  <si>
    <t>Transferencia recibida
De pamela sabrina sandova / - var / 23319888934</t>
  </si>
  <si>
    <t>Rechazo ch falla tec no libr 48-72
Decision banco girado</t>
  </si>
  <si>
    <t>Pago a proveedores recibido
Programas medicos consultoria 30630563050 03 3117502</t>
  </si>
  <si>
    <t>Transferencia recibida
De sosa, lidia ester / - var / 27280201559</t>
  </si>
  <si>
    <t>Regimen de recaudacion sircreb d
Responsable:30679889458 / 0,20% sobre $46.462,72</t>
  </si>
  <si>
    <t>Pago a proveedores
250530507scis sa cuit 30708428082</t>
  </si>
  <si>
    <t>Regimen de recaudacion sircreb d
Responsable:30679889458 / 0,20% sobre $52.913.186,14</t>
  </si>
  <si>
    <t>Comision tarjeta debito adicional</t>
  </si>
  <si>
    <t>Transferencia recibida
De aynara belen izzo / - var / 27405772588</t>
  </si>
  <si>
    <t>Regimen de recaudacion sircreb d
Responsable:30679889458 / 0,20% sobre $624.734,11</t>
  </si>
  <si>
    <t>Comision gestion de cobertura</t>
  </si>
  <si>
    <t>Pago comercios prisma visa nro.liq. 02046430/0041354424</t>
  </si>
  <si>
    <t>Debito transf. online banking emp
A irene anahi vijnovich b / honorarios - hon / 27118165654</t>
  </si>
  <si>
    <t>Transferencia realizada
A layoun escobio yasmin d / honorarios - hon / 27368290608</t>
  </si>
  <si>
    <t>Transferencia recibida
De lorena marta fernandez / - var / 27258332534</t>
  </si>
  <si>
    <t>Regimen de recaudacion sircreb d
Responsable:30679889458 / 0,20% sobre $291.600,00</t>
  </si>
  <si>
    <t>Comision valores no conformados</t>
  </si>
  <si>
    <t>Transferencia recibida
De javier adrian correa / - var / 20315749396</t>
  </si>
  <si>
    <t>Regimen de recaudacion sircreb d
Responsable:30679889458 / 0,20% sobre $74.042,60</t>
  </si>
  <si>
    <t>Comision transf otros bcos canales
Comision transferencias</t>
  </si>
  <si>
    <t>Transferencia recibida
De o s pers admi y tecnic / 00320733 - fac / 30530955253</t>
  </si>
  <si>
    <t>Regimen de recaudacion sircreb d
Responsable:30679889458 / 0,20% sobre $36.042,73</t>
  </si>
  <si>
    <t>Transferencia recibida
De analia elisabet diaz / - var / 27341520059</t>
  </si>
  <si>
    <t>Intereses por descubierto excedido
Del 01/05/25 al 31/05/25</t>
  </si>
  <si>
    <t>Pago a proveedores recibido
Ob.soc.p pers.de obras y serv 30682642552 03 8350769</t>
  </si>
  <si>
    <t>Transferencia recibida
De tobias manuel sicaro / - var / 20445940101</t>
  </si>
  <si>
    <t>Regimen de recaudacion sircreb d
Responsable:30679889458 / 0,20% sobre $5.060.432,48</t>
  </si>
  <si>
    <t>Transferencia recibida
De o s pers admi y tecnic / 321020 - fac / 30530955253</t>
  </si>
  <si>
    <t>Regimen de recaudacion sircreb d
Responsable:30679889458 / 0,20% sobre $20.694,37</t>
  </si>
  <si>
    <t>Regimen de recaudacion sircreb d
Responsable:30679889458 / 0,20% sobre $6.104.055,73</t>
  </si>
  <si>
    <t>Transferencia realizada
A lautaro leon,araujo / - var / 20380696151</t>
  </si>
  <si>
    <t>Transferencia realizada
A eduardo eliseo,velardez / - var / 20140900657</t>
  </si>
  <si>
    <t>Pago a proveedores recibido
Obra social trabajadores past 30679065382 03 9474674</t>
  </si>
  <si>
    <t>Transferencia realizada
A victor obelar / - var / 20161213307</t>
  </si>
  <si>
    <t>Regimen de recaudacion sircreb d
Responsable:30679889458 / 0,20% sobre $72.366,88</t>
  </si>
  <si>
    <t>Comision de extraccion por caja
Total extracciones del dia $ 50000,00</t>
  </si>
  <si>
    <t>Transferencia recibida
De o.social del pers.de l / op33318 - fac / 30662172991</t>
  </si>
  <si>
    <t>Regimen de recaudacion sircreb d
Responsable:30679889458 / 0,20% sobre $1.196.780,25</t>
  </si>
  <si>
    <t>Transferencia realizada
A osde organizacion de se / honorarios - hon / 30546741253</t>
  </si>
  <si>
    <t>Pago a proveedores recibido
Obra social ferroviaria 30546706970 03 5460879</t>
  </si>
  <si>
    <t>Pago a proveedores recibido
Programas medicos consultoria 30630563050 03 3071095</t>
  </si>
  <si>
    <t>Regimen de recaudacion sircreb d
Responsable:30679889458 / 0,20% sobre $468.535,31</t>
  </si>
  <si>
    <t>Transferencia realizada
A lautaro leon,araujo / varios - var / 20380696151</t>
  </si>
  <si>
    <t>Transferencia realizada
A sergio luis,ferreyra / - var / 20288911550</t>
  </si>
  <si>
    <t>Transferencia realizada
A gorosito raul a / - var / 20167182225</t>
  </si>
  <si>
    <t>Transferencia realizada
A ortega raul alber / - var / 20234043979</t>
  </si>
  <si>
    <t>Transferencia realizada
A rosales walter jua / honorarios - hon / 20283786480</t>
  </si>
  <si>
    <t>Pago a proveedores recibido
C p n sociedad anonima 30707816836 03 0220486</t>
  </si>
  <si>
    <t>Pago a proveedores recibido
O social de emp port pe y me 30586661716 03 5851964</t>
  </si>
  <si>
    <t>Regimen de recaudacion sircreb d
Responsable:30679889458 / 0,20% sobre $3.076.242,60</t>
  </si>
  <si>
    <t>Comision mensual de movs clearing</t>
  </si>
  <si>
    <t>Transferencia inmediata
A gastab sociedad anon / - var / 33641720599</t>
  </si>
  <si>
    <t>Regimen de recaudacion sircreb d
Responsable:30679889458 / 0,20% sobre $22.068,20</t>
  </si>
  <si>
    <t>Regimen de recaudacion sircreb c
Responsable:30679889458 / 0,10% sobre $1.426.083,47</t>
  </si>
  <si>
    <t>Transferencia recibida
De diego emanuel lopez / - var / 20299510167</t>
  </si>
  <si>
    <t>Transferencia recibida
De santillan/roberto carl / - var / 20228534731</t>
  </si>
  <si>
    <t>Regimen de recaudacion sircreb c
Responsable:30679889458 / 0,10% sobre $99.041.300,00</t>
  </si>
  <si>
    <t>Transferencia realizada
A espina carlos alberto / honorarios - hon / 20112055615</t>
  </si>
  <si>
    <t>Transferencia realizada
A herrajes adrosur srl / - var / 30716248158</t>
  </si>
  <si>
    <t>Transferencia realizada
A fernandez boldrini dani / - var / 20173400285</t>
  </si>
  <si>
    <t>Transferencia realizada
A matias,balbi fuhr / honorarios - hon / 20381050824</t>
  </si>
  <si>
    <t>Debito transf. online banking emp
00720175007000399212ars</t>
  </si>
  <si>
    <t>Pago a proveedores recibido
Obra social trabajadores past 30679065382 03 7154529</t>
  </si>
  <si>
    <t>Servicio de provision de impresos</t>
  </si>
  <si>
    <t>Regimen de recaudacion sircreb c
Responsable:30679889458 / 0,10% sobre $10.088.870,21</t>
  </si>
  <si>
    <t>Comision de extraccion por caja
Total extracciones del dia $ 200000,00</t>
  </si>
  <si>
    <t>Transferencia realizada
A ferreyra sergio luis / varios - var / 20288911550</t>
  </si>
  <si>
    <t>Debito transf. online banking emp
00720193002003808670ars</t>
  </si>
  <si>
    <t>Intereses por descubierto excedido
Del 01/06/25 al 30/06/25</t>
  </si>
  <si>
    <t>Pago comercios prisma visa nro.liq. 02076377/0041354424</t>
  </si>
  <si>
    <t>Transferencia recibida
De mario eugenio gallitri / - var / 20171378711</t>
  </si>
  <si>
    <t>Regimen de recaudacion sircreb c
Responsable:30679889458 / 0,10% sobre $141.071,90</t>
  </si>
  <si>
    <t>Regimen de recaudacion sircreb c
Responsable:30679889458 / 0,10% sobre $15.735,00</t>
  </si>
  <si>
    <t>Transferencia recibida
De o s pers admi y tecnic / 00322268 - fac / 30530955253</t>
  </si>
  <si>
    <t>Debito transf. online banking emp
00720743007003625938ars</t>
  </si>
  <si>
    <t>Regimen de recaudacion sircreb c
Responsable:30679889458 / 0,10% sobre $37.224,00</t>
  </si>
  <si>
    <t>Pago a proveedores recibido
Obra social pers.ind.lechera 30584194789 03 8979054</t>
  </si>
  <si>
    <t>Transferencia recibida
De ob.soc.del pers.de la / sanatadrogue - fac / 30711703949</t>
  </si>
  <si>
    <t>Regimen de recaudacion sircreb c
Responsable:30679889458 / 0,10% sobre $51.239,00</t>
  </si>
  <si>
    <t>Pago a proveedores recibido
Obra social pers.ind.lechera 30584194789 03 9106250</t>
  </si>
  <si>
    <t>Pago a proveedores recibido
Obra social ferroviaria 30546706970 03 9132660</t>
  </si>
  <si>
    <t>Regimen de recaudacion sircreb c
Responsable:30679889458 / 0,10% sobre $687.766,94</t>
  </si>
  <si>
    <t>Regimen de recaudacion sircreb c
Responsable:30679889458 / 0,10% sobre $12.171,00</t>
  </si>
  <si>
    <t>Transferencia recibida
De o. s. de emp. de la in / cancheq53128 - var / 30678966912</t>
  </si>
  <si>
    <t>Transferencia realizada
A municipalidad de alm / - cuo / 33999001489</t>
  </si>
  <si>
    <t>Debito transferencia por internet
A herresur de guglielm / - fac / 30708704012</t>
  </si>
  <si>
    <t>Transferencia realizada
A schenone alberto dom / - var / 20077748513</t>
  </si>
  <si>
    <t>Transferencia realizada
A itsos srl / - fac / 30711994064</t>
  </si>
  <si>
    <t>Transferencia realizada
A dorin mauricio saul / - fac / 20083622394</t>
  </si>
  <si>
    <t>Transferencia realizada
A sergio luis ferreyra / - var / 20288911550</t>
  </si>
  <si>
    <t>Transferencia realizada
A municipalidad de alm / - fac / 33999001489</t>
  </si>
  <si>
    <t>Transferencia realizada
A empresa distribuidor / - fac / 30655116512</t>
  </si>
  <si>
    <t>Transferencia realizada
A asociacion camara / - cuo / 33717417149</t>
  </si>
  <si>
    <t>Regimen de recaudacion sircreb c
Responsable:30679889458 / 0,10% sobre $486.443,40</t>
  </si>
  <si>
    <t>Regimen de recaudacion sircreb c
Responsable:30679889458 / 0,10% sobre $106.889,50</t>
  </si>
  <si>
    <t>Transferencia inmediata
A valeria claudia rive / - fac / 27282771654</t>
  </si>
  <si>
    <t>Transferencia realizada
A victor obelar / - fac / 20161213307</t>
  </si>
  <si>
    <t>Transferencia inmediata
A alberto sergio bono / - hon / 20147946784</t>
  </si>
  <si>
    <t>Transferencia realizada
A airkraw srl / - fac / 33710870239</t>
  </si>
  <si>
    <t>Transferencia realizada
A hernan andres rodoli / - fac / 23255689509</t>
  </si>
  <si>
    <t>Transferencia realizada
A eduardo j b ducker y / - hon / 30604091574</t>
  </si>
  <si>
    <t>Transferencia realizada
A garibaldi anibal ca / - fac / 20214683440</t>
  </si>
  <si>
    <t>Transferencia realizada
A daniel fernandez bol / - fac / 20173400285</t>
  </si>
  <si>
    <t>Regimen de recaudacion sircreb c
Responsable:30679889458 / 0,10% sobre $2.929.062,48</t>
  </si>
  <si>
    <t>Pago a proveedores recibido
Medicina prepaga hominis s.a. 30658035033 03 6069570</t>
  </si>
  <si>
    <t>Regimen de recaudacion sircreb c
Responsable:30679889458 / 0,10% sobre $1.101.466,31</t>
  </si>
  <si>
    <t>Debito transferencia por internet
A delta 2000 sa / - fac / 30717053733</t>
  </si>
  <si>
    <t>Debito transferencia por internet
A belis sofia / - var / 27236882026</t>
  </si>
  <si>
    <t>Regimen de recaudacion sircreb d
Responsable:30679889458 / 0,20% sobre $70.000.000,00</t>
  </si>
  <si>
    <t>Pago comercios prisma visa nro.liq. 02079854/0041354424</t>
  </si>
  <si>
    <t>Credito transferencia por internet
De sanatorio modelo bur / - pre / 30676159483</t>
  </si>
  <si>
    <t>Transferencia realizada
A carlos alberto espin / - var / 20112055615</t>
  </si>
  <si>
    <t>Regimen de recaudacion sircreb d
Responsable:30679889458 / 0,20% sobre $10.000.000,00</t>
  </si>
  <si>
    <t>Regimen de recaudacion sircreb d
Resp:30679889458 / 0,20% sobre $3.000.000,00</t>
  </si>
  <si>
    <t>Intereses por descubierto excedido
Del 01/07/25 al 31/07/25</t>
  </si>
  <si>
    <t>Regimen de recaudacion sircreb d
Resp:30679889458 / 0,20% sobre $6.000.000,00</t>
  </si>
  <si>
    <t>Pago a proveedores recibido
Obra social ferroviaria 30546706970 03 8023841</t>
  </si>
  <si>
    <t>Pago a proveedores recibido
Obra social trabajadores past 30679065382 03 8072357</t>
  </si>
  <si>
    <t>Transferencia recibida
De daiana giselle olivera / - var / 27412347485</t>
  </si>
  <si>
    <t>Transferencia recibida
De o s pers admi y tecnic / 00323855 - fac / 30530955253</t>
  </si>
  <si>
    <t>Regimen de recaudacion sircreb d
Resp:30679889458 / 0,20% sobre $1.302.453,52</t>
  </si>
  <si>
    <t>Transferencia recibida
De duffy/brian / - var / 20399593736</t>
  </si>
  <si>
    <t>Regimen de recaudacion sircreb d
Resp:30679889458 / 0,20% sobre $3.086.820,90</t>
  </si>
  <si>
    <t>Transferencia recibida
De nieva, maria florencia / flor - var / 27353933227</t>
  </si>
  <si>
    <t>Transferencia recibida
De o.social del pers.de l / op33814 - fac / 30662172991</t>
  </si>
  <si>
    <t>Transferencia recibida
De camila micaela saucedo / - var / 27390966399</t>
  </si>
  <si>
    <t>Transferencia realizada
A fandino martin alberto / honorarios - hon / 20231262912</t>
  </si>
  <si>
    <t>Transferencia inmediata
A julio celestino dorti / varios - var / 20209737990</t>
  </si>
  <si>
    <t>Regimen de recaudacion sircreb d
Resp:30679889458 / 0,20% sobre $3.035.194,86</t>
  </si>
  <si>
    <t>Regimen de recaudacion sircreb d
Resp:30679889458 / 0,20% sobre $33.742,60</t>
  </si>
  <si>
    <t>Transferencia recibida
De solange estefania amod / - var / 27365004078</t>
  </si>
  <si>
    <t>Transferencia recibida
De o. s. de emp. de la in / 1001 - fac / 30678966912</t>
  </si>
  <si>
    <t>Regimen de recaudacion sircreb d
Resp:30679889458 / 0,20% sobre $123.188,80</t>
  </si>
  <si>
    <t>Pago a proveedores recibido
Medicina prepaga hominis s.a. 30658035033 03 9998618</t>
  </si>
  <si>
    <t>Regimen de recaudacion sircreb d
Resp:30679889458 / 0,20% sobre $929.973,24</t>
  </si>
  <si>
    <t>Transferencia recibida
De melany yasmin gilarden / - var / 27443644100</t>
  </si>
  <si>
    <t>Pago a proveedores recibido
Obra social pers.ind.lechera 30584194789 03 5349925</t>
  </si>
  <si>
    <t>Transferencia inmediata
A claudio gabriel fernand / honorarios - hon / 20131456906</t>
  </si>
  <si>
    <t>Pago a proveedores recibido
Programas medicos consultoria 30630563050 03 3245373</t>
  </si>
  <si>
    <t>Regimen de recaudacion sircreb d
Resp:30679889458 / 0,20% sobre $3.450.436,28</t>
  </si>
  <si>
    <t>Neto</t>
  </si>
  <si>
    <t>SALDO EXT</t>
  </si>
  <si>
    <t>CH DIF</t>
  </si>
  <si>
    <t>MOV PEND</t>
  </si>
  <si>
    <t>control vs extracto</t>
  </si>
  <si>
    <t>INFORME DE CHEQUES EMITIDOS POR CUENTA BANCARIA</t>
  </si>
  <si>
    <t>Parámetros del Informe</t>
  </si>
  <si>
    <t>Empresa : SANATORIO MODELO ADROGUE SA</t>
  </si>
  <si>
    <t>DESDE : 01/09/2022    HASTA : 31/08/2023            CUENTA BANCARIA :      11211 - SANTANDER RIO</t>
  </si>
  <si>
    <t>ORDENADO POR FECHA DE OPERACION</t>
  </si>
  <si>
    <t>NRO_MOVIMIENTO</t>
  </si>
  <si>
    <t>TIPO_MOV</t>
  </si>
  <si>
    <t>ORDEN_PAGO</t>
  </si>
  <si>
    <t>FECHA_EMISION</t>
  </si>
  <si>
    <t>FECHA_ACREDITACION</t>
  </si>
  <si>
    <t>IMPORTE</t>
  </si>
  <si>
    <t>NRO_BOLETA</t>
  </si>
  <si>
    <t>DETALLE</t>
  </si>
  <si>
    <t>CODIGO_PROVEEDOR</t>
  </si>
  <si>
    <t>NOMBRE_PROVEEDOR</t>
  </si>
  <si>
    <t>RUBRO</t>
  </si>
  <si>
    <t>NOMBRE_RUBRO</t>
  </si>
  <si>
    <t>CUENTA</t>
  </si>
  <si>
    <t>NOMBRE_CUENTA</t>
  </si>
  <si>
    <t>DESTINO</t>
  </si>
  <si>
    <t>DEBITADO</t>
  </si>
  <si>
    <t>RECHAZADO</t>
  </si>
  <si>
    <t>ANULADO</t>
  </si>
  <si>
    <t>AJ CONT</t>
  </si>
  <si>
    <t>PENDIENTE</t>
  </si>
  <si>
    <t>ÑANKA S.A</t>
  </si>
  <si>
    <t>01408</t>
  </si>
  <si>
    <t>016</t>
  </si>
  <si>
    <t>ALIMENTOS</t>
  </si>
  <si>
    <t>460001</t>
  </si>
  <si>
    <t>ALIMENTACION</t>
  </si>
  <si>
    <t>COMAN MATIAS DAMIAN</t>
  </si>
  <si>
    <t>02773</t>
  </si>
  <si>
    <t>014</t>
  </si>
  <si>
    <t>UTILES</t>
  </si>
  <si>
    <t>470001</t>
  </si>
  <si>
    <t>IMPRENTA Y LIBRERIA</t>
  </si>
  <si>
    <t>BONO ALBERTO SERGIO</t>
  </si>
  <si>
    <t>00197</t>
  </si>
  <si>
    <t>031</t>
  </si>
  <si>
    <t>ESTUDIOS CONTABLES</t>
  </si>
  <si>
    <t>470000</t>
  </si>
  <si>
    <t>GASTOS DE ADMINISTRA</t>
  </si>
  <si>
    <t>023</t>
  </si>
  <si>
    <t>PROFESIONALES</t>
  </si>
  <si>
    <t>NUESTROS CAMPOS S.A</t>
  </si>
  <si>
    <t>01784</t>
  </si>
  <si>
    <t/>
  </si>
  <si>
    <t>045</t>
  </si>
  <si>
    <t>ALQUILERES</t>
  </si>
  <si>
    <t>470004</t>
  </si>
  <si>
    <t>BAIDUK SANDRA BEATRIZ</t>
  </si>
  <si>
    <t>01055</t>
  </si>
  <si>
    <t>019</t>
  </si>
  <si>
    <t>MANTENIMIENTO DE INSTALACIONES</t>
  </si>
  <si>
    <t>480004</t>
  </si>
  <si>
    <t>GTOS. MANT. OTROS EQUIPOS</t>
  </si>
  <si>
    <t>003</t>
  </si>
  <si>
    <t>MATERIAL DESCARTABLE</t>
  </si>
  <si>
    <t>430002</t>
  </si>
  <si>
    <t>CETEC SUDAMERICANA S.A</t>
  </si>
  <si>
    <t>00356</t>
  </si>
  <si>
    <t>020</t>
  </si>
  <si>
    <t>SERVICIO TECNICO</t>
  </si>
  <si>
    <t>SIM ELECTROMEDICINA</t>
  </si>
  <si>
    <t>02679</t>
  </si>
  <si>
    <t>JAVIER PUPPO</t>
  </si>
  <si>
    <t>00439</t>
  </si>
  <si>
    <t>480006</t>
  </si>
  <si>
    <t>GTOS. MANT. EDIFICIO</t>
  </si>
  <si>
    <t>018</t>
  </si>
  <si>
    <t>SERVICIOS</t>
  </si>
  <si>
    <t>440007</t>
  </si>
  <si>
    <t>ASEPSIA</t>
  </si>
  <si>
    <t>SEBASTIAN DANIEL VESPASIANO</t>
  </si>
  <si>
    <t>01754</t>
  </si>
  <si>
    <t>013</t>
  </si>
  <si>
    <t>ATMOSFERICOS</t>
  </si>
  <si>
    <t>480000</t>
  </si>
  <si>
    <t>GASTOS DE MANTENIMIENTO</t>
  </si>
  <si>
    <t>DISPROMED COMERCIAL S.R.L.</t>
  </si>
  <si>
    <t>00169</t>
  </si>
  <si>
    <t>JUAN BAÑA</t>
  </si>
  <si>
    <t>01001</t>
  </si>
  <si>
    <t>038</t>
  </si>
  <si>
    <t>IMPRENTA</t>
  </si>
  <si>
    <t>ECOURBANA S.A</t>
  </si>
  <si>
    <t>00371</t>
  </si>
  <si>
    <t>012</t>
  </si>
  <si>
    <t>RESIDUOS PATOGENICOS</t>
  </si>
  <si>
    <t>450002</t>
  </si>
  <si>
    <t>RESIDUOS PATOLOGICOS</t>
  </si>
  <si>
    <t>PRODUCTOS MEDICOS PERSONALES S.R.L</t>
  </si>
  <si>
    <t>00074</t>
  </si>
  <si>
    <t>PRODUCTOS MEDICOS PERSONALES S</t>
  </si>
  <si>
    <t>LEBBYAC  SRL</t>
  </si>
  <si>
    <t>00556</t>
  </si>
  <si>
    <t>024</t>
  </si>
  <si>
    <t>ALTA COMPLEJIDAD</t>
  </si>
  <si>
    <t>440006</t>
  </si>
  <si>
    <t>LAVADERO UNIVERSAL SRL</t>
  </si>
  <si>
    <t>01662</t>
  </si>
  <si>
    <t>015</t>
  </si>
  <si>
    <t>LAVADERO</t>
  </si>
  <si>
    <t>450003</t>
  </si>
  <si>
    <t>TERRA CARLOS SEBASTIAN</t>
  </si>
  <si>
    <t>02803</t>
  </si>
  <si>
    <t>027</t>
  </si>
  <si>
    <t>AMBULANCIAS</t>
  </si>
  <si>
    <t>440009</t>
  </si>
  <si>
    <t>COLATRELLA  S.R.L.</t>
  </si>
  <si>
    <t>01227</t>
  </si>
  <si>
    <t>FUNDACION FUNDOSOL</t>
  </si>
  <si>
    <t>00444</t>
  </si>
  <si>
    <t>035</t>
  </si>
  <si>
    <t>HEMOTERAPIA</t>
  </si>
  <si>
    <t>440004</t>
  </si>
  <si>
    <t>CORIA YAMILA SUSANA</t>
  </si>
  <si>
    <t>02792</t>
  </si>
  <si>
    <t>033</t>
  </si>
  <si>
    <t>LIMPIEZA</t>
  </si>
  <si>
    <t>470009</t>
  </si>
  <si>
    <t>GASTOS DE LIMPIEZA</t>
  </si>
  <si>
    <t>DROGUERIA EXPRESS S.R.L.</t>
  </si>
  <si>
    <t>01019</t>
  </si>
  <si>
    <t>004</t>
  </si>
  <si>
    <t>MEDICACION</t>
  </si>
  <si>
    <t>430001</t>
  </si>
  <si>
    <t>MEDICAMENTOS</t>
  </si>
  <si>
    <t>DROGUERIA KLINIKAR</t>
  </si>
  <si>
    <t>00054</t>
  </si>
  <si>
    <t>INEXISTENTE</t>
  </si>
  <si>
    <t>EVERMED S.R.L.</t>
  </si>
  <si>
    <t>02783</t>
  </si>
  <si>
    <t>GLAMAMED S.A.</t>
  </si>
  <si>
    <t>02670</t>
  </si>
  <si>
    <t>SEMYCER SA</t>
  </si>
  <si>
    <t>00846</t>
  </si>
  <si>
    <t>036</t>
  </si>
  <si>
    <t>BAZAR</t>
  </si>
  <si>
    <t>150000</t>
  </si>
  <si>
    <t>BIENES DE USO</t>
  </si>
  <si>
    <t>CLP SRL</t>
  </si>
  <si>
    <t>00238</t>
  </si>
  <si>
    <t>MOVILMED S.A.</t>
  </si>
  <si>
    <t>00653</t>
  </si>
  <si>
    <t>GIANA ESTEBAN ALFREDO</t>
  </si>
  <si>
    <t>00291</t>
  </si>
  <si>
    <t>PEM PRODUCTOS ELECTRICOS S.A</t>
  </si>
  <si>
    <t>00710</t>
  </si>
  <si>
    <t>150020</t>
  </si>
  <si>
    <t>OBRAS EN CURSO</t>
  </si>
  <si>
    <t>AXIS PHARMA S.A.</t>
  </si>
  <si>
    <t>00160</t>
  </si>
  <si>
    <t>DNM FARMA S.A</t>
  </si>
  <si>
    <t>01113</t>
  </si>
  <si>
    <t>CIENTIFICA FARMAC S.C.S.</t>
  </si>
  <si>
    <t>01324</t>
  </si>
  <si>
    <t>SOKOLINSKY ARIEL GUSTAVO</t>
  </si>
  <si>
    <t>02640</t>
  </si>
  <si>
    <t>PRAXAIR ARGENTINA SRL</t>
  </si>
  <si>
    <t>01712</t>
  </si>
  <si>
    <t>007</t>
  </si>
  <si>
    <t>OXIGENO</t>
  </si>
  <si>
    <t>430004</t>
  </si>
  <si>
    <t>RENDICH MARIO JAVIER</t>
  </si>
  <si>
    <t>01793</t>
  </si>
  <si>
    <t>DROGUERIA ALBERDI SA</t>
  </si>
  <si>
    <t>01526</t>
  </si>
  <si>
    <t>BLUE TOP CLEANING S.A.</t>
  </si>
  <si>
    <t>02813</t>
  </si>
  <si>
    <t>DROGUERIA MARTORANI S.A</t>
  </si>
  <si>
    <t>01271</t>
  </si>
  <si>
    <t>ORLANDO MAURO</t>
  </si>
  <si>
    <t>02616</t>
  </si>
  <si>
    <t>140001</t>
  </si>
  <si>
    <t>GAYOSO HECTOR ANGEL</t>
  </si>
  <si>
    <t>01795</t>
  </si>
  <si>
    <t>028</t>
  </si>
  <si>
    <t>PROFESIONALES ADMINISTRACION</t>
  </si>
  <si>
    <t>480001</t>
  </si>
  <si>
    <t>GTOS .MANT. ADMINISTRACION</t>
  </si>
  <si>
    <t>039</t>
  </si>
  <si>
    <t>BIEN DE USO</t>
  </si>
  <si>
    <t>HESURMET S. A. - NO A LA ORDEN</t>
  </si>
  <si>
    <t>01302</t>
  </si>
  <si>
    <t>011</t>
  </si>
  <si>
    <t>SERVICIO DE RECOLECCION</t>
  </si>
  <si>
    <t>LORENA JUAREZ</t>
  </si>
  <si>
    <t>01097</t>
  </si>
  <si>
    <t>SASIAIN  LUIS</t>
  </si>
  <si>
    <t>00827</t>
  </si>
  <si>
    <t>420000</t>
  </si>
  <si>
    <t>HONORARIOS MEDICOS</t>
  </si>
  <si>
    <t>EDUARDO COSTI</t>
  </si>
  <si>
    <t>00337</t>
  </si>
  <si>
    <t>450004</t>
  </si>
  <si>
    <t>ALQUILER CENTRAL TELEFONICA</t>
  </si>
  <si>
    <t>CITOMLAB S.R.L.</t>
  </si>
  <si>
    <t>00270</t>
  </si>
  <si>
    <t>BIOMED</t>
  </si>
  <si>
    <t>00065</t>
  </si>
  <si>
    <t>BIOMED MEDICAMENTOS</t>
  </si>
  <si>
    <t>00188</t>
  </si>
  <si>
    <t>DIGITAL COP</t>
  </si>
  <si>
    <t>09044</t>
  </si>
  <si>
    <t>009</t>
  </si>
  <si>
    <t>UNIFORMES</t>
  </si>
  <si>
    <t>460002</t>
  </si>
  <si>
    <t>INDUMENTARIA</t>
  </si>
  <si>
    <t>GOMEZ CRISTIAN WALTER</t>
  </si>
  <si>
    <t>02871</t>
  </si>
  <si>
    <t>PIEROTTI MIGUEL EDUARDO</t>
  </si>
  <si>
    <t>01895</t>
  </si>
  <si>
    <t>EQUS FARMA S.R.L.</t>
  </si>
  <si>
    <t>02842</t>
  </si>
  <si>
    <t>DIFERIDO</t>
  </si>
  <si>
    <t>FERNANDO ANIBAL CALVO</t>
  </si>
  <si>
    <t>00742</t>
  </si>
  <si>
    <t>IGNES ROSA EUDORA</t>
  </si>
  <si>
    <t>02872</t>
  </si>
  <si>
    <t>GENET SOC. ANONIMA</t>
  </si>
  <si>
    <t>00946</t>
  </si>
  <si>
    <t>FOLINO SERGIO</t>
  </si>
  <si>
    <t>02882</t>
  </si>
  <si>
    <t>GRAFICA PURA</t>
  </si>
  <si>
    <t>02682</t>
  </si>
  <si>
    <t>ILUZ S.A</t>
  </si>
  <si>
    <t>02712</t>
  </si>
  <si>
    <t>H SERVICE</t>
  </si>
  <si>
    <t>01918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</si>
</sst>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dd/mm/yy;@"/>
    <numFmt numFmtId="166" formatCode="_-* #,##0.00\ _€_-;\-* #,##0.00\ _€_-;_-* &quot;-&quot;??\ _€_-;_-@_-"/>
    <numFmt numFmtId="167" formatCode="#,##0.00_ ;[Red]\-#,##0.00\ "/>
  </numFmts>
  <fonts count="11" x14ac:knownFonts="1"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8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8"/>
      <color rgb="FF1E1F21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6FAFC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rgb="FFF6FAFC"/>
      </top>
      <bottom style="thin">
        <color rgb="FFCEDEE7"/>
      </bottom>
      <diagonal/>
    </border>
    <border>
      <left/>
      <right/>
      <top/>
      <bottom style="thin">
        <color rgb="FFCEDEE7"/>
      </bottom>
      <diagonal/>
    </border>
    <border>
      <left/>
      <right/>
      <top style="thin">
        <color rgb="FFCEDEE7"/>
      </top>
      <bottom style="thin">
        <color rgb="FFECECEC"/>
      </bottom>
      <diagonal/>
    </border>
    <border>
      <left/>
      <right/>
      <top style="thin">
        <color rgb="FFECECEC"/>
      </top>
      <bottom style="thin">
        <color rgb="FFECECEC"/>
      </bottom>
      <diagonal/>
    </border>
    <border>
      <left/>
      <right/>
      <top style="thin">
        <color rgb="FFF6FAFC"/>
      </top>
      <bottom style="thin">
        <color rgb="FFECECEC"/>
      </bottom>
      <diagonal/>
    </border>
    <border>
      <left/>
      <right/>
      <top/>
      <bottom style="thin">
        <color rgb="FFECECEC"/>
      </bottom>
      <diagonal/>
    </border>
    <border>
      <left/>
      <right/>
      <top style="thin">
        <color rgb="FFECECEC"/>
      </top>
      <bottom style="thin">
        <color rgb="FFCEDEE7"/>
      </bottom>
      <diagonal/>
    </border>
    <border>
      <left/>
      <right/>
      <top/>
      <bottom style="thin">
        <color rgb="FFF6FAF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0" fontId="9" fillId="0" borderId="0"/>
    <xf numFmtId="164" fontId="9" fillId="0" borderId="0" applyFont="0" applyFill="0" applyBorder="0" applyAlignment="0" applyProtection="0"/>
  </cellStyleXfs>
  <cellXfs count="121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top"/>
    </xf>
    <xf numFmtId="165" fontId="4" fillId="0" borderId="1" xfId="0" applyNumberFormat="1" applyFont="1" applyBorder="1" applyAlignment="1">
      <alignment horizontal="left" vertical="top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top"/>
    </xf>
    <xf numFmtId="164" fontId="5" fillId="0" borderId="1" xfId="1" applyFont="1" applyBorder="1" applyAlignment="1">
      <alignment horizontal="left" vertical="center"/>
    </xf>
    <xf numFmtId="164" fontId="5" fillId="0" borderId="2" xfId="1" applyFont="1" applyBorder="1" applyAlignment="1">
      <alignment horizontal="left" vertical="center"/>
    </xf>
    <xf numFmtId="164" fontId="4" fillId="0" borderId="1" xfId="1" applyFont="1" applyBorder="1" applyAlignment="1">
      <alignment horizontal="right" vertical="top"/>
    </xf>
    <xf numFmtId="0" fontId="5" fillId="0" borderId="0" xfId="0" applyFont="1" applyAlignment="1">
      <alignment horizontal="left" vertical="top"/>
    </xf>
    <xf numFmtId="166" fontId="5" fillId="0" borderId="0" xfId="0" applyNumberFormat="1" applyFont="1" applyAlignment="1">
      <alignment horizontal="left" vertical="top"/>
    </xf>
    <xf numFmtId="1" fontId="4" fillId="0" borderId="3" xfId="0" applyNumberFormat="1" applyFont="1" applyBorder="1" applyAlignment="1">
      <alignment horizontal="center" vertical="top"/>
    </xf>
    <xf numFmtId="0" fontId="5" fillId="0" borderId="3" xfId="0" applyFont="1" applyBorder="1" applyAlignment="1">
      <alignment horizontal="left" vertical="top"/>
    </xf>
    <xf numFmtId="164" fontId="4" fillId="0" borderId="3" xfId="1" applyFont="1" applyBorder="1" applyAlignment="1">
      <alignment horizontal="right" vertical="top"/>
    </xf>
    <xf numFmtId="164" fontId="5" fillId="0" borderId="3" xfId="1" applyFont="1" applyBorder="1" applyAlignment="1">
      <alignment horizontal="left" vertical="center"/>
    </xf>
    <xf numFmtId="164" fontId="5" fillId="0" borderId="0" xfId="1" applyFont="1" applyAlignment="1">
      <alignment horizontal="left" vertical="top"/>
    </xf>
    <xf numFmtId="1" fontId="4" fillId="0" borderId="4" xfId="0" applyNumberFormat="1" applyFont="1" applyBorder="1" applyAlignment="1">
      <alignment horizontal="center" vertical="top"/>
    </xf>
    <xf numFmtId="0" fontId="6" fillId="0" borderId="4" xfId="0" applyFont="1" applyBorder="1" applyAlignment="1">
      <alignment horizontal="left" vertical="top"/>
    </xf>
    <xf numFmtId="164" fontId="4" fillId="0" borderId="4" xfId="1" applyFont="1" applyBorder="1" applyAlignment="1">
      <alignment horizontal="right" vertical="top"/>
    </xf>
    <xf numFmtId="164" fontId="5" fillId="0" borderId="4" xfId="1" applyFont="1" applyBorder="1" applyAlignment="1">
      <alignment horizontal="left" vertical="center"/>
    </xf>
    <xf numFmtId="0" fontId="5" fillId="0" borderId="4" xfId="0" applyFont="1" applyBorder="1" applyAlignment="1">
      <alignment horizontal="left" vertical="top"/>
    </xf>
    <xf numFmtId="1" fontId="4" fillId="0" borderId="5" xfId="0" applyNumberFormat="1" applyFont="1" applyBorder="1" applyAlignment="1">
      <alignment horizontal="center" vertical="top"/>
    </xf>
    <xf numFmtId="0" fontId="6" fillId="0" borderId="6" xfId="0" applyFont="1" applyBorder="1" applyAlignment="1">
      <alignment horizontal="left" vertical="top"/>
    </xf>
    <xf numFmtId="164" fontId="4" fillId="0" borderId="5" xfId="1" applyFont="1" applyBorder="1" applyAlignment="1">
      <alignment horizontal="right" vertical="top"/>
    </xf>
    <xf numFmtId="164" fontId="5" fillId="0" borderId="6" xfId="1" applyFont="1" applyBorder="1" applyAlignment="1">
      <alignment horizontal="left" vertical="center"/>
    </xf>
    <xf numFmtId="164" fontId="4" fillId="0" borderId="4" xfId="1" applyFont="1" applyBorder="1" applyAlignment="1">
      <alignment horizontal="left" vertical="top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left" vertical="top"/>
    </xf>
    <xf numFmtId="164" fontId="4" fillId="0" borderId="6" xfId="1" applyFont="1" applyBorder="1" applyAlignment="1">
      <alignment horizontal="left" vertical="top"/>
    </xf>
    <xf numFmtId="164" fontId="5" fillId="0" borderId="5" xfId="1" applyFont="1" applyBorder="1" applyAlignment="1">
      <alignment horizontal="left" vertical="center"/>
    </xf>
    <xf numFmtId="164" fontId="4" fillId="0" borderId="6" xfId="1" applyFont="1" applyBorder="1" applyAlignment="1">
      <alignment horizontal="right" vertical="top"/>
    </xf>
    <xf numFmtId="0" fontId="5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left" vertical="top"/>
    </xf>
    <xf numFmtId="164" fontId="4" fillId="0" borderId="7" xfId="1" applyFont="1" applyBorder="1" applyAlignment="1">
      <alignment horizontal="left" vertical="top"/>
    </xf>
    <xf numFmtId="164" fontId="5" fillId="0" borderId="7" xfId="1" applyFont="1" applyBorder="1" applyAlignment="1">
      <alignment horizontal="left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 vertical="top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1" fontId="4" fillId="0" borderId="4" xfId="0" applyNumberFormat="1" applyFont="1" applyBorder="1" applyAlignment="1">
      <alignment horizontal="left" vertical="top"/>
    </xf>
    <xf numFmtId="1" fontId="4" fillId="0" borderId="5" xfId="0" applyNumberFormat="1" applyFont="1" applyBorder="1" applyAlignment="1">
      <alignment horizontal="left" vertical="top"/>
    </xf>
    <xf numFmtId="0" fontId="5" fillId="0" borderId="4" xfId="0" applyFont="1" applyBorder="1" applyAlignment="1">
      <alignment horizontal="left" vertical="center"/>
    </xf>
    <xf numFmtId="1" fontId="4" fillId="0" borderId="8" xfId="0" applyNumberFormat="1" applyFont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164" fontId="4" fillId="0" borderId="8" xfId="1" applyFont="1" applyBorder="1" applyAlignment="1">
      <alignment horizontal="right" vertical="top"/>
    </xf>
    <xf numFmtId="164" fontId="5" fillId="0" borderId="0" xfId="1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164" fontId="4" fillId="0" borderId="8" xfId="1" applyFont="1" applyBorder="1" applyAlignment="1">
      <alignment horizontal="left" vertical="top"/>
    </xf>
    <xf numFmtId="164" fontId="4" fillId="0" borderId="5" xfId="1" applyFont="1" applyBorder="1" applyAlignment="1">
      <alignment horizontal="left" vertical="top"/>
    </xf>
    <xf numFmtId="0" fontId="5" fillId="0" borderId="7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top"/>
    </xf>
    <xf numFmtId="0" fontId="5" fillId="0" borderId="8" xfId="0" applyFont="1" applyBorder="1" applyAlignment="1">
      <alignment horizontal="left" vertical="top"/>
    </xf>
    <xf numFmtId="0" fontId="5" fillId="0" borderId="5" xfId="0" applyFont="1" applyBorder="1" applyAlignment="1">
      <alignment horizontal="left" vertical="top"/>
    </xf>
    <xf numFmtId="0" fontId="6" fillId="0" borderId="8" xfId="0" applyFont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1" fontId="4" fillId="0" borderId="3" xfId="0" applyNumberFormat="1" applyFont="1" applyBorder="1" applyAlignment="1">
      <alignment horizontal="left" vertical="top"/>
    </xf>
    <xf numFmtId="0" fontId="6" fillId="0" borderId="3" xfId="0" applyFont="1" applyBorder="1" applyAlignment="1">
      <alignment horizontal="left" vertical="top"/>
    </xf>
    <xf numFmtId="164" fontId="5" fillId="0" borderId="8" xfId="1" applyFont="1" applyBorder="1" applyAlignment="1">
      <alignment horizontal="left" vertical="center"/>
    </xf>
    <xf numFmtId="164" fontId="4" fillId="0" borderId="0" xfId="1" applyFont="1" applyBorder="1" applyAlignment="1">
      <alignment horizontal="right" vertical="top"/>
    </xf>
    <xf numFmtId="164" fontId="4" fillId="0" borderId="7" xfId="1" applyFont="1" applyBorder="1" applyAlignment="1">
      <alignment horizontal="right" vertical="top"/>
    </xf>
    <xf numFmtId="0" fontId="5" fillId="0" borderId="1" xfId="0" applyFont="1" applyBorder="1" applyAlignment="1">
      <alignment horizontal="left" vertical="top"/>
    </xf>
    <xf numFmtId="1" fontId="4" fillId="0" borderId="7" xfId="0" applyNumberFormat="1" applyFont="1" applyBorder="1" applyAlignment="1">
      <alignment horizontal="left" vertical="top"/>
    </xf>
    <xf numFmtId="1" fontId="4" fillId="0" borderId="8" xfId="0" applyNumberFormat="1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left" vertical="top"/>
    </xf>
    <xf numFmtId="0" fontId="5" fillId="0" borderId="0" xfId="0" applyFont="1" applyAlignment="1">
      <alignment horizontal="left" vertical="center"/>
    </xf>
    <xf numFmtId="1" fontId="4" fillId="0" borderId="1" xfId="0" applyNumberFormat="1" applyFont="1" applyBorder="1" applyAlignment="1">
      <alignment horizontal="left" vertical="top"/>
    </xf>
    <xf numFmtId="0" fontId="2" fillId="2" borderId="4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top"/>
    </xf>
    <xf numFmtId="0" fontId="2" fillId="2" borderId="5" xfId="0" applyFont="1" applyFill="1" applyBorder="1" applyAlignment="1">
      <alignment horizontal="center" vertical="center"/>
    </xf>
    <xf numFmtId="1" fontId="4" fillId="0" borderId="0" xfId="0" applyNumberFormat="1" applyFont="1" applyAlignment="1">
      <alignment horizontal="center" vertical="top"/>
    </xf>
    <xf numFmtId="0" fontId="5" fillId="0" borderId="4" xfId="0" applyFont="1" applyBorder="1" applyAlignment="1">
      <alignment horizontal="center"/>
    </xf>
    <xf numFmtId="0" fontId="5" fillId="0" borderId="8" xfId="0" applyFont="1" applyBorder="1" applyAlignment="1">
      <alignment horizontal="center" vertical="top"/>
    </xf>
    <xf numFmtId="0" fontId="6" fillId="2" borderId="8" xfId="0" applyFont="1" applyFill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top"/>
    </xf>
    <xf numFmtId="0" fontId="5" fillId="0" borderId="7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5" fillId="0" borderId="4" xfId="0" applyFont="1" applyBorder="1" applyAlignment="1">
      <alignment horizontal="left"/>
    </xf>
    <xf numFmtId="0" fontId="6" fillId="2" borderId="8" xfId="0" applyFont="1" applyFill="1" applyBorder="1" applyAlignment="1">
      <alignment horizontal="right" vertical="center"/>
    </xf>
    <xf numFmtId="164" fontId="4" fillId="0" borderId="3" xfId="1" applyFont="1" applyBorder="1" applyAlignment="1">
      <alignment horizontal="left" vertical="top"/>
    </xf>
    <xf numFmtId="164" fontId="4" fillId="0" borderId="0" xfId="1" applyFont="1" applyBorder="1" applyAlignment="1">
      <alignment horizontal="left" vertical="top"/>
    </xf>
    <xf numFmtId="0" fontId="2" fillId="2" borderId="6" xfId="0" applyFont="1" applyFill="1" applyBorder="1" applyAlignment="1">
      <alignment horizontal="center" vertical="center"/>
    </xf>
    <xf numFmtId="14" fontId="2" fillId="2" borderId="0" xfId="0" applyNumberFormat="1" applyFont="1" applyFill="1" applyAlignment="1">
      <alignment horizontal="center" vertical="center"/>
    </xf>
    <xf numFmtId="14" fontId="4" fillId="0" borderId="1" xfId="0" applyNumberFormat="1" applyFont="1" applyBorder="1" applyAlignment="1">
      <alignment horizontal="left" vertical="top"/>
    </xf>
    <xf numFmtId="14" fontId="4" fillId="0" borderId="0" xfId="0" applyNumberFormat="1" applyFont="1" applyAlignment="1">
      <alignment horizontal="left" vertical="top"/>
    </xf>
    <xf numFmtId="14" fontId="6" fillId="2" borderId="1" xfId="0" applyNumberFormat="1" applyFont="1" applyFill="1" applyBorder="1" applyAlignment="1">
      <alignment horizontal="left"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5" fillId="0" borderId="1" xfId="0" applyNumberFormat="1" applyFont="1" applyBorder="1" applyAlignment="1">
      <alignment horizontal="left" vertical="top"/>
    </xf>
    <xf numFmtId="14" fontId="5" fillId="0" borderId="0" xfId="0" applyNumberFormat="1" applyFont="1" applyAlignment="1">
      <alignment horizontal="left" vertical="top"/>
    </xf>
    <xf numFmtId="0" fontId="7" fillId="3" borderId="9" xfId="0" applyFont="1" applyFill="1" applyBorder="1"/>
    <xf numFmtId="167" fontId="8" fillId="0" borderId="9" xfId="0" applyNumberFormat="1" applyFont="1" applyBorder="1"/>
    <xf numFmtId="0" fontId="5" fillId="0" borderId="0" xfId="0" applyFont="1"/>
    <xf numFmtId="166" fontId="5" fillId="0" borderId="0" xfId="0" applyNumberFormat="1" applyFont="1"/>
    <xf numFmtId="0" fontId="7" fillId="0" borderId="0" xfId="2" applyFont="1"/>
    <xf numFmtId="0" fontId="5" fillId="0" borderId="0" xfId="2" applyFont="1"/>
    <xf numFmtId="49" fontId="5" fillId="0" borderId="0" xfId="2" applyNumberFormat="1" applyFont="1" applyAlignment="1">
      <alignment horizontal="center"/>
    </xf>
    <xf numFmtId="49" fontId="5" fillId="0" borderId="0" xfId="2" applyNumberFormat="1" applyFont="1"/>
    <xf numFmtId="0" fontId="3" fillId="4" borderId="0" xfId="2" applyFont="1" applyFill="1" applyAlignment="1">
      <alignment horizontal="center"/>
    </xf>
    <xf numFmtId="164" fontId="3" fillId="4" borderId="0" xfId="2" applyNumberFormat="1" applyFont="1" applyFill="1" applyAlignment="1">
      <alignment horizontal="center"/>
    </xf>
    <xf numFmtId="0" fontId="7" fillId="5" borderId="9" xfId="2" applyFont="1" applyFill="1" applyBorder="1" applyAlignment="1">
      <alignment horizontal="center"/>
    </xf>
    <xf numFmtId="49" fontId="7" fillId="5" borderId="9" xfId="2" applyNumberFormat="1" applyFont="1" applyFill="1" applyBorder="1" applyAlignment="1">
      <alignment horizontal="center"/>
    </xf>
    <xf numFmtId="49" fontId="7" fillId="5" borderId="9" xfId="3" applyNumberFormat="1" applyFont="1" applyFill="1" applyBorder="1" applyAlignment="1">
      <alignment horizontal="center"/>
    </xf>
    <xf numFmtId="0" fontId="8" fillId="0" borderId="0" xfId="2" applyFont="1"/>
    <xf numFmtId="14" fontId="8" fillId="0" borderId="0" xfId="2" applyNumberFormat="1" applyFont="1"/>
    <xf numFmtId="164" fontId="8" fillId="6" borderId="0" xfId="4" applyFont="1" applyFill="1"/>
    <xf numFmtId="49" fontId="8" fillId="0" borderId="0" xfId="2" applyNumberFormat="1" applyFont="1"/>
    <xf numFmtId="164" fontId="6" fillId="0" borderId="0" xfId="4" applyFont="1"/>
    <xf numFmtId="0" fontId="8" fillId="0" borderId="0" xfId="3" applyFont="1"/>
    <xf numFmtId="0" fontId="8" fillId="0" borderId="0" xfId="3" applyFont="1" applyAlignment="1">
      <alignment horizontal="center"/>
    </xf>
    <xf numFmtId="49" fontId="8" fillId="0" borderId="0" xfId="3" applyNumberFormat="1" applyFont="1"/>
    <xf numFmtId="0" fontId="10" fillId="0" borderId="0" xfId="3" applyFont="1"/>
    <xf numFmtId="49" fontId="8" fillId="0" borderId="0" xfId="2" applyNumberFormat="1" applyFont="1" applyAlignment="1">
      <alignment horizontal="center"/>
    </xf>
    <xf numFmtId="167" fontId="5" fillId="0" borderId="0" xfId="0" applyNumberFormat="1" applyFont="1"/>
  </cellXfs>
  <cellStyles count="5">
    <cellStyle name="Millares" xfId="1" builtinId="3"/>
    <cellStyle name="Millares 2" xfId="4" xr:uid="{1F22A8F9-B863-49CF-BF5B-748A4BDB2B73}"/>
    <cellStyle name="Normal" xfId="0" builtinId="0"/>
    <cellStyle name="Normal 2" xfId="3" xr:uid="{C3F9DAEE-1F92-469C-B650-8C59BD07F55D}"/>
    <cellStyle name="Normal 3" xfId="2" xr:uid="{0B3574A4-463C-4F59-9912-A666EB5ACD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0AEFD-F88D-4E52-8FAC-BF8CDD294EC6}">
  <dimension ref="A1:H4254"/>
  <sheetViews>
    <sheetView tabSelected="1" workbookViewId="0">
      <pane ySplit="1" topLeftCell="A2" activePane="bottomLeft" state="frozen"/>
      <selection pane="bottomLeft" activeCell="A3" sqref="A3"/>
    </sheetView>
  </sheetViews>
  <sheetFormatPr baseColWidth="10" defaultColWidth="8.83203125" defaultRowHeight="11.25" x14ac:dyDescent="0.2"/>
  <cols>
    <col min="1" max="1" width="8.83203125" style="9"/>
    <col min="2" max="2" width="9" style="38" bestFit="1" customWidth="1"/>
    <col min="3" max="3" width="59.33203125" style="9" bestFit="1" customWidth="1"/>
    <col min="4" max="4" width="14.1640625" style="9" customWidth="1"/>
    <col min="5" max="5" width="14.33203125" style="9" customWidth="1"/>
    <col min="6" max="6" width="16.83203125" style="9" customWidth="1"/>
    <col min="7" max="7" width="12.33203125" style="9" bestFit="1" customWidth="1"/>
    <col min="8" max="16384" width="8.83203125" style="9"/>
  </cols>
  <sheetData>
    <row r="1" spans="1:8" s="2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8" x14ac:dyDescent="0.2">
      <c r="A2" s="3">
        <v>45535</v>
      </c>
      <c r="B2" s="4"/>
      <c r="C2" s="5" t="s">
        <v>6</v>
      </c>
      <c r="D2" s="6"/>
      <c r="E2" s="7"/>
      <c r="F2" s="8">
        <v>152562142.50999999</v>
      </c>
      <c r="H2" s="10"/>
    </row>
    <row r="3" spans="1:8" x14ac:dyDescent="0.2">
      <c r="A3" s="3">
        <v>45534</v>
      </c>
      <c r="B3" s="11">
        <v>16932</v>
      </c>
      <c r="C3" s="12" t="s">
        <v>7</v>
      </c>
      <c r="D3" s="13">
        <v>1485</v>
      </c>
      <c r="E3" s="14"/>
      <c r="F3" s="15">
        <f t="shared" ref="F3:F66" si="0">+F2+E3-D3</f>
        <v>152560657.50999999</v>
      </c>
      <c r="H3" s="10"/>
    </row>
    <row r="4" spans="1:8" x14ac:dyDescent="0.2">
      <c r="A4" s="3">
        <v>45534</v>
      </c>
      <c r="B4" s="16">
        <v>16932</v>
      </c>
      <c r="C4" s="17" t="s">
        <v>8</v>
      </c>
      <c r="D4" s="18">
        <v>311.85000000000002</v>
      </c>
      <c r="E4" s="19"/>
      <c r="F4" s="15">
        <f t="shared" si="0"/>
        <v>152560345.66</v>
      </c>
      <c r="H4" s="10"/>
    </row>
    <row r="5" spans="1:8" x14ac:dyDescent="0.2">
      <c r="A5" s="3">
        <v>45534</v>
      </c>
      <c r="B5" s="16">
        <v>16933</v>
      </c>
      <c r="C5" s="20" t="s">
        <v>7</v>
      </c>
      <c r="D5" s="18">
        <v>1485</v>
      </c>
      <c r="E5" s="19"/>
      <c r="F5" s="15">
        <f t="shared" si="0"/>
        <v>152558860.66</v>
      </c>
      <c r="H5" s="10"/>
    </row>
    <row r="6" spans="1:8" x14ac:dyDescent="0.2">
      <c r="A6" s="3">
        <v>45534</v>
      </c>
      <c r="B6" s="16">
        <v>16933</v>
      </c>
      <c r="C6" s="17" t="s">
        <v>8</v>
      </c>
      <c r="D6" s="18">
        <v>311.85000000000002</v>
      </c>
      <c r="E6" s="19"/>
      <c r="F6" s="15">
        <f t="shared" si="0"/>
        <v>152558548.81</v>
      </c>
      <c r="H6" s="10"/>
    </row>
    <row r="7" spans="1:8" x14ac:dyDescent="0.2">
      <c r="A7" s="3">
        <v>45534</v>
      </c>
      <c r="B7" s="16">
        <v>16934</v>
      </c>
      <c r="C7" s="20" t="s">
        <v>7</v>
      </c>
      <c r="D7" s="18">
        <v>1485</v>
      </c>
      <c r="E7" s="19"/>
      <c r="F7" s="15">
        <f t="shared" si="0"/>
        <v>152557063.81</v>
      </c>
      <c r="H7" s="10"/>
    </row>
    <row r="8" spans="1:8" x14ac:dyDescent="0.2">
      <c r="A8" s="3">
        <v>45534</v>
      </c>
      <c r="B8" s="16">
        <v>16934</v>
      </c>
      <c r="C8" s="17" t="s">
        <v>8</v>
      </c>
      <c r="D8" s="18">
        <v>311.85000000000002</v>
      </c>
      <c r="E8" s="19"/>
      <c r="F8" s="15">
        <f t="shared" si="0"/>
        <v>152556751.96000001</v>
      </c>
      <c r="H8" s="10"/>
    </row>
    <row r="9" spans="1:8" x14ac:dyDescent="0.2">
      <c r="A9" s="3">
        <v>45537</v>
      </c>
      <c r="B9" s="16">
        <v>31456</v>
      </c>
      <c r="C9" s="17" t="s">
        <v>9</v>
      </c>
      <c r="D9" s="18">
        <v>42470.15</v>
      </c>
      <c r="E9" s="19"/>
      <c r="F9" s="15">
        <f t="shared" si="0"/>
        <v>152514281.81</v>
      </c>
      <c r="H9" s="10"/>
    </row>
    <row r="10" spans="1:8" x14ac:dyDescent="0.2">
      <c r="A10" s="3">
        <v>45537</v>
      </c>
      <c r="B10" s="16">
        <v>31628</v>
      </c>
      <c r="C10" s="17" t="s">
        <v>9</v>
      </c>
      <c r="D10" s="18">
        <v>90800</v>
      </c>
      <c r="E10" s="19"/>
      <c r="F10" s="15">
        <f t="shared" si="0"/>
        <v>152423481.81</v>
      </c>
      <c r="H10" s="10"/>
    </row>
    <row r="11" spans="1:8" x14ac:dyDescent="0.2">
      <c r="A11" s="3">
        <v>45537</v>
      </c>
      <c r="B11" s="16">
        <v>31555</v>
      </c>
      <c r="C11" s="17" t="s">
        <v>9</v>
      </c>
      <c r="D11" s="18">
        <v>114270</v>
      </c>
      <c r="E11" s="19"/>
      <c r="F11" s="15">
        <f t="shared" si="0"/>
        <v>152309211.81</v>
      </c>
      <c r="H11" s="10"/>
    </row>
    <row r="12" spans="1:8" x14ac:dyDescent="0.2">
      <c r="A12" s="3">
        <v>45537</v>
      </c>
      <c r="B12" s="16">
        <v>31438</v>
      </c>
      <c r="C12" s="17" t="s">
        <v>9</v>
      </c>
      <c r="D12" s="18">
        <v>211908.08</v>
      </c>
      <c r="E12" s="19"/>
      <c r="F12" s="15">
        <f t="shared" si="0"/>
        <v>152097303.72999999</v>
      </c>
      <c r="H12" s="10"/>
    </row>
    <row r="13" spans="1:8" x14ac:dyDescent="0.2">
      <c r="A13" s="3">
        <v>45537</v>
      </c>
      <c r="B13" s="16">
        <v>31437</v>
      </c>
      <c r="C13" s="17" t="s">
        <v>9</v>
      </c>
      <c r="D13" s="18">
        <v>289417.59999999998</v>
      </c>
      <c r="E13" s="19"/>
      <c r="F13" s="15">
        <f t="shared" si="0"/>
        <v>151807886.13</v>
      </c>
      <c r="H13" s="10"/>
    </row>
    <row r="14" spans="1:8" x14ac:dyDescent="0.2">
      <c r="A14" s="3">
        <v>45537</v>
      </c>
      <c r="B14" s="16">
        <v>31658</v>
      </c>
      <c r="C14" s="17" t="s">
        <v>9</v>
      </c>
      <c r="D14" s="18">
        <v>296861</v>
      </c>
      <c r="E14" s="19"/>
      <c r="F14" s="15">
        <f t="shared" si="0"/>
        <v>151511025.13</v>
      </c>
      <c r="H14" s="10"/>
    </row>
    <row r="15" spans="1:8" x14ac:dyDescent="0.2">
      <c r="A15" s="3">
        <v>45537</v>
      </c>
      <c r="B15" s="16">
        <v>31659</v>
      </c>
      <c r="C15" s="17" t="s">
        <v>9</v>
      </c>
      <c r="D15" s="18">
        <v>296861</v>
      </c>
      <c r="E15" s="19"/>
      <c r="F15" s="15">
        <f t="shared" si="0"/>
        <v>151214164.13</v>
      </c>
      <c r="H15" s="10"/>
    </row>
    <row r="16" spans="1:8" x14ac:dyDescent="0.2">
      <c r="A16" s="3">
        <v>45537</v>
      </c>
      <c r="B16" s="16">
        <v>31554</v>
      </c>
      <c r="C16" s="17" t="s">
        <v>9</v>
      </c>
      <c r="D16" s="18">
        <v>443313.09</v>
      </c>
      <c r="E16" s="19"/>
      <c r="F16" s="15">
        <f t="shared" si="0"/>
        <v>150770851.03999999</v>
      </c>
      <c r="H16" s="10"/>
    </row>
    <row r="17" spans="1:8" x14ac:dyDescent="0.2">
      <c r="A17" s="3">
        <v>45537</v>
      </c>
      <c r="B17" s="16">
        <v>31606</v>
      </c>
      <c r="C17" s="17" t="s">
        <v>9</v>
      </c>
      <c r="D17" s="18">
        <v>470566.63</v>
      </c>
      <c r="E17" s="19"/>
      <c r="F17" s="15">
        <f t="shared" si="0"/>
        <v>150300284.41</v>
      </c>
      <c r="H17" s="10"/>
    </row>
    <row r="18" spans="1:8" x14ac:dyDescent="0.2">
      <c r="A18" s="3">
        <v>45537</v>
      </c>
      <c r="B18" s="16">
        <v>31548</v>
      </c>
      <c r="C18" s="17" t="s">
        <v>9</v>
      </c>
      <c r="D18" s="18">
        <v>582248.80000000005</v>
      </c>
      <c r="E18" s="19"/>
      <c r="F18" s="15">
        <f t="shared" si="0"/>
        <v>149718035.60999998</v>
      </c>
      <c r="H18" s="10"/>
    </row>
    <row r="19" spans="1:8" x14ac:dyDescent="0.2">
      <c r="A19" s="3">
        <v>45537</v>
      </c>
      <c r="B19" s="16">
        <v>31592</v>
      </c>
      <c r="C19" s="17" t="s">
        <v>9</v>
      </c>
      <c r="D19" s="18">
        <v>1188590.95</v>
      </c>
      <c r="E19" s="19"/>
      <c r="F19" s="15">
        <f t="shared" si="0"/>
        <v>148529444.66</v>
      </c>
      <c r="H19" s="10"/>
    </row>
    <row r="20" spans="1:8" x14ac:dyDescent="0.2">
      <c r="A20" s="3">
        <v>45537</v>
      </c>
      <c r="B20" s="16">
        <v>31590</v>
      </c>
      <c r="C20" s="17" t="s">
        <v>9</v>
      </c>
      <c r="D20" s="18">
        <v>3479451.6</v>
      </c>
      <c r="E20" s="19"/>
      <c r="F20" s="15">
        <f t="shared" si="0"/>
        <v>145049993.06</v>
      </c>
      <c r="H20" s="10"/>
    </row>
    <row r="21" spans="1:8" x14ac:dyDescent="0.2">
      <c r="A21" s="3">
        <v>45537</v>
      </c>
      <c r="B21" s="16">
        <v>31433</v>
      </c>
      <c r="C21" s="17" t="s">
        <v>9</v>
      </c>
      <c r="D21" s="18">
        <v>5000000</v>
      </c>
      <c r="E21" s="19"/>
      <c r="F21" s="15">
        <f t="shared" si="0"/>
        <v>140049993.06</v>
      </c>
      <c r="H21" s="10"/>
    </row>
    <row r="22" spans="1:8" x14ac:dyDescent="0.2">
      <c r="A22" s="3">
        <v>45537</v>
      </c>
      <c r="B22" s="21">
        <v>31598</v>
      </c>
      <c r="C22" s="22" t="s">
        <v>9</v>
      </c>
      <c r="D22" s="23">
        <v>11864837.869999999</v>
      </c>
      <c r="E22" s="24"/>
      <c r="F22" s="15">
        <f t="shared" si="0"/>
        <v>128185155.19</v>
      </c>
      <c r="H22" s="10"/>
    </row>
    <row r="23" spans="1:8" x14ac:dyDescent="0.2">
      <c r="A23" s="3">
        <v>45537</v>
      </c>
      <c r="B23" s="16">
        <v>24307</v>
      </c>
      <c r="C23" s="20" t="s">
        <v>10</v>
      </c>
      <c r="D23" s="25"/>
      <c r="E23" s="25">
        <v>5000000</v>
      </c>
      <c r="F23" s="15">
        <f t="shared" si="0"/>
        <v>133185155.19</v>
      </c>
      <c r="H23" s="10"/>
    </row>
    <row r="24" spans="1:8" x14ac:dyDescent="0.2">
      <c r="A24" s="3">
        <v>45537</v>
      </c>
      <c r="B24" s="16">
        <v>23506</v>
      </c>
      <c r="C24" s="20" t="s">
        <v>11</v>
      </c>
      <c r="D24" s="18">
        <v>6409311</v>
      </c>
      <c r="E24" s="19"/>
      <c r="F24" s="15">
        <f t="shared" si="0"/>
        <v>126775844.19</v>
      </c>
      <c r="H24" s="10"/>
    </row>
    <row r="25" spans="1:8" x14ac:dyDescent="0.2">
      <c r="A25" s="3">
        <v>45537</v>
      </c>
      <c r="B25" s="16">
        <v>31459</v>
      </c>
      <c r="C25" s="17" t="s">
        <v>12</v>
      </c>
      <c r="D25" s="18">
        <v>1179921.3999999999</v>
      </c>
      <c r="E25" s="19"/>
      <c r="F25" s="15">
        <f t="shared" si="0"/>
        <v>125595922.78999999</v>
      </c>
      <c r="H25" s="10"/>
    </row>
    <row r="26" spans="1:8" x14ac:dyDescent="0.2">
      <c r="A26" s="3">
        <v>45537</v>
      </c>
      <c r="B26" s="16">
        <v>31545</v>
      </c>
      <c r="C26" s="17" t="s">
        <v>12</v>
      </c>
      <c r="D26" s="18">
        <v>4805101</v>
      </c>
      <c r="E26" s="19"/>
      <c r="F26" s="15">
        <f t="shared" si="0"/>
        <v>120790821.78999999</v>
      </c>
      <c r="H26" s="10"/>
    </row>
    <row r="27" spans="1:8" x14ac:dyDescent="0.2">
      <c r="A27" s="3">
        <v>45537</v>
      </c>
      <c r="B27" s="26"/>
      <c r="C27" s="17" t="s">
        <v>13</v>
      </c>
      <c r="D27" s="18">
        <v>70786042</v>
      </c>
      <c r="E27" s="19"/>
      <c r="F27" s="15">
        <f t="shared" si="0"/>
        <v>50004779.789999992</v>
      </c>
      <c r="H27" s="10"/>
    </row>
    <row r="28" spans="1:8" x14ac:dyDescent="0.2">
      <c r="A28" s="3">
        <v>45537</v>
      </c>
      <c r="B28" s="26"/>
      <c r="C28" s="17" t="s">
        <v>14</v>
      </c>
      <c r="D28" s="18">
        <v>2243.2399999999998</v>
      </c>
      <c r="E28" s="19"/>
      <c r="F28" s="15">
        <f t="shared" si="0"/>
        <v>50002536.54999999</v>
      </c>
      <c r="H28" s="10"/>
    </row>
    <row r="29" spans="1:8" x14ac:dyDescent="0.2">
      <c r="A29" s="3">
        <v>45537</v>
      </c>
      <c r="B29" s="26"/>
      <c r="C29" s="17" t="s">
        <v>15</v>
      </c>
      <c r="D29" s="18">
        <v>471.08</v>
      </c>
      <c r="E29" s="19"/>
      <c r="F29" s="15">
        <f t="shared" si="0"/>
        <v>50002065.469999991</v>
      </c>
      <c r="H29" s="10"/>
    </row>
    <row r="30" spans="1:8" x14ac:dyDescent="0.2">
      <c r="A30" s="3">
        <v>45537</v>
      </c>
      <c r="B30" s="26"/>
      <c r="C30" s="17" t="s">
        <v>16</v>
      </c>
      <c r="D30" s="18">
        <v>645360.49</v>
      </c>
      <c r="E30" s="19"/>
      <c r="F30" s="15">
        <f t="shared" si="0"/>
        <v>49356704.979999989</v>
      </c>
      <c r="H30" s="10"/>
    </row>
    <row r="31" spans="1:8" x14ac:dyDescent="0.2">
      <c r="A31" s="3">
        <v>45538</v>
      </c>
      <c r="B31" s="16">
        <v>31633</v>
      </c>
      <c r="C31" s="17" t="s">
        <v>9</v>
      </c>
      <c r="D31" s="18">
        <v>95500.04</v>
      </c>
      <c r="E31" s="19"/>
      <c r="F31" s="15">
        <f t="shared" si="0"/>
        <v>49261204.93999999</v>
      </c>
      <c r="H31" s="10"/>
    </row>
    <row r="32" spans="1:8" x14ac:dyDescent="0.2">
      <c r="A32" s="3">
        <v>45538</v>
      </c>
      <c r="B32" s="16">
        <v>31625</v>
      </c>
      <c r="C32" s="17" t="s">
        <v>9</v>
      </c>
      <c r="D32" s="18">
        <v>145607.1</v>
      </c>
      <c r="E32" s="19"/>
      <c r="F32" s="15">
        <f t="shared" si="0"/>
        <v>49115597.839999989</v>
      </c>
      <c r="H32" s="10"/>
    </row>
    <row r="33" spans="1:8" x14ac:dyDescent="0.2">
      <c r="A33" s="3">
        <v>45538</v>
      </c>
      <c r="B33" s="16">
        <v>31499</v>
      </c>
      <c r="C33" s="17" t="s">
        <v>9</v>
      </c>
      <c r="D33" s="18">
        <v>205153</v>
      </c>
      <c r="E33" s="19"/>
      <c r="F33" s="15">
        <f t="shared" si="0"/>
        <v>48910444.839999989</v>
      </c>
      <c r="H33" s="10"/>
    </row>
    <row r="34" spans="1:8" x14ac:dyDescent="0.2">
      <c r="A34" s="3">
        <v>45538</v>
      </c>
      <c r="B34" s="16">
        <v>31635</v>
      </c>
      <c r="C34" s="17" t="s">
        <v>9</v>
      </c>
      <c r="D34" s="18">
        <v>394043</v>
      </c>
      <c r="E34" s="19"/>
      <c r="F34" s="15">
        <f t="shared" si="0"/>
        <v>48516401.839999989</v>
      </c>
      <c r="H34" s="10"/>
    </row>
    <row r="35" spans="1:8" x14ac:dyDescent="0.2">
      <c r="A35" s="3">
        <v>45538</v>
      </c>
      <c r="B35" s="16">
        <v>31608</v>
      </c>
      <c r="C35" s="17" t="s">
        <v>9</v>
      </c>
      <c r="D35" s="18">
        <v>441700</v>
      </c>
      <c r="E35" s="19"/>
      <c r="F35" s="15">
        <f t="shared" si="0"/>
        <v>48074701.839999989</v>
      </c>
      <c r="H35" s="10"/>
    </row>
    <row r="36" spans="1:8" x14ac:dyDescent="0.2">
      <c r="A36" s="3">
        <v>45538</v>
      </c>
      <c r="B36" s="16">
        <v>31687</v>
      </c>
      <c r="C36" s="17" t="s">
        <v>9</v>
      </c>
      <c r="D36" s="18">
        <v>960450</v>
      </c>
      <c r="E36" s="19"/>
      <c r="F36" s="15">
        <f t="shared" si="0"/>
        <v>47114251.839999989</v>
      </c>
      <c r="H36" s="10"/>
    </row>
    <row r="37" spans="1:8" x14ac:dyDescent="0.2">
      <c r="A37" s="3">
        <v>45538</v>
      </c>
      <c r="B37" s="16">
        <v>41354424</v>
      </c>
      <c r="C37" s="17" t="s">
        <v>17</v>
      </c>
      <c r="D37" s="18">
        <v>42158.76</v>
      </c>
      <c r="E37" s="19"/>
      <c r="F37" s="15">
        <f t="shared" si="0"/>
        <v>47072093.079999991</v>
      </c>
      <c r="H37" s="10"/>
    </row>
    <row r="38" spans="1:8" x14ac:dyDescent="0.2">
      <c r="A38" s="3">
        <v>45538</v>
      </c>
      <c r="B38" s="16">
        <v>7294909</v>
      </c>
      <c r="C38" s="20" t="s">
        <v>18</v>
      </c>
      <c r="D38" s="19"/>
      <c r="E38" s="18">
        <v>4812.8599999999997</v>
      </c>
      <c r="F38" s="15">
        <f t="shared" si="0"/>
        <v>47076905.93999999</v>
      </c>
      <c r="H38" s="10"/>
    </row>
    <row r="39" spans="1:8" x14ac:dyDescent="0.2">
      <c r="A39" s="3">
        <v>45538</v>
      </c>
      <c r="B39" s="16">
        <v>4226373</v>
      </c>
      <c r="C39" s="20" t="s">
        <v>19</v>
      </c>
      <c r="D39" s="18">
        <v>3282803.28</v>
      </c>
      <c r="E39" s="19"/>
      <c r="F39" s="15">
        <f t="shared" si="0"/>
        <v>43794102.659999989</v>
      </c>
      <c r="H39" s="10"/>
    </row>
    <row r="40" spans="1:8" x14ac:dyDescent="0.2">
      <c r="A40" s="3">
        <v>45538</v>
      </c>
      <c r="B40" s="16">
        <v>4226374</v>
      </c>
      <c r="C40" s="20" t="s">
        <v>20</v>
      </c>
      <c r="D40" s="18">
        <v>1863000</v>
      </c>
      <c r="E40" s="19"/>
      <c r="F40" s="15">
        <f t="shared" si="0"/>
        <v>41931102.659999989</v>
      </c>
      <c r="H40" s="10"/>
    </row>
    <row r="41" spans="1:8" x14ac:dyDescent="0.2">
      <c r="A41" s="3">
        <v>45538</v>
      </c>
      <c r="B41" s="16">
        <v>7715</v>
      </c>
      <c r="C41" s="20" t="s">
        <v>21</v>
      </c>
      <c r="D41" s="19"/>
      <c r="E41" s="18">
        <v>103690.67</v>
      </c>
      <c r="F41" s="15">
        <f t="shared" si="0"/>
        <v>42034793.329999991</v>
      </c>
      <c r="H41" s="10"/>
    </row>
    <row r="42" spans="1:8" x14ac:dyDescent="0.2">
      <c r="A42" s="3">
        <v>45538</v>
      </c>
      <c r="B42" s="16">
        <v>31502</v>
      </c>
      <c r="C42" s="17" t="s">
        <v>12</v>
      </c>
      <c r="D42" s="18">
        <v>207582.44</v>
      </c>
      <c r="E42" s="19"/>
      <c r="F42" s="15">
        <f t="shared" si="0"/>
        <v>41827210.889999993</v>
      </c>
      <c r="H42" s="10"/>
    </row>
    <row r="43" spans="1:8" x14ac:dyDescent="0.2">
      <c r="A43" s="3">
        <v>45538</v>
      </c>
      <c r="B43" s="16">
        <v>31410</v>
      </c>
      <c r="C43" s="17" t="s">
        <v>12</v>
      </c>
      <c r="D43" s="18">
        <v>483772.02</v>
      </c>
      <c r="E43" s="19"/>
      <c r="F43" s="15">
        <f t="shared" si="0"/>
        <v>41343438.86999999</v>
      </c>
      <c r="H43" s="10"/>
    </row>
    <row r="44" spans="1:8" x14ac:dyDescent="0.2">
      <c r="A44" s="3">
        <v>45538</v>
      </c>
      <c r="B44" s="26"/>
      <c r="C44" s="17" t="s">
        <v>16</v>
      </c>
      <c r="D44" s="18">
        <v>48730.61</v>
      </c>
      <c r="E44" s="19"/>
      <c r="F44" s="15">
        <f t="shared" si="0"/>
        <v>41294708.25999999</v>
      </c>
      <c r="H44" s="10"/>
    </row>
    <row r="45" spans="1:8" x14ac:dyDescent="0.2">
      <c r="A45" s="3">
        <v>45538</v>
      </c>
      <c r="B45" s="26"/>
      <c r="C45" s="17" t="s">
        <v>22</v>
      </c>
      <c r="D45" s="18">
        <v>651.02</v>
      </c>
      <c r="E45" s="19"/>
      <c r="F45" s="15">
        <f t="shared" si="0"/>
        <v>41294057.239999987</v>
      </c>
      <c r="H45" s="10"/>
    </row>
    <row r="46" spans="1:8" x14ac:dyDescent="0.2">
      <c r="A46" s="3">
        <v>45538</v>
      </c>
      <c r="B46" s="26"/>
      <c r="C46" s="20" t="s">
        <v>23</v>
      </c>
      <c r="D46" s="18">
        <v>1085.04</v>
      </c>
      <c r="E46" s="19"/>
      <c r="F46" s="15">
        <f t="shared" si="0"/>
        <v>41292972.199999988</v>
      </c>
      <c r="H46" s="10"/>
    </row>
    <row r="47" spans="1:8" x14ac:dyDescent="0.2">
      <c r="A47" s="3">
        <v>45539</v>
      </c>
      <c r="B47" s="16">
        <v>30000012</v>
      </c>
      <c r="C47" s="17" t="s">
        <v>24</v>
      </c>
      <c r="D47" s="19"/>
      <c r="E47" s="18">
        <v>159701.06</v>
      </c>
      <c r="F47" s="15">
        <f t="shared" si="0"/>
        <v>41452673.25999999</v>
      </c>
      <c r="H47" s="10"/>
    </row>
    <row r="48" spans="1:8" x14ac:dyDescent="0.2">
      <c r="A48" s="3">
        <v>45539</v>
      </c>
      <c r="B48" s="16">
        <v>31418</v>
      </c>
      <c r="C48" s="17" t="s">
        <v>9</v>
      </c>
      <c r="D48" s="18">
        <v>93857.13</v>
      </c>
      <c r="E48" s="19"/>
      <c r="F48" s="15">
        <f t="shared" si="0"/>
        <v>41358816.129999988</v>
      </c>
      <c r="H48" s="10"/>
    </row>
    <row r="49" spans="1:8" x14ac:dyDescent="0.2">
      <c r="A49" s="3">
        <v>45539</v>
      </c>
      <c r="B49" s="21">
        <v>31498</v>
      </c>
      <c r="C49" s="22" t="s">
        <v>9</v>
      </c>
      <c r="D49" s="23">
        <v>758000</v>
      </c>
      <c r="E49" s="24"/>
      <c r="F49" s="15">
        <f t="shared" si="0"/>
        <v>40600816.129999988</v>
      </c>
      <c r="H49" s="10"/>
    </row>
    <row r="50" spans="1:8" x14ac:dyDescent="0.2">
      <c r="A50" s="3">
        <v>45539</v>
      </c>
      <c r="B50" s="16">
        <v>31688</v>
      </c>
      <c r="C50" s="17" t="s">
        <v>9</v>
      </c>
      <c r="D50" s="18">
        <v>9494919</v>
      </c>
      <c r="E50" s="19"/>
      <c r="F50" s="15">
        <f t="shared" si="0"/>
        <v>31105897.129999988</v>
      </c>
      <c r="H50" s="10"/>
    </row>
    <row r="51" spans="1:8" x14ac:dyDescent="0.2">
      <c r="A51" s="3">
        <v>45539</v>
      </c>
      <c r="B51" s="16">
        <v>31371</v>
      </c>
      <c r="C51" s="17" t="s">
        <v>12</v>
      </c>
      <c r="D51" s="18">
        <v>4415322.62</v>
      </c>
      <c r="E51" s="19"/>
      <c r="F51" s="15">
        <f t="shared" si="0"/>
        <v>26690574.509999987</v>
      </c>
      <c r="H51" s="10"/>
    </row>
    <row r="52" spans="1:8" x14ac:dyDescent="0.2">
      <c r="A52" s="3">
        <v>45539</v>
      </c>
      <c r="B52" s="26"/>
      <c r="C52" s="17" t="s">
        <v>22</v>
      </c>
      <c r="D52" s="18">
        <v>958.21</v>
      </c>
      <c r="E52" s="19"/>
      <c r="F52" s="15">
        <f t="shared" si="0"/>
        <v>26689616.299999986</v>
      </c>
      <c r="H52" s="10"/>
    </row>
    <row r="53" spans="1:8" x14ac:dyDescent="0.2">
      <c r="A53" s="3">
        <v>45539</v>
      </c>
      <c r="B53" s="26"/>
      <c r="C53" s="17" t="s">
        <v>16</v>
      </c>
      <c r="D53" s="18">
        <v>88579.1</v>
      </c>
      <c r="E53" s="19"/>
      <c r="F53" s="15">
        <f t="shared" si="0"/>
        <v>26601037.199999984</v>
      </c>
      <c r="H53" s="10"/>
    </row>
    <row r="54" spans="1:8" x14ac:dyDescent="0.2">
      <c r="A54" s="3">
        <v>45539</v>
      </c>
      <c r="B54" s="26"/>
      <c r="C54" s="20" t="s">
        <v>25</v>
      </c>
      <c r="D54" s="18">
        <v>1597.01</v>
      </c>
      <c r="E54" s="19"/>
      <c r="F54" s="15">
        <f t="shared" si="0"/>
        <v>26599440.189999983</v>
      </c>
      <c r="H54" s="10"/>
    </row>
    <row r="55" spans="1:8" x14ac:dyDescent="0.2">
      <c r="A55" s="3">
        <v>45540</v>
      </c>
      <c r="B55" s="16">
        <v>926109</v>
      </c>
      <c r="C55" s="20" t="s">
        <v>26</v>
      </c>
      <c r="D55" s="18">
        <v>5000000</v>
      </c>
      <c r="E55" s="19"/>
      <c r="F55" s="15">
        <f t="shared" si="0"/>
        <v>21599440.189999983</v>
      </c>
      <c r="H55" s="10"/>
    </row>
    <row r="56" spans="1:8" x14ac:dyDescent="0.2">
      <c r="A56" s="3">
        <v>45540</v>
      </c>
      <c r="B56" s="16">
        <v>31477</v>
      </c>
      <c r="C56" s="17" t="s">
        <v>12</v>
      </c>
      <c r="D56" s="18">
        <v>111804</v>
      </c>
      <c r="E56" s="19"/>
      <c r="F56" s="15">
        <f t="shared" si="0"/>
        <v>21487636.189999983</v>
      </c>
      <c r="H56" s="10"/>
    </row>
    <row r="57" spans="1:8" x14ac:dyDescent="0.2">
      <c r="A57" s="3">
        <v>45540</v>
      </c>
      <c r="B57" s="26"/>
      <c r="C57" s="17" t="s">
        <v>16</v>
      </c>
      <c r="D57" s="18">
        <v>30680.400000000001</v>
      </c>
      <c r="E57" s="19"/>
      <c r="F57" s="15">
        <f t="shared" si="0"/>
        <v>21456955.789999984</v>
      </c>
      <c r="H57" s="10"/>
    </row>
    <row r="58" spans="1:8" x14ac:dyDescent="0.2">
      <c r="A58" s="3">
        <v>45541</v>
      </c>
      <c r="B58" s="16">
        <v>31576</v>
      </c>
      <c r="C58" s="17" t="s">
        <v>9</v>
      </c>
      <c r="D58" s="18">
        <v>49370</v>
      </c>
      <c r="E58" s="19"/>
      <c r="F58" s="15">
        <f t="shared" si="0"/>
        <v>21407585.789999984</v>
      </c>
      <c r="H58" s="10"/>
    </row>
    <row r="59" spans="1:8" x14ac:dyDescent="0.2">
      <c r="A59" s="3">
        <v>45541</v>
      </c>
      <c r="B59" s="16">
        <v>31681</v>
      </c>
      <c r="C59" s="17" t="s">
        <v>9</v>
      </c>
      <c r="D59" s="18">
        <v>104853.12</v>
      </c>
      <c r="E59" s="19"/>
      <c r="F59" s="15">
        <f t="shared" si="0"/>
        <v>21302732.669999983</v>
      </c>
      <c r="H59" s="10"/>
    </row>
    <row r="60" spans="1:8" x14ac:dyDescent="0.2">
      <c r="A60" s="3">
        <v>45541</v>
      </c>
      <c r="B60" s="16">
        <v>31629</v>
      </c>
      <c r="C60" s="17" t="s">
        <v>9</v>
      </c>
      <c r="D60" s="18">
        <v>106622.51</v>
      </c>
      <c r="E60" s="19"/>
      <c r="F60" s="15">
        <f t="shared" si="0"/>
        <v>21196110.159999982</v>
      </c>
      <c r="H60" s="10"/>
    </row>
    <row r="61" spans="1:8" x14ac:dyDescent="0.2">
      <c r="A61" s="3">
        <v>45541</v>
      </c>
      <c r="B61" s="16">
        <v>31695</v>
      </c>
      <c r="C61" s="17" t="s">
        <v>9</v>
      </c>
      <c r="D61" s="18">
        <v>2839000</v>
      </c>
      <c r="E61" s="19"/>
      <c r="F61" s="15">
        <f t="shared" si="0"/>
        <v>18357110.159999982</v>
      </c>
      <c r="H61" s="10"/>
    </row>
    <row r="62" spans="1:8" x14ac:dyDescent="0.2">
      <c r="A62" s="3">
        <v>45541</v>
      </c>
      <c r="B62" s="16">
        <v>31696</v>
      </c>
      <c r="C62" s="17" t="s">
        <v>9</v>
      </c>
      <c r="D62" s="18">
        <v>3415000</v>
      </c>
      <c r="E62" s="19"/>
      <c r="F62" s="15">
        <f t="shared" si="0"/>
        <v>14942110.159999982</v>
      </c>
      <c r="H62" s="10"/>
    </row>
    <row r="63" spans="1:8" x14ac:dyDescent="0.2">
      <c r="A63" s="3">
        <v>45541</v>
      </c>
      <c r="B63" s="16">
        <v>31637</v>
      </c>
      <c r="C63" s="17" t="s">
        <v>12</v>
      </c>
      <c r="D63" s="18">
        <v>72348.31</v>
      </c>
      <c r="E63" s="19"/>
      <c r="F63" s="15">
        <f t="shared" si="0"/>
        <v>14869761.849999981</v>
      </c>
      <c r="H63" s="10"/>
    </row>
    <row r="64" spans="1:8" x14ac:dyDescent="0.2">
      <c r="A64" s="3">
        <v>45541</v>
      </c>
      <c r="B64" s="26"/>
      <c r="C64" s="17" t="s">
        <v>16</v>
      </c>
      <c r="D64" s="18">
        <v>39523.17</v>
      </c>
      <c r="E64" s="19"/>
      <c r="F64" s="15">
        <f t="shared" si="0"/>
        <v>14830238.679999981</v>
      </c>
      <c r="H64" s="10"/>
    </row>
    <row r="65" spans="1:8" x14ac:dyDescent="0.2">
      <c r="A65" s="3">
        <v>45544</v>
      </c>
      <c r="B65" s="16">
        <v>31414</v>
      </c>
      <c r="C65" s="17" t="s">
        <v>9</v>
      </c>
      <c r="D65" s="18">
        <v>452529.61</v>
      </c>
      <c r="E65" s="19"/>
      <c r="F65" s="15">
        <f t="shared" si="0"/>
        <v>14377709.069999982</v>
      </c>
      <c r="H65" s="10"/>
    </row>
    <row r="66" spans="1:8" x14ac:dyDescent="0.2">
      <c r="A66" s="3">
        <v>45544</v>
      </c>
      <c r="B66" s="16">
        <v>31706</v>
      </c>
      <c r="C66" s="20" t="s">
        <v>27</v>
      </c>
      <c r="D66" s="18">
        <v>50000</v>
      </c>
      <c r="E66" s="19"/>
      <c r="F66" s="15">
        <f t="shared" si="0"/>
        <v>14327709.069999982</v>
      </c>
      <c r="H66" s="10"/>
    </row>
    <row r="67" spans="1:8" x14ac:dyDescent="0.2">
      <c r="A67" s="3">
        <v>45544</v>
      </c>
      <c r="B67" s="16">
        <v>31708</v>
      </c>
      <c r="C67" s="20" t="s">
        <v>28</v>
      </c>
      <c r="D67" s="18">
        <v>50000</v>
      </c>
      <c r="E67" s="19"/>
      <c r="F67" s="15">
        <f t="shared" ref="F67:F130" si="1">+F66+E67-D67</f>
        <v>14277709.069999982</v>
      </c>
      <c r="H67" s="10"/>
    </row>
    <row r="68" spans="1:8" x14ac:dyDescent="0.2">
      <c r="A68" s="3">
        <v>45544</v>
      </c>
      <c r="B68" s="16">
        <v>31707</v>
      </c>
      <c r="C68" s="20" t="s">
        <v>29</v>
      </c>
      <c r="D68" s="18">
        <v>50000</v>
      </c>
      <c r="E68" s="19"/>
      <c r="F68" s="15">
        <f t="shared" si="1"/>
        <v>14227709.069999982</v>
      </c>
      <c r="H68" s="10"/>
    </row>
    <row r="69" spans="1:8" x14ac:dyDescent="0.2">
      <c r="A69" s="3">
        <v>45544</v>
      </c>
      <c r="B69" s="16">
        <v>31709</v>
      </c>
      <c r="C69" s="20" t="s">
        <v>30</v>
      </c>
      <c r="D69" s="18">
        <v>50000</v>
      </c>
      <c r="E69" s="19"/>
      <c r="F69" s="15">
        <f t="shared" si="1"/>
        <v>14177709.069999982</v>
      </c>
      <c r="H69" s="10"/>
    </row>
    <row r="70" spans="1:8" x14ac:dyDescent="0.2">
      <c r="A70" s="3">
        <v>45544</v>
      </c>
      <c r="B70" s="16">
        <v>4070255</v>
      </c>
      <c r="C70" s="20" t="s">
        <v>31</v>
      </c>
      <c r="D70" s="18">
        <v>216000</v>
      </c>
      <c r="E70" s="19"/>
      <c r="F70" s="15">
        <f t="shared" si="1"/>
        <v>13961709.069999982</v>
      </c>
      <c r="H70" s="10"/>
    </row>
    <row r="71" spans="1:8" x14ac:dyDescent="0.2">
      <c r="A71" s="3">
        <v>45544</v>
      </c>
      <c r="B71" s="16">
        <v>15369532</v>
      </c>
      <c r="C71" s="20" t="s">
        <v>32</v>
      </c>
      <c r="D71" s="18">
        <v>68500</v>
      </c>
      <c r="E71" s="19"/>
      <c r="F71" s="15">
        <f t="shared" si="1"/>
        <v>13893209.069999982</v>
      </c>
      <c r="H71" s="10"/>
    </row>
    <row r="72" spans="1:8" x14ac:dyDescent="0.2">
      <c r="A72" s="3">
        <v>45544</v>
      </c>
      <c r="B72" s="16">
        <v>4070259</v>
      </c>
      <c r="C72" s="20" t="s">
        <v>33</v>
      </c>
      <c r="D72" s="18">
        <v>1350000</v>
      </c>
      <c r="E72" s="19"/>
      <c r="F72" s="15">
        <f t="shared" si="1"/>
        <v>12543209.069999982</v>
      </c>
      <c r="H72" s="10"/>
    </row>
    <row r="73" spans="1:8" x14ac:dyDescent="0.2">
      <c r="A73" s="3">
        <v>45544</v>
      </c>
      <c r="B73" s="16">
        <v>31594</v>
      </c>
      <c r="C73" s="17" t="s">
        <v>12</v>
      </c>
      <c r="D73" s="18">
        <v>187500</v>
      </c>
      <c r="E73" s="19"/>
      <c r="F73" s="15">
        <f t="shared" si="1"/>
        <v>12355709.069999982</v>
      </c>
      <c r="H73" s="10"/>
    </row>
    <row r="74" spans="1:8" x14ac:dyDescent="0.2">
      <c r="A74" s="3">
        <v>45544</v>
      </c>
      <c r="B74" s="16">
        <v>31686</v>
      </c>
      <c r="C74" s="17" t="s">
        <v>12</v>
      </c>
      <c r="D74" s="18">
        <v>187500</v>
      </c>
      <c r="E74" s="19"/>
      <c r="F74" s="15">
        <f t="shared" si="1"/>
        <v>12168209.069999982</v>
      </c>
      <c r="H74" s="10"/>
    </row>
    <row r="75" spans="1:8" x14ac:dyDescent="0.2">
      <c r="A75" s="3">
        <v>45544</v>
      </c>
      <c r="B75" s="26"/>
      <c r="C75" s="17" t="s">
        <v>16</v>
      </c>
      <c r="D75" s="18">
        <v>14772.18</v>
      </c>
      <c r="E75" s="19"/>
      <c r="F75" s="15">
        <f t="shared" si="1"/>
        <v>12153436.889999982</v>
      </c>
      <c r="H75" s="10"/>
    </row>
    <row r="76" spans="1:8" x14ac:dyDescent="0.2">
      <c r="A76" s="3">
        <v>45544</v>
      </c>
      <c r="B76" s="27"/>
      <c r="C76" s="22" t="s">
        <v>34</v>
      </c>
      <c r="D76" s="23">
        <v>2400</v>
      </c>
      <c r="E76" s="24"/>
      <c r="F76" s="15">
        <f t="shared" si="1"/>
        <v>12151036.889999982</v>
      </c>
      <c r="H76" s="10"/>
    </row>
    <row r="77" spans="1:8" x14ac:dyDescent="0.2">
      <c r="A77" s="3">
        <v>45544</v>
      </c>
      <c r="B77" s="16">
        <v>13753</v>
      </c>
      <c r="C77" s="20" t="s">
        <v>7</v>
      </c>
      <c r="D77" s="18">
        <v>720</v>
      </c>
      <c r="E77" s="19"/>
      <c r="F77" s="15">
        <f t="shared" si="1"/>
        <v>12150316.889999982</v>
      </c>
      <c r="H77" s="10"/>
    </row>
    <row r="78" spans="1:8" x14ac:dyDescent="0.2">
      <c r="A78" s="3">
        <v>45544</v>
      </c>
      <c r="B78" s="16">
        <v>13753</v>
      </c>
      <c r="C78" s="17" t="s">
        <v>8</v>
      </c>
      <c r="D78" s="18">
        <v>151.19999999999999</v>
      </c>
      <c r="E78" s="19"/>
      <c r="F78" s="15">
        <f t="shared" si="1"/>
        <v>12150165.689999983</v>
      </c>
      <c r="H78" s="10"/>
    </row>
    <row r="79" spans="1:8" x14ac:dyDescent="0.2">
      <c r="A79" s="3">
        <v>45544</v>
      </c>
      <c r="B79" s="16">
        <v>13754</v>
      </c>
      <c r="C79" s="20" t="s">
        <v>7</v>
      </c>
      <c r="D79" s="18">
        <v>1485</v>
      </c>
      <c r="E79" s="19"/>
      <c r="F79" s="15">
        <f t="shared" si="1"/>
        <v>12148680.689999983</v>
      </c>
      <c r="H79" s="10"/>
    </row>
    <row r="80" spans="1:8" x14ac:dyDescent="0.2">
      <c r="A80" s="3">
        <v>45544</v>
      </c>
      <c r="B80" s="16">
        <v>13754</v>
      </c>
      <c r="C80" s="17" t="s">
        <v>8</v>
      </c>
      <c r="D80" s="18">
        <v>311.85000000000002</v>
      </c>
      <c r="E80" s="19"/>
      <c r="F80" s="15">
        <f t="shared" si="1"/>
        <v>12148368.839999983</v>
      </c>
      <c r="H80" s="10"/>
    </row>
    <row r="81" spans="1:8" x14ac:dyDescent="0.2">
      <c r="A81" s="3">
        <v>45545</v>
      </c>
      <c r="B81" s="26"/>
      <c r="C81" s="20" t="s">
        <v>35</v>
      </c>
      <c r="D81" s="18">
        <v>4000</v>
      </c>
      <c r="E81" s="19"/>
      <c r="F81" s="15">
        <f t="shared" si="1"/>
        <v>12144368.839999983</v>
      </c>
      <c r="H81" s="10"/>
    </row>
    <row r="82" spans="1:8" x14ac:dyDescent="0.2">
      <c r="A82" s="3">
        <v>45545</v>
      </c>
      <c r="B82" s="26"/>
      <c r="C82" s="17" t="s">
        <v>36</v>
      </c>
      <c r="D82" s="18">
        <v>60</v>
      </c>
      <c r="E82" s="19"/>
      <c r="F82" s="15">
        <f t="shared" si="1"/>
        <v>12144308.839999983</v>
      </c>
      <c r="H82" s="10"/>
    </row>
    <row r="83" spans="1:8" x14ac:dyDescent="0.2">
      <c r="A83" s="3">
        <v>45545</v>
      </c>
      <c r="B83" s="26"/>
      <c r="C83" s="17" t="s">
        <v>8</v>
      </c>
      <c r="D83" s="18">
        <v>840</v>
      </c>
      <c r="E83" s="19"/>
      <c r="F83" s="15">
        <f t="shared" si="1"/>
        <v>12143468.839999983</v>
      </c>
      <c r="H83" s="10"/>
    </row>
    <row r="84" spans="1:8" x14ac:dyDescent="0.2">
      <c r="A84" s="3">
        <v>45545</v>
      </c>
      <c r="B84" s="26"/>
      <c r="C84" s="17" t="s">
        <v>37</v>
      </c>
      <c r="D84" s="18">
        <v>120</v>
      </c>
      <c r="E84" s="19"/>
      <c r="F84" s="15">
        <f t="shared" si="1"/>
        <v>12143348.839999983</v>
      </c>
      <c r="H84" s="10"/>
    </row>
    <row r="85" spans="1:8" x14ac:dyDescent="0.2">
      <c r="A85" s="3">
        <v>45545</v>
      </c>
      <c r="B85" s="16">
        <v>31615</v>
      </c>
      <c r="C85" s="17" t="s">
        <v>12</v>
      </c>
      <c r="D85" s="18">
        <v>31615.54</v>
      </c>
      <c r="E85" s="19"/>
      <c r="F85" s="15">
        <f t="shared" si="1"/>
        <v>12111733.299999984</v>
      </c>
      <c r="H85" s="10"/>
    </row>
    <row r="86" spans="1:8" x14ac:dyDescent="0.2">
      <c r="A86" s="3">
        <v>45545</v>
      </c>
      <c r="B86" s="26"/>
      <c r="C86" s="17" t="s">
        <v>16</v>
      </c>
      <c r="D86" s="18">
        <v>235.82</v>
      </c>
      <c r="E86" s="19"/>
      <c r="F86" s="15">
        <f t="shared" si="1"/>
        <v>12111497.479999984</v>
      </c>
      <c r="H86" s="10"/>
    </row>
    <row r="87" spans="1:8" x14ac:dyDescent="0.2">
      <c r="A87" s="3">
        <v>45546</v>
      </c>
      <c r="B87" s="16">
        <v>31671</v>
      </c>
      <c r="C87" s="17" t="s">
        <v>9</v>
      </c>
      <c r="D87" s="18">
        <v>50999.99</v>
      </c>
      <c r="E87" s="19"/>
      <c r="F87" s="15">
        <f t="shared" si="1"/>
        <v>12060497.489999983</v>
      </c>
      <c r="H87" s="10"/>
    </row>
    <row r="88" spans="1:8" x14ac:dyDescent="0.2">
      <c r="A88" s="3">
        <v>45546</v>
      </c>
      <c r="B88" s="16">
        <v>151124</v>
      </c>
      <c r="C88" s="20" t="s">
        <v>38</v>
      </c>
      <c r="D88" s="19"/>
      <c r="E88" s="18">
        <v>30591</v>
      </c>
      <c r="F88" s="15">
        <f t="shared" si="1"/>
        <v>12091088.489999983</v>
      </c>
      <c r="H88" s="10"/>
    </row>
    <row r="89" spans="1:8" x14ac:dyDescent="0.2">
      <c r="A89" s="3">
        <v>45546</v>
      </c>
      <c r="B89" s="16">
        <v>31397</v>
      </c>
      <c r="C89" s="17" t="s">
        <v>12</v>
      </c>
      <c r="D89" s="18">
        <v>126627.9</v>
      </c>
      <c r="E89" s="19"/>
      <c r="F89" s="15">
        <f t="shared" si="1"/>
        <v>11964460.589999983</v>
      </c>
      <c r="H89" s="10"/>
    </row>
    <row r="90" spans="1:8" x14ac:dyDescent="0.2">
      <c r="A90" s="3">
        <v>45546</v>
      </c>
      <c r="B90" s="16">
        <v>31621</v>
      </c>
      <c r="C90" s="17" t="s">
        <v>12</v>
      </c>
      <c r="D90" s="18">
        <v>133797</v>
      </c>
      <c r="E90" s="19"/>
      <c r="F90" s="15">
        <f t="shared" si="1"/>
        <v>11830663.589999983</v>
      </c>
      <c r="H90" s="10"/>
    </row>
    <row r="91" spans="1:8" x14ac:dyDescent="0.2">
      <c r="A91" s="3">
        <v>45546</v>
      </c>
      <c r="B91" s="26"/>
      <c r="C91" s="17" t="s">
        <v>16</v>
      </c>
      <c r="D91" s="18">
        <v>1868.55</v>
      </c>
      <c r="E91" s="19"/>
      <c r="F91" s="15">
        <f t="shared" si="1"/>
        <v>11828795.039999982</v>
      </c>
      <c r="H91" s="10"/>
    </row>
    <row r="92" spans="1:8" x14ac:dyDescent="0.2">
      <c r="A92" s="3">
        <v>45546</v>
      </c>
      <c r="B92" s="26"/>
      <c r="C92" s="17" t="s">
        <v>22</v>
      </c>
      <c r="D92" s="18">
        <v>183.55</v>
      </c>
      <c r="E92" s="19"/>
      <c r="F92" s="15">
        <f t="shared" si="1"/>
        <v>11828611.489999982</v>
      </c>
      <c r="H92" s="10"/>
    </row>
    <row r="93" spans="1:8" x14ac:dyDescent="0.2">
      <c r="A93" s="3">
        <v>45546</v>
      </c>
      <c r="B93" s="26"/>
      <c r="C93" s="20" t="s">
        <v>39</v>
      </c>
      <c r="D93" s="18">
        <v>305.91000000000003</v>
      </c>
      <c r="E93" s="19"/>
      <c r="F93" s="15">
        <f t="shared" si="1"/>
        <v>11828305.579999981</v>
      </c>
      <c r="H93" s="10"/>
    </row>
    <row r="94" spans="1:8" x14ac:dyDescent="0.2">
      <c r="A94" s="3">
        <v>45547</v>
      </c>
      <c r="B94" s="16">
        <v>8952487</v>
      </c>
      <c r="C94" s="20" t="s">
        <v>40</v>
      </c>
      <c r="D94" s="19"/>
      <c r="E94" s="18">
        <v>75752.7</v>
      </c>
      <c r="F94" s="15">
        <f t="shared" si="1"/>
        <v>11904058.279999981</v>
      </c>
      <c r="H94" s="10"/>
    </row>
    <row r="95" spans="1:8" x14ac:dyDescent="0.2">
      <c r="A95" s="3">
        <v>45547</v>
      </c>
      <c r="B95" s="16">
        <v>30916468</v>
      </c>
      <c r="C95" s="17" t="s">
        <v>41</v>
      </c>
      <c r="D95" s="18">
        <v>6000000</v>
      </c>
      <c r="E95" s="19"/>
      <c r="F95" s="15">
        <f t="shared" si="1"/>
        <v>5904058.2799999807</v>
      </c>
      <c r="H95" s="10"/>
    </row>
    <row r="96" spans="1:8" x14ac:dyDescent="0.2">
      <c r="A96" s="3">
        <v>45547</v>
      </c>
      <c r="B96" s="26"/>
      <c r="C96" s="17" t="s">
        <v>22</v>
      </c>
      <c r="D96" s="18">
        <v>454.52</v>
      </c>
      <c r="E96" s="19"/>
      <c r="F96" s="15">
        <f t="shared" si="1"/>
        <v>5903603.7599999812</v>
      </c>
      <c r="H96" s="10"/>
    </row>
    <row r="97" spans="1:8" x14ac:dyDescent="0.2">
      <c r="A97" s="3">
        <v>45547</v>
      </c>
      <c r="B97" s="26"/>
      <c r="C97" s="17" t="s">
        <v>16</v>
      </c>
      <c r="D97" s="18">
        <v>1.84</v>
      </c>
      <c r="E97" s="19"/>
      <c r="F97" s="15">
        <f t="shared" si="1"/>
        <v>5903601.9199999813</v>
      </c>
      <c r="H97" s="10"/>
    </row>
    <row r="98" spans="1:8" x14ac:dyDescent="0.2">
      <c r="A98" s="3">
        <v>45547</v>
      </c>
      <c r="B98" s="26"/>
      <c r="C98" s="20" t="s">
        <v>42</v>
      </c>
      <c r="D98" s="18">
        <v>757.53</v>
      </c>
      <c r="E98" s="19"/>
      <c r="F98" s="15">
        <f t="shared" si="1"/>
        <v>5902844.389999981</v>
      </c>
      <c r="H98" s="10"/>
    </row>
    <row r="99" spans="1:8" x14ac:dyDescent="0.2">
      <c r="A99" s="3">
        <v>45548</v>
      </c>
      <c r="B99" s="16">
        <v>3718818</v>
      </c>
      <c r="C99" s="20" t="s">
        <v>43</v>
      </c>
      <c r="D99" s="19"/>
      <c r="E99" s="18">
        <v>7500</v>
      </c>
      <c r="F99" s="15">
        <f t="shared" si="1"/>
        <v>5910344.389999981</v>
      </c>
      <c r="H99" s="10"/>
    </row>
    <row r="100" spans="1:8" x14ac:dyDescent="0.2">
      <c r="A100" s="3">
        <v>45548</v>
      </c>
      <c r="B100" s="16">
        <v>89444520</v>
      </c>
      <c r="C100" s="20" t="s">
        <v>44</v>
      </c>
      <c r="D100" s="18">
        <v>900000</v>
      </c>
      <c r="E100" s="19"/>
      <c r="F100" s="15">
        <f t="shared" si="1"/>
        <v>5010344.389999981</v>
      </c>
      <c r="H100" s="10"/>
    </row>
    <row r="101" spans="1:8" x14ac:dyDescent="0.2">
      <c r="A101" s="3">
        <v>45548</v>
      </c>
      <c r="B101" s="26"/>
      <c r="C101" s="17" t="s">
        <v>16</v>
      </c>
      <c r="D101" s="18">
        <v>5404.55</v>
      </c>
      <c r="E101" s="19"/>
      <c r="F101" s="15">
        <f t="shared" si="1"/>
        <v>5004939.8399999812</v>
      </c>
      <c r="H101" s="10"/>
    </row>
    <row r="102" spans="1:8" x14ac:dyDescent="0.2">
      <c r="A102" s="3">
        <v>45548</v>
      </c>
      <c r="B102" s="26"/>
      <c r="C102" s="17" t="s">
        <v>22</v>
      </c>
      <c r="D102" s="18">
        <v>45</v>
      </c>
      <c r="E102" s="19"/>
      <c r="F102" s="15">
        <f t="shared" si="1"/>
        <v>5004894.8399999812</v>
      </c>
      <c r="H102" s="10"/>
    </row>
    <row r="103" spans="1:8" x14ac:dyDescent="0.2">
      <c r="A103" s="3">
        <v>45548</v>
      </c>
      <c r="B103" s="27"/>
      <c r="C103" s="28" t="s">
        <v>45</v>
      </c>
      <c r="D103" s="23">
        <v>75</v>
      </c>
      <c r="E103" s="24"/>
      <c r="F103" s="15">
        <f t="shared" si="1"/>
        <v>5004819.8399999812</v>
      </c>
      <c r="H103" s="10"/>
    </row>
    <row r="104" spans="1:8" x14ac:dyDescent="0.2">
      <c r="A104" s="3">
        <v>45551</v>
      </c>
      <c r="B104" s="16">
        <v>30000014</v>
      </c>
      <c r="C104" s="17" t="s">
        <v>24</v>
      </c>
      <c r="D104" s="19"/>
      <c r="E104" s="18">
        <v>79966.399999999994</v>
      </c>
      <c r="F104" s="15">
        <f t="shared" si="1"/>
        <v>5084786.2399999816</v>
      </c>
      <c r="H104" s="10"/>
    </row>
    <row r="105" spans="1:8" x14ac:dyDescent="0.2">
      <c r="A105" s="3">
        <v>45551</v>
      </c>
      <c r="B105" s="16">
        <v>112512</v>
      </c>
      <c r="C105" s="20" t="s">
        <v>46</v>
      </c>
      <c r="D105" s="18">
        <v>46230.22</v>
      </c>
      <c r="E105" s="19"/>
      <c r="F105" s="15">
        <f t="shared" si="1"/>
        <v>5038556.0199999819</v>
      </c>
      <c r="H105" s="10"/>
    </row>
    <row r="106" spans="1:8" x14ac:dyDescent="0.2">
      <c r="A106" s="3">
        <v>45551</v>
      </c>
      <c r="B106" s="16">
        <v>112513</v>
      </c>
      <c r="C106" s="20" t="s">
        <v>46</v>
      </c>
      <c r="D106" s="18">
        <v>560536.18000000005</v>
      </c>
      <c r="E106" s="19"/>
      <c r="F106" s="15">
        <f t="shared" si="1"/>
        <v>4478019.8399999822</v>
      </c>
      <c r="H106" s="10"/>
    </row>
    <row r="107" spans="1:8" x14ac:dyDescent="0.2">
      <c r="A107" s="3">
        <v>45551</v>
      </c>
      <c r="B107" s="16">
        <v>166993</v>
      </c>
      <c r="C107" s="20" t="s">
        <v>46</v>
      </c>
      <c r="D107" s="18">
        <v>343480.17</v>
      </c>
      <c r="E107" s="19"/>
      <c r="F107" s="15">
        <f t="shared" si="1"/>
        <v>4134539.6699999822</v>
      </c>
      <c r="H107" s="10"/>
    </row>
    <row r="108" spans="1:8" x14ac:dyDescent="0.2">
      <c r="A108" s="3">
        <v>45551</v>
      </c>
      <c r="B108" s="16">
        <v>237155</v>
      </c>
      <c r="C108" s="20" t="s">
        <v>46</v>
      </c>
      <c r="D108" s="18">
        <v>1737095.4</v>
      </c>
      <c r="E108" s="19"/>
      <c r="F108" s="15">
        <f t="shared" si="1"/>
        <v>2397444.2699999823</v>
      </c>
      <c r="H108" s="10"/>
    </row>
    <row r="109" spans="1:8" x14ac:dyDescent="0.2">
      <c r="A109" s="3">
        <v>45551</v>
      </c>
      <c r="B109" s="16">
        <v>237158</v>
      </c>
      <c r="C109" s="20" t="s">
        <v>46</v>
      </c>
      <c r="D109" s="18">
        <v>2051744.02</v>
      </c>
      <c r="E109" s="19"/>
      <c r="F109" s="15">
        <f t="shared" si="1"/>
        <v>345700.2499999823</v>
      </c>
      <c r="H109" s="10"/>
    </row>
    <row r="110" spans="1:8" x14ac:dyDescent="0.2">
      <c r="A110" s="3">
        <v>45551</v>
      </c>
      <c r="B110" s="16">
        <v>31547</v>
      </c>
      <c r="C110" s="17" t="s">
        <v>12</v>
      </c>
      <c r="D110" s="18">
        <v>72000</v>
      </c>
      <c r="E110" s="19"/>
      <c r="F110" s="15">
        <f t="shared" si="1"/>
        <v>273700.2499999823</v>
      </c>
      <c r="H110" s="10"/>
    </row>
    <row r="111" spans="1:8" x14ac:dyDescent="0.2">
      <c r="A111" s="3">
        <v>45551</v>
      </c>
      <c r="B111" s="26"/>
      <c r="C111" s="17" t="s">
        <v>22</v>
      </c>
      <c r="D111" s="18">
        <v>479.8</v>
      </c>
      <c r="E111" s="19"/>
      <c r="F111" s="15">
        <f t="shared" si="1"/>
        <v>273220.44999998232</v>
      </c>
      <c r="H111" s="10"/>
    </row>
    <row r="112" spans="1:8" x14ac:dyDescent="0.2">
      <c r="A112" s="3">
        <v>45551</v>
      </c>
      <c r="B112" s="26"/>
      <c r="C112" s="17" t="s">
        <v>16</v>
      </c>
      <c r="D112" s="18">
        <v>28866.959999999999</v>
      </c>
      <c r="E112" s="19"/>
      <c r="F112" s="15">
        <f t="shared" si="1"/>
        <v>244353.48999998232</v>
      </c>
      <c r="H112" s="10"/>
    </row>
    <row r="113" spans="1:8" x14ac:dyDescent="0.2">
      <c r="A113" s="3">
        <v>45551</v>
      </c>
      <c r="B113" s="26"/>
      <c r="C113" s="20" t="s">
        <v>47</v>
      </c>
      <c r="D113" s="18">
        <v>799.66</v>
      </c>
      <c r="E113" s="19"/>
      <c r="F113" s="15">
        <f t="shared" si="1"/>
        <v>243553.82999998232</v>
      </c>
      <c r="H113" s="10"/>
    </row>
    <row r="114" spans="1:8" x14ac:dyDescent="0.2">
      <c r="A114" s="3">
        <v>45552</v>
      </c>
      <c r="B114" s="16">
        <v>140338</v>
      </c>
      <c r="C114" s="20" t="s">
        <v>10</v>
      </c>
      <c r="D114" s="25"/>
      <c r="E114" s="25">
        <v>20000000</v>
      </c>
      <c r="F114" s="15">
        <f t="shared" si="1"/>
        <v>20243553.829999983</v>
      </c>
      <c r="H114" s="10"/>
    </row>
    <row r="115" spans="1:8" x14ac:dyDescent="0.2">
      <c r="A115" s="3">
        <v>45552</v>
      </c>
      <c r="B115" s="16">
        <v>154892</v>
      </c>
      <c r="C115" s="20" t="s">
        <v>10</v>
      </c>
      <c r="D115" s="25"/>
      <c r="E115" s="25">
        <v>20000000</v>
      </c>
      <c r="F115" s="15">
        <f t="shared" si="1"/>
        <v>40243553.829999983</v>
      </c>
      <c r="H115" s="10"/>
    </row>
    <row r="116" spans="1:8" x14ac:dyDescent="0.2">
      <c r="A116" s="3">
        <v>45552</v>
      </c>
      <c r="B116" s="16">
        <v>165164</v>
      </c>
      <c r="C116" s="20" t="s">
        <v>10</v>
      </c>
      <c r="D116" s="25"/>
      <c r="E116" s="25">
        <v>20000000</v>
      </c>
      <c r="F116" s="15">
        <f t="shared" si="1"/>
        <v>60243553.829999983</v>
      </c>
      <c r="H116" s="10"/>
    </row>
    <row r="117" spans="1:8" x14ac:dyDescent="0.2">
      <c r="A117" s="3">
        <v>45552</v>
      </c>
      <c r="B117" s="16">
        <v>223572</v>
      </c>
      <c r="C117" s="20" t="s">
        <v>10</v>
      </c>
      <c r="D117" s="25"/>
      <c r="E117" s="25">
        <v>20000000</v>
      </c>
      <c r="F117" s="15">
        <f t="shared" si="1"/>
        <v>80243553.829999983</v>
      </c>
      <c r="H117" s="10"/>
    </row>
    <row r="118" spans="1:8" x14ac:dyDescent="0.2">
      <c r="A118" s="3">
        <v>45552</v>
      </c>
      <c r="B118" s="16">
        <v>91612221</v>
      </c>
      <c r="C118" s="20" t="s">
        <v>48</v>
      </c>
      <c r="D118" s="18">
        <v>100500</v>
      </c>
      <c r="E118" s="19"/>
      <c r="F118" s="15">
        <f t="shared" si="1"/>
        <v>80143053.829999983</v>
      </c>
      <c r="H118" s="10"/>
    </row>
    <row r="119" spans="1:8" x14ac:dyDescent="0.2">
      <c r="A119" s="3">
        <v>45552</v>
      </c>
      <c r="B119" s="16">
        <v>4247682</v>
      </c>
      <c r="C119" s="20" t="s">
        <v>49</v>
      </c>
      <c r="D119" s="18">
        <v>296861</v>
      </c>
      <c r="E119" s="19"/>
      <c r="F119" s="15">
        <f t="shared" si="1"/>
        <v>79846192.829999983</v>
      </c>
      <c r="H119" s="10"/>
    </row>
    <row r="120" spans="1:8" x14ac:dyDescent="0.2">
      <c r="A120" s="3">
        <v>45552</v>
      </c>
      <c r="B120" s="16">
        <v>4247683</v>
      </c>
      <c r="C120" s="20" t="s">
        <v>50</v>
      </c>
      <c r="D120" s="18">
        <v>76000</v>
      </c>
      <c r="E120" s="19"/>
      <c r="F120" s="15">
        <f t="shared" si="1"/>
        <v>79770192.829999983</v>
      </c>
      <c r="H120" s="10"/>
    </row>
    <row r="121" spans="1:8" x14ac:dyDescent="0.2">
      <c r="A121" s="3">
        <v>45552</v>
      </c>
      <c r="B121" s="16">
        <v>4247684</v>
      </c>
      <c r="C121" s="20" t="s">
        <v>51</v>
      </c>
      <c r="D121" s="18">
        <v>240000</v>
      </c>
      <c r="E121" s="19"/>
      <c r="F121" s="15">
        <f t="shared" si="1"/>
        <v>79530192.829999983</v>
      </c>
      <c r="H121" s="10"/>
    </row>
    <row r="122" spans="1:8" x14ac:dyDescent="0.2">
      <c r="A122" s="3">
        <v>45552</v>
      </c>
      <c r="B122" s="16">
        <v>72337</v>
      </c>
      <c r="C122" s="20" t="s">
        <v>11</v>
      </c>
      <c r="D122" s="18">
        <v>1023619</v>
      </c>
      <c r="E122" s="19"/>
      <c r="F122" s="15">
        <f t="shared" si="1"/>
        <v>78506573.829999983</v>
      </c>
      <c r="H122" s="10"/>
    </row>
    <row r="123" spans="1:8" x14ac:dyDescent="0.2">
      <c r="A123" s="3">
        <v>45552</v>
      </c>
      <c r="B123" s="16">
        <v>228199</v>
      </c>
      <c r="C123" s="20" t="s">
        <v>52</v>
      </c>
      <c r="D123" s="19"/>
      <c r="E123" s="18">
        <v>11660</v>
      </c>
      <c r="F123" s="15">
        <f t="shared" si="1"/>
        <v>78518233.829999983</v>
      </c>
      <c r="H123" s="10"/>
    </row>
    <row r="124" spans="1:8" x14ac:dyDescent="0.2">
      <c r="A124" s="3">
        <v>45552</v>
      </c>
      <c r="B124" s="16">
        <v>42596144</v>
      </c>
      <c r="C124" s="20" t="s">
        <v>53</v>
      </c>
      <c r="D124" s="18">
        <v>22504.66</v>
      </c>
      <c r="E124" s="19"/>
      <c r="F124" s="15">
        <f t="shared" si="1"/>
        <v>78495729.169999987</v>
      </c>
      <c r="H124" s="10"/>
    </row>
    <row r="125" spans="1:8" x14ac:dyDescent="0.2">
      <c r="A125" s="3">
        <v>45552</v>
      </c>
      <c r="B125" s="16">
        <v>44532477</v>
      </c>
      <c r="C125" s="20" t="s">
        <v>54</v>
      </c>
      <c r="D125" s="18">
        <v>65725.210000000006</v>
      </c>
      <c r="E125" s="19"/>
      <c r="F125" s="15">
        <f t="shared" si="1"/>
        <v>78430003.959999993</v>
      </c>
      <c r="H125" s="10"/>
    </row>
    <row r="126" spans="1:8" x14ac:dyDescent="0.2">
      <c r="A126" s="3">
        <v>45552</v>
      </c>
      <c r="B126" s="21">
        <v>45690670</v>
      </c>
      <c r="C126" s="28" t="s">
        <v>55</v>
      </c>
      <c r="D126" s="23">
        <v>88457.93</v>
      </c>
      <c r="E126" s="24"/>
      <c r="F126" s="15">
        <f t="shared" si="1"/>
        <v>78341546.029999986</v>
      </c>
      <c r="H126" s="10"/>
    </row>
    <row r="127" spans="1:8" x14ac:dyDescent="0.2">
      <c r="A127" s="3">
        <v>45552</v>
      </c>
      <c r="B127" s="16">
        <v>46791681</v>
      </c>
      <c r="C127" s="20" t="s">
        <v>56</v>
      </c>
      <c r="D127" s="18">
        <v>107456.54</v>
      </c>
      <c r="E127" s="19"/>
      <c r="F127" s="15">
        <f t="shared" si="1"/>
        <v>78234089.48999998</v>
      </c>
      <c r="H127" s="10"/>
    </row>
    <row r="128" spans="1:8" x14ac:dyDescent="0.2">
      <c r="A128" s="3">
        <v>45552</v>
      </c>
      <c r="B128" s="16">
        <v>47742095</v>
      </c>
      <c r="C128" s="20" t="s">
        <v>57</v>
      </c>
      <c r="D128" s="18">
        <v>125520.65</v>
      </c>
      <c r="E128" s="19"/>
      <c r="F128" s="15">
        <f t="shared" si="1"/>
        <v>78108568.839999974</v>
      </c>
      <c r="H128" s="10"/>
    </row>
    <row r="129" spans="1:8" x14ac:dyDescent="0.2">
      <c r="A129" s="3">
        <v>45552</v>
      </c>
      <c r="B129" s="26"/>
      <c r="C129" s="17" t="s">
        <v>13</v>
      </c>
      <c r="D129" s="18">
        <v>15991341</v>
      </c>
      <c r="E129" s="19"/>
      <c r="F129" s="15">
        <f t="shared" si="1"/>
        <v>62117227.839999974</v>
      </c>
      <c r="H129" s="10"/>
    </row>
    <row r="130" spans="1:8" x14ac:dyDescent="0.2">
      <c r="A130" s="3">
        <v>45552</v>
      </c>
      <c r="B130" s="26"/>
      <c r="C130" s="17" t="s">
        <v>15</v>
      </c>
      <c r="D130" s="18">
        <v>75.239999999999995</v>
      </c>
      <c r="E130" s="19"/>
      <c r="F130" s="15">
        <f t="shared" si="1"/>
        <v>62117152.599999972</v>
      </c>
      <c r="H130" s="10"/>
    </row>
    <row r="131" spans="1:8" x14ac:dyDescent="0.2">
      <c r="A131" s="3">
        <v>45552</v>
      </c>
      <c r="B131" s="26"/>
      <c r="C131" s="17" t="s">
        <v>14</v>
      </c>
      <c r="D131" s="18">
        <v>358.28</v>
      </c>
      <c r="E131" s="19"/>
      <c r="F131" s="15">
        <f t="shared" ref="F131:F194" si="2">+F130+E131-D131</f>
        <v>62116794.31999997</v>
      </c>
      <c r="H131" s="10"/>
    </row>
    <row r="132" spans="1:8" x14ac:dyDescent="0.2">
      <c r="A132" s="3">
        <v>45552</v>
      </c>
      <c r="B132" s="26"/>
      <c r="C132" s="17" t="s">
        <v>16</v>
      </c>
      <c r="D132" s="18">
        <v>108835.32</v>
      </c>
      <c r="E132" s="19"/>
      <c r="F132" s="15">
        <f t="shared" si="2"/>
        <v>62007958.99999997</v>
      </c>
      <c r="H132" s="10"/>
    </row>
    <row r="133" spans="1:8" x14ac:dyDescent="0.2">
      <c r="A133" s="3">
        <v>45552</v>
      </c>
      <c r="B133" s="26"/>
      <c r="C133" s="17" t="s">
        <v>22</v>
      </c>
      <c r="D133" s="18">
        <v>69.959999999999994</v>
      </c>
      <c r="E133" s="19"/>
      <c r="F133" s="15">
        <f t="shared" si="2"/>
        <v>62007889.039999969</v>
      </c>
      <c r="H133" s="10"/>
    </row>
    <row r="134" spans="1:8" x14ac:dyDescent="0.2">
      <c r="A134" s="3">
        <v>45552</v>
      </c>
      <c r="B134" s="16">
        <v>12427</v>
      </c>
      <c r="C134" s="20" t="s">
        <v>7</v>
      </c>
      <c r="D134" s="18">
        <v>720</v>
      </c>
      <c r="E134" s="19"/>
      <c r="F134" s="15">
        <f t="shared" si="2"/>
        <v>62007169.039999969</v>
      </c>
      <c r="H134" s="10"/>
    </row>
    <row r="135" spans="1:8" x14ac:dyDescent="0.2">
      <c r="A135" s="3">
        <v>45552</v>
      </c>
      <c r="B135" s="16">
        <v>12427</v>
      </c>
      <c r="C135" s="17" t="s">
        <v>8</v>
      </c>
      <c r="D135" s="18">
        <v>151.19999999999999</v>
      </c>
      <c r="E135" s="19"/>
      <c r="F135" s="15">
        <f t="shared" si="2"/>
        <v>62007017.839999966</v>
      </c>
      <c r="H135" s="10"/>
    </row>
    <row r="136" spans="1:8" x14ac:dyDescent="0.2">
      <c r="A136" s="3">
        <v>45552</v>
      </c>
      <c r="B136" s="16">
        <v>12428</v>
      </c>
      <c r="C136" s="20" t="s">
        <v>7</v>
      </c>
      <c r="D136" s="18">
        <v>720</v>
      </c>
      <c r="E136" s="19"/>
      <c r="F136" s="15">
        <f t="shared" si="2"/>
        <v>62006297.839999966</v>
      </c>
      <c r="H136" s="10"/>
    </row>
    <row r="137" spans="1:8" x14ac:dyDescent="0.2">
      <c r="A137" s="3">
        <v>45552</v>
      </c>
      <c r="B137" s="16">
        <v>12428</v>
      </c>
      <c r="C137" s="17" t="s">
        <v>8</v>
      </c>
      <c r="D137" s="18">
        <v>151.19999999999999</v>
      </c>
      <c r="E137" s="19"/>
      <c r="F137" s="15">
        <f t="shared" si="2"/>
        <v>62006146.639999963</v>
      </c>
      <c r="H137" s="10"/>
    </row>
    <row r="138" spans="1:8" x14ac:dyDescent="0.2">
      <c r="A138" s="3">
        <v>45552</v>
      </c>
      <c r="B138" s="16">
        <v>12429</v>
      </c>
      <c r="C138" s="20" t="s">
        <v>7</v>
      </c>
      <c r="D138" s="18">
        <v>720</v>
      </c>
      <c r="E138" s="19"/>
      <c r="F138" s="15">
        <f t="shared" si="2"/>
        <v>62005426.639999963</v>
      </c>
      <c r="H138" s="10"/>
    </row>
    <row r="139" spans="1:8" x14ac:dyDescent="0.2">
      <c r="A139" s="3">
        <v>45552</v>
      </c>
      <c r="B139" s="16">
        <v>12429</v>
      </c>
      <c r="C139" s="17" t="s">
        <v>8</v>
      </c>
      <c r="D139" s="18">
        <v>151.19999999999999</v>
      </c>
      <c r="E139" s="19"/>
      <c r="F139" s="15">
        <f t="shared" si="2"/>
        <v>62005275.43999996</v>
      </c>
      <c r="H139" s="10"/>
    </row>
    <row r="140" spans="1:8" x14ac:dyDescent="0.2">
      <c r="A140" s="3">
        <v>45552</v>
      </c>
      <c r="B140" s="16">
        <v>12430</v>
      </c>
      <c r="C140" s="20" t="s">
        <v>7</v>
      </c>
      <c r="D140" s="18">
        <v>720</v>
      </c>
      <c r="E140" s="19"/>
      <c r="F140" s="15">
        <f t="shared" si="2"/>
        <v>62004555.43999996</v>
      </c>
      <c r="H140" s="10"/>
    </row>
    <row r="141" spans="1:8" x14ac:dyDescent="0.2">
      <c r="A141" s="3">
        <v>45552</v>
      </c>
      <c r="B141" s="16">
        <v>12430</v>
      </c>
      <c r="C141" s="17" t="s">
        <v>8</v>
      </c>
      <c r="D141" s="18">
        <v>151.19999999999999</v>
      </c>
      <c r="E141" s="19"/>
      <c r="F141" s="15">
        <f t="shared" si="2"/>
        <v>62004404.239999957</v>
      </c>
      <c r="H141" s="10"/>
    </row>
    <row r="142" spans="1:8" x14ac:dyDescent="0.2">
      <c r="A142" s="3">
        <v>45552</v>
      </c>
      <c r="B142" s="26"/>
      <c r="C142" s="20" t="s">
        <v>58</v>
      </c>
      <c r="D142" s="18">
        <v>116.6</v>
      </c>
      <c r="E142" s="19"/>
      <c r="F142" s="15">
        <f t="shared" si="2"/>
        <v>62004287.639999956</v>
      </c>
      <c r="H142" s="10"/>
    </row>
    <row r="143" spans="1:8" x14ac:dyDescent="0.2">
      <c r="A143" s="3">
        <v>45553</v>
      </c>
      <c r="B143" s="16">
        <v>31400</v>
      </c>
      <c r="C143" s="17" t="s">
        <v>9</v>
      </c>
      <c r="D143" s="18">
        <v>128188.42</v>
      </c>
      <c r="E143" s="19"/>
      <c r="F143" s="15">
        <f t="shared" si="2"/>
        <v>61876099.219999954</v>
      </c>
      <c r="H143" s="10"/>
    </row>
    <row r="144" spans="1:8" x14ac:dyDescent="0.2">
      <c r="A144" s="3">
        <v>45553</v>
      </c>
      <c r="B144" s="16">
        <v>4035078</v>
      </c>
      <c r="C144" s="20" t="s">
        <v>59</v>
      </c>
      <c r="D144" s="18">
        <v>2621880.9900000002</v>
      </c>
      <c r="E144" s="19"/>
      <c r="F144" s="15">
        <f t="shared" si="2"/>
        <v>59254218.229999952</v>
      </c>
      <c r="H144" s="10"/>
    </row>
    <row r="145" spans="1:8" x14ac:dyDescent="0.2">
      <c r="A145" s="3">
        <v>45553</v>
      </c>
      <c r="B145" s="16">
        <v>4035079</v>
      </c>
      <c r="C145" s="20" t="s">
        <v>60</v>
      </c>
      <c r="D145" s="18">
        <v>1210000</v>
      </c>
      <c r="E145" s="19"/>
      <c r="F145" s="15">
        <f t="shared" si="2"/>
        <v>58044218.229999952</v>
      </c>
      <c r="H145" s="10"/>
    </row>
    <row r="146" spans="1:8" x14ac:dyDescent="0.2">
      <c r="A146" s="3">
        <v>45553</v>
      </c>
      <c r="B146" s="16">
        <v>31419</v>
      </c>
      <c r="C146" s="17" t="s">
        <v>12</v>
      </c>
      <c r="D146" s="18">
        <v>8687627.5</v>
      </c>
      <c r="E146" s="19"/>
      <c r="F146" s="15">
        <f t="shared" si="2"/>
        <v>49356590.729999952</v>
      </c>
      <c r="H146" s="10"/>
    </row>
    <row r="147" spans="1:8" x14ac:dyDescent="0.2">
      <c r="A147" s="3">
        <v>45553</v>
      </c>
      <c r="B147" s="26"/>
      <c r="C147" s="17" t="s">
        <v>16</v>
      </c>
      <c r="D147" s="18">
        <v>75907.81</v>
      </c>
      <c r="E147" s="19"/>
      <c r="F147" s="15">
        <f t="shared" si="2"/>
        <v>49280682.91999995</v>
      </c>
      <c r="H147" s="10"/>
    </row>
    <row r="148" spans="1:8" x14ac:dyDescent="0.2">
      <c r="A148" s="3">
        <v>45553</v>
      </c>
      <c r="B148" s="16">
        <v>12267</v>
      </c>
      <c r="C148" s="20" t="s">
        <v>7</v>
      </c>
      <c r="D148" s="18">
        <v>1485</v>
      </c>
      <c r="E148" s="19"/>
      <c r="F148" s="15">
        <f t="shared" si="2"/>
        <v>49279197.91999995</v>
      </c>
      <c r="H148" s="10"/>
    </row>
    <row r="149" spans="1:8" x14ac:dyDescent="0.2">
      <c r="A149" s="3">
        <v>45553</v>
      </c>
      <c r="B149" s="16">
        <v>12267</v>
      </c>
      <c r="C149" s="17" t="s">
        <v>8</v>
      </c>
      <c r="D149" s="18">
        <v>311.85000000000002</v>
      </c>
      <c r="E149" s="19"/>
      <c r="F149" s="15">
        <f t="shared" si="2"/>
        <v>49278886.069999948</v>
      </c>
      <c r="H149" s="10"/>
    </row>
    <row r="150" spans="1:8" x14ac:dyDescent="0.2">
      <c r="A150" s="3">
        <v>45553</v>
      </c>
      <c r="B150" s="16">
        <v>12268</v>
      </c>
      <c r="C150" s="20" t="s">
        <v>7</v>
      </c>
      <c r="D150" s="18">
        <v>1485</v>
      </c>
      <c r="E150" s="19"/>
      <c r="F150" s="15">
        <f t="shared" si="2"/>
        <v>49277401.069999948</v>
      </c>
      <c r="H150" s="10"/>
    </row>
    <row r="151" spans="1:8" x14ac:dyDescent="0.2">
      <c r="A151" s="3">
        <v>45553</v>
      </c>
      <c r="B151" s="16">
        <v>12268</v>
      </c>
      <c r="C151" s="17" t="s">
        <v>8</v>
      </c>
      <c r="D151" s="18">
        <v>311.85000000000002</v>
      </c>
      <c r="E151" s="19"/>
      <c r="F151" s="15">
        <f t="shared" si="2"/>
        <v>49277089.219999947</v>
      </c>
      <c r="H151" s="10"/>
    </row>
    <row r="152" spans="1:8" x14ac:dyDescent="0.2">
      <c r="A152" s="3">
        <v>45554</v>
      </c>
      <c r="B152" s="21">
        <v>16481475</v>
      </c>
      <c r="C152" s="28" t="s">
        <v>61</v>
      </c>
      <c r="D152" s="23">
        <v>76123.850000000006</v>
      </c>
      <c r="E152" s="24"/>
      <c r="F152" s="15">
        <f t="shared" si="2"/>
        <v>49200965.369999945</v>
      </c>
      <c r="H152" s="10"/>
    </row>
    <row r="153" spans="1:8" x14ac:dyDescent="0.2">
      <c r="A153" s="3">
        <v>45554</v>
      </c>
      <c r="B153" s="16">
        <v>17387334</v>
      </c>
      <c r="C153" s="20" t="s">
        <v>62</v>
      </c>
      <c r="D153" s="18">
        <v>4600.32</v>
      </c>
      <c r="E153" s="19"/>
      <c r="F153" s="15">
        <f t="shared" si="2"/>
        <v>49196365.049999945</v>
      </c>
      <c r="H153" s="10"/>
    </row>
    <row r="154" spans="1:8" x14ac:dyDescent="0.2">
      <c r="A154" s="3">
        <v>45554</v>
      </c>
      <c r="B154" s="16">
        <v>18431787</v>
      </c>
      <c r="C154" s="20" t="s">
        <v>63</v>
      </c>
      <c r="D154" s="18">
        <v>17653.82</v>
      </c>
      <c r="E154" s="19"/>
      <c r="F154" s="15">
        <f t="shared" si="2"/>
        <v>49178711.229999945</v>
      </c>
      <c r="H154" s="10"/>
    </row>
    <row r="155" spans="1:8" x14ac:dyDescent="0.2">
      <c r="A155" s="3">
        <v>45554</v>
      </c>
      <c r="B155" s="16">
        <v>19562037</v>
      </c>
      <c r="C155" s="20" t="s">
        <v>64</v>
      </c>
      <c r="D155" s="18">
        <v>353727.04</v>
      </c>
      <c r="E155" s="19"/>
      <c r="F155" s="15">
        <f t="shared" si="2"/>
        <v>48824984.189999945</v>
      </c>
      <c r="H155" s="10"/>
    </row>
    <row r="156" spans="1:8" x14ac:dyDescent="0.2">
      <c r="A156" s="3">
        <v>45554</v>
      </c>
      <c r="B156" s="16">
        <v>20585067</v>
      </c>
      <c r="C156" s="20" t="s">
        <v>65</v>
      </c>
      <c r="D156" s="18">
        <v>136815.07999999999</v>
      </c>
      <c r="E156" s="19"/>
      <c r="F156" s="15">
        <f t="shared" si="2"/>
        <v>48688169.109999947</v>
      </c>
      <c r="H156" s="10"/>
    </row>
    <row r="157" spans="1:8" x14ac:dyDescent="0.2">
      <c r="A157" s="3">
        <v>45554</v>
      </c>
      <c r="B157" s="16">
        <v>21540045</v>
      </c>
      <c r="C157" s="20" t="s">
        <v>66</v>
      </c>
      <c r="D157" s="18">
        <v>468580.64</v>
      </c>
      <c r="E157" s="19"/>
      <c r="F157" s="15">
        <f t="shared" si="2"/>
        <v>48219588.469999947</v>
      </c>
      <c r="H157" s="10"/>
    </row>
    <row r="158" spans="1:8" x14ac:dyDescent="0.2">
      <c r="A158" s="3">
        <v>45554</v>
      </c>
      <c r="B158" s="16">
        <v>22849407</v>
      </c>
      <c r="C158" s="20" t="s">
        <v>67</v>
      </c>
      <c r="D158" s="18">
        <v>24667.1</v>
      </c>
      <c r="E158" s="19"/>
      <c r="F158" s="15">
        <f t="shared" si="2"/>
        <v>48194921.369999945</v>
      </c>
      <c r="H158" s="10"/>
    </row>
    <row r="159" spans="1:8" x14ac:dyDescent="0.2">
      <c r="A159" s="3">
        <v>45554</v>
      </c>
      <c r="B159" s="16">
        <v>23723420</v>
      </c>
      <c r="C159" s="20" t="s">
        <v>68</v>
      </c>
      <c r="D159" s="18">
        <v>14690.18</v>
      </c>
      <c r="E159" s="19"/>
      <c r="F159" s="15">
        <f t="shared" si="2"/>
        <v>48180231.189999945</v>
      </c>
      <c r="H159" s="10"/>
    </row>
    <row r="160" spans="1:8" x14ac:dyDescent="0.2">
      <c r="A160" s="3">
        <v>45554</v>
      </c>
      <c r="B160" s="16">
        <v>40939367</v>
      </c>
      <c r="C160" s="20" t="s">
        <v>69</v>
      </c>
      <c r="D160" s="18">
        <v>27748.83</v>
      </c>
      <c r="E160" s="19"/>
      <c r="F160" s="15">
        <f t="shared" si="2"/>
        <v>48152482.359999947</v>
      </c>
      <c r="H160" s="10"/>
    </row>
    <row r="161" spans="1:8" x14ac:dyDescent="0.2">
      <c r="A161" s="3">
        <v>45554</v>
      </c>
      <c r="B161" s="16">
        <v>41955022</v>
      </c>
      <c r="C161" s="20" t="s">
        <v>70</v>
      </c>
      <c r="D161" s="18">
        <v>20846.12</v>
      </c>
      <c r="E161" s="19"/>
      <c r="F161" s="15">
        <f t="shared" si="2"/>
        <v>48131636.23999995</v>
      </c>
      <c r="H161" s="10"/>
    </row>
    <row r="162" spans="1:8" x14ac:dyDescent="0.2">
      <c r="A162" s="3">
        <v>45554</v>
      </c>
      <c r="B162" s="16">
        <v>42925598</v>
      </c>
      <c r="C162" s="20" t="s">
        <v>71</v>
      </c>
      <c r="D162" s="18">
        <v>142132.76</v>
      </c>
      <c r="E162" s="19"/>
      <c r="F162" s="15">
        <f t="shared" si="2"/>
        <v>47989503.479999952</v>
      </c>
      <c r="H162" s="10"/>
    </row>
    <row r="163" spans="1:8" x14ac:dyDescent="0.2">
      <c r="A163" s="3">
        <v>45554</v>
      </c>
      <c r="B163" s="16">
        <v>31611</v>
      </c>
      <c r="C163" s="17" t="s">
        <v>9</v>
      </c>
      <c r="D163" s="18">
        <v>2225363</v>
      </c>
      <c r="E163" s="19"/>
      <c r="F163" s="15">
        <f t="shared" si="2"/>
        <v>45764140.479999952</v>
      </c>
      <c r="H163" s="10"/>
    </row>
    <row r="164" spans="1:8" x14ac:dyDescent="0.2">
      <c r="A164" s="3">
        <v>45554</v>
      </c>
      <c r="B164" s="16">
        <v>192468</v>
      </c>
      <c r="C164" s="20" t="s">
        <v>72</v>
      </c>
      <c r="D164" s="19"/>
      <c r="E164" s="18">
        <v>118373.7</v>
      </c>
      <c r="F164" s="15">
        <f t="shared" si="2"/>
        <v>45882514.179999955</v>
      </c>
      <c r="H164" s="10"/>
    </row>
    <row r="165" spans="1:8" x14ac:dyDescent="0.2">
      <c r="A165" s="3">
        <v>45554</v>
      </c>
      <c r="B165" s="26"/>
      <c r="C165" s="17" t="s">
        <v>16</v>
      </c>
      <c r="D165" s="18">
        <v>21099.24</v>
      </c>
      <c r="E165" s="19"/>
      <c r="F165" s="15">
        <f t="shared" si="2"/>
        <v>45861414.939999953</v>
      </c>
      <c r="H165" s="10"/>
    </row>
    <row r="166" spans="1:8" x14ac:dyDescent="0.2">
      <c r="A166" s="3">
        <v>45554</v>
      </c>
      <c r="B166" s="26"/>
      <c r="C166" s="17" t="s">
        <v>22</v>
      </c>
      <c r="D166" s="18">
        <v>710.24</v>
      </c>
      <c r="E166" s="19"/>
      <c r="F166" s="15">
        <f t="shared" si="2"/>
        <v>45860704.699999951</v>
      </c>
      <c r="H166" s="10"/>
    </row>
    <row r="167" spans="1:8" x14ac:dyDescent="0.2">
      <c r="A167" s="3">
        <v>45554</v>
      </c>
      <c r="B167" s="26"/>
      <c r="C167" s="20" t="s">
        <v>73</v>
      </c>
      <c r="D167" s="18">
        <v>1183.74</v>
      </c>
      <c r="E167" s="19"/>
      <c r="F167" s="15">
        <f t="shared" si="2"/>
        <v>45859520.959999949</v>
      </c>
      <c r="H167" s="10"/>
    </row>
    <row r="168" spans="1:8" x14ac:dyDescent="0.2">
      <c r="A168" s="3">
        <v>45555</v>
      </c>
      <c r="B168" s="16">
        <v>271491</v>
      </c>
      <c r="C168" s="20" t="s">
        <v>74</v>
      </c>
      <c r="D168" s="19"/>
      <c r="E168" s="18">
        <v>19540.22</v>
      </c>
      <c r="F168" s="15">
        <f t="shared" si="2"/>
        <v>45879061.179999948</v>
      </c>
      <c r="H168" s="10"/>
    </row>
    <row r="169" spans="1:8" x14ac:dyDescent="0.2">
      <c r="A169" s="3">
        <v>45555</v>
      </c>
      <c r="B169" s="26"/>
      <c r="C169" s="17" t="s">
        <v>16</v>
      </c>
      <c r="D169" s="18">
        <v>7.1</v>
      </c>
      <c r="E169" s="19"/>
      <c r="F169" s="15">
        <f t="shared" si="2"/>
        <v>45879054.079999946</v>
      </c>
      <c r="H169" s="10"/>
    </row>
    <row r="170" spans="1:8" x14ac:dyDescent="0.2">
      <c r="A170" s="3">
        <v>45555</v>
      </c>
      <c r="B170" s="26"/>
      <c r="C170" s="17" t="s">
        <v>22</v>
      </c>
      <c r="D170" s="18">
        <v>117.24</v>
      </c>
      <c r="E170" s="19"/>
      <c r="F170" s="15">
        <f t="shared" si="2"/>
        <v>45878936.839999944</v>
      </c>
      <c r="H170" s="10"/>
    </row>
    <row r="171" spans="1:8" x14ac:dyDescent="0.2">
      <c r="A171" s="3">
        <v>45555</v>
      </c>
      <c r="B171" s="26"/>
      <c r="C171" s="20" t="s">
        <v>75</v>
      </c>
      <c r="D171" s="18">
        <v>195.4</v>
      </c>
      <c r="E171" s="19"/>
      <c r="F171" s="15">
        <f t="shared" si="2"/>
        <v>45878741.439999945</v>
      </c>
      <c r="H171" s="10"/>
    </row>
    <row r="172" spans="1:8" x14ac:dyDescent="0.2">
      <c r="A172" s="3">
        <v>45558</v>
      </c>
      <c r="B172" s="16">
        <v>2331</v>
      </c>
      <c r="C172" s="20" t="s">
        <v>76</v>
      </c>
      <c r="D172" s="18">
        <v>600701</v>
      </c>
      <c r="E172" s="19"/>
      <c r="F172" s="15">
        <f t="shared" si="2"/>
        <v>45278040.439999945</v>
      </c>
      <c r="H172" s="10"/>
    </row>
    <row r="173" spans="1:8" x14ac:dyDescent="0.2">
      <c r="A173" s="3">
        <v>45558</v>
      </c>
      <c r="B173" s="16">
        <v>221906</v>
      </c>
      <c r="C173" s="20" t="s">
        <v>10</v>
      </c>
      <c r="D173" s="25"/>
      <c r="E173" s="25">
        <v>20000000</v>
      </c>
      <c r="F173" s="15">
        <f t="shared" si="2"/>
        <v>65278040.439999945</v>
      </c>
      <c r="H173" s="10"/>
    </row>
    <row r="174" spans="1:8" x14ac:dyDescent="0.2">
      <c r="A174" s="3">
        <v>45558</v>
      </c>
      <c r="B174" s="16">
        <v>202388</v>
      </c>
      <c r="C174" s="20" t="s">
        <v>10</v>
      </c>
      <c r="D174" s="25"/>
      <c r="E174" s="25">
        <v>20000000</v>
      </c>
      <c r="F174" s="15">
        <f t="shared" si="2"/>
        <v>85278040.439999938</v>
      </c>
      <c r="H174" s="10"/>
    </row>
    <row r="175" spans="1:8" x14ac:dyDescent="0.2">
      <c r="A175" s="3">
        <v>45558</v>
      </c>
      <c r="B175" s="21">
        <v>225347</v>
      </c>
      <c r="C175" s="28" t="s">
        <v>10</v>
      </c>
      <c r="D175" s="29"/>
      <c r="E175" s="29">
        <v>20000000</v>
      </c>
      <c r="F175" s="15">
        <f t="shared" si="2"/>
        <v>105278040.43999994</v>
      </c>
      <c r="H175" s="10"/>
    </row>
    <row r="176" spans="1:8" x14ac:dyDescent="0.2">
      <c r="A176" s="3">
        <v>45558</v>
      </c>
      <c r="B176" s="16">
        <v>225364</v>
      </c>
      <c r="C176" s="20" t="s">
        <v>10</v>
      </c>
      <c r="D176" s="25"/>
      <c r="E176" s="25">
        <v>20000000</v>
      </c>
      <c r="F176" s="15">
        <f t="shared" si="2"/>
        <v>125278040.43999994</v>
      </c>
      <c r="H176" s="10"/>
    </row>
    <row r="177" spans="1:8" x14ac:dyDescent="0.2">
      <c r="A177" s="3">
        <v>45558</v>
      </c>
      <c r="B177" s="16">
        <v>222012</v>
      </c>
      <c r="C177" s="20" t="s">
        <v>10</v>
      </c>
      <c r="D177" s="25"/>
      <c r="E177" s="25">
        <v>20000000</v>
      </c>
      <c r="F177" s="15">
        <f t="shared" si="2"/>
        <v>145278040.43999994</v>
      </c>
      <c r="H177" s="10"/>
    </row>
    <row r="178" spans="1:8" x14ac:dyDescent="0.2">
      <c r="A178" s="3">
        <v>45558</v>
      </c>
      <c r="B178" s="16">
        <v>95613996</v>
      </c>
      <c r="C178" s="20" t="s">
        <v>48</v>
      </c>
      <c r="D178" s="18">
        <v>303700</v>
      </c>
      <c r="E178" s="19"/>
      <c r="F178" s="15">
        <f t="shared" si="2"/>
        <v>144974340.43999994</v>
      </c>
      <c r="H178" s="10"/>
    </row>
    <row r="179" spans="1:8" x14ac:dyDescent="0.2">
      <c r="A179" s="3">
        <v>45558</v>
      </c>
      <c r="B179" s="16">
        <v>4299695</v>
      </c>
      <c r="C179" s="20" t="s">
        <v>77</v>
      </c>
      <c r="D179" s="18">
        <v>126500</v>
      </c>
      <c r="E179" s="19"/>
      <c r="F179" s="15">
        <f t="shared" si="2"/>
        <v>144847840.43999994</v>
      </c>
      <c r="H179" s="10"/>
    </row>
    <row r="180" spans="1:8" x14ac:dyDescent="0.2">
      <c r="A180" s="3">
        <v>45558</v>
      </c>
      <c r="B180" s="16">
        <v>4299696</v>
      </c>
      <c r="C180" s="20" t="s">
        <v>78</v>
      </c>
      <c r="D180" s="18">
        <v>195000</v>
      </c>
      <c r="E180" s="19"/>
      <c r="F180" s="15">
        <f t="shared" si="2"/>
        <v>144652840.43999994</v>
      </c>
      <c r="H180" s="10"/>
    </row>
    <row r="181" spans="1:8" x14ac:dyDescent="0.2">
      <c r="A181" s="3">
        <v>45558</v>
      </c>
      <c r="B181" s="16">
        <v>4299697</v>
      </c>
      <c r="C181" s="20" t="s">
        <v>79</v>
      </c>
      <c r="D181" s="18">
        <v>223000</v>
      </c>
      <c r="E181" s="19"/>
      <c r="F181" s="15">
        <f t="shared" si="2"/>
        <v>144429840.43999994</v>
      </c>
      <c r="H181" s="10"/>
    </row>
    <row r="182" spans="1:8" x14ac:dyDescent="0.2">
      <c r="A182" s="3">
        <v>45558</v>
      </c>
      <c r="B182" s="16">
        <v>14394495</v>
      </c>
      <c r="C182" s="20" t="s">
        <v>80</v>
      </c>
      <c r="D182" s="18">
        <v>9400</v>
      </c>
      <c r="E182" s="19"/>
      <c r="F182" s="15">
        <f t="shared" si="2"/>
        <v>144420440.43999994</v>
      </c>
      <c r="H182" s="10"/>
    </row>
    <row r="183" spans="1:8" x14ac:dyDescent="0.2">
      <c r="A183" s="3">
        <v>45558</v>
      </c>
      <c r="B183" s="26"/>
      <c r="C183" s="17" t="s">
        <v>16</v>
      </c>
      <c r="D183" s="18">
        <v>8750.98</v>
      </c>
      <c r="E183" s="19"/>
      <c r="F183" s="15">
        <f t="shared" si="2"/>
        <v>144411689.45999995</v>
      </c>
      <c r="H183" s="10"/>
    </row>
    <row r="184" spans="1:8" x14ac:dyDescent="0.2">
      <c r="A184" s="3">
        <v>45558</v>
      </c>
      <c r="B184" s="16">
        <v>12993</v>
      </c>
      <c r="C184" s="20" t="s">
        <v>7</v>
      </c>
      <c r="D184" s="18">
        <v>720</v>
      </c>
      <c r="E184" s="19"/>
      <c r="F184" s="15">
        <f t="shared" si="2"/>
        <v>144410969.45999995</v>
      </c>
      <c r="H184" s="10"/>
    </row>
    <row r="185" spans="1:8" x14ac:dyDescent="0.2">
      <c r="A185" s="3">
        <v>45558</v>
      </c>
      <c r="B185" s="16">
        <v>12993</v>
      </c>
      <c r="C185" s="17" t="s">
        <v>8</v>
      </c>
      <c r="D185" s="18">
        <v>151.19999999999999</v>
      </c>
      <c r="E185" s="19"/>
      <c r="F185" s="15">
        <f t="shared" si="2"/>
        <v>144410818.25999996</v>
      </c>
      <c r="H185" s="10"/>
    </row>
    <row r="186" spans="1:8" x14ac:dyDescent="0.2">
      <c r="A186" s="3">
        <v>45558</v>
      </c>
      <c r="B186" s="16">
        <v>12994</v>
      </c>
      <c r="C186" s="20" t="s">
        <v>7</v>
      </c>
      <c r="D186" s="18">
        <v>720</v>
      </c>
      <c r="E186" s="19"/>
      <c r="F186" s="15">
        <f t="shared" si="2"/>
        <v>144410098.25999996</v>
      </c>
      <c r="H186" s="10"/>
    </row>
    <row r="187" spans="1:8" x14ac:dyDescent="0.2">
      <c r="A187" s="3">
        <v>45558</v>
      </c>
      <c r="B187" s="16">
        <v>12994</v>
      </c>
      <c r="C187" s="17" t="s">
        <v>8</v>
      </c>
      <c r="D187" s="18">
        <v>151.19999999999999</v>
      </c>
      <c r="E187" s="19"/>
      <c r="F187" s="15">
        <f t="shared" si="2"/>
        <v>144409947.05999997</v>
      </c>
      <c r="H187" s="10"/>
    </row>
    <row r="188" spans="1:8" x14ac:dyDescent="0.2">
      <c r="A188" s="3">
        <v>45558</v>
      </c>
      <c r="B188" s="16">
        <v>12995</v>
      </c>
      <c r="C188" s="20" t="s">
        <v>7</v>
      </c>
      <c r="D188" s="18">
        <v>720</v>
      </c>
      <c r="E188" s="19"/>
      <c r="F188" s="15">
        <f t="shared" si="2"/>
        <v>144409227.05999997</v>
      </c>
      <c r="H188" s="10"/>
    </row>
    <row r="189" spans="1:8" x14ac:dyDescent="0.2">
      <c r="A189" s="3">
        <v>45558</v>
      </c>
      <c r="B189" s="16">
        <v>12995</v>
      </c>
      <c r="C189" s="17" t="s">
        <v>8</v>
      </c>
      <c r="D189" s="18">
        <v>151.19999999999999</v>
      </c>
      <c r="E189" s="19"/>
      <c r="F189" s="15">
        <f t="shared" si="2"/>
        <v>144409075.85999998</v>
      </c>
      <c r="H189" s="10"/>
    </row>
    <row r="190" spans="1:8" x14ac:dyDescent="0.2">
      <c r="A190" s="3">
        <v>45558</v>
      </c>
      <c r="B190" s="16">
        <v>12996</v>
      </c>
      <c r="C190" s="20" t="s">
        <v>7</v>
      </c>
      <c r="D190" s="18">
        <v>1485</v>
      </c>
      <c r="E190" s="19"/>
      <c r="F190" s="15">
        <f t="shared" si="2"/>
        <v>144407590.85999998</v>
      </c>
      <c r="H190" s="10"/>
    </row>
    <row r="191" spans="1:8" x14ac:dyDescent="0.2">
      <c r="A191" s="3">
        <v>45558</v>
      </c>
      <c r="B191" s="16">
        <v>12996</v>
      </c>
      <c r="C191" s="17" t="s">
        <v>8</v>
      </c>
      <c r="D191" s="18">
        <v>311.85000000000002</v>
      </c>
      <c r="E191" s="19"/>
      <c r="F191" s="15">
        <f t="shared" si="2"/>
        <v>144407279.00999999</v>
      </c>
      <c r="H191" s="10"/>
    </row>
    <row r="192" spans="1:8" x14ac:dyDescent="0.2">
      <c r="A192" s="3">
        <v>45559</v>
      </c>
      <c r="B192" s="16">
        <v>5470664</v>
      </c>
      <c r="C192" s="20" t="s">
        <v>81</v>
      </c>
      <c r="D192" s="19"/>
      <c r="E192" s="18">
        <v>53199.49</v>
      </c>
      <c r="F192" s="15">
        <f t="shared" si="2"/>
        <v>144460478.5</v>
      </c>
      <c r="H192" s="10"/>
    </row>
    <row r="193" spans="1:8" x14ac:dyDescent="0.2">
      <c r="A193" s="3">
        <v>45559</v>
      </c>
      <c r="B193" s="16">
        <v>5553997</v>
      </c>
      <c r="C193" s="20" t="s">
        <v>82</v>
      </c>
      <c r="D193" s="19"/>
      <c r="E193" s="18">
        <v>83097.19</v>
      </c>
      <c r="F193" s="15">
        <f t="shared" si="2"/>
        <v>144543575.69</v>
      </c>
      <c r="H193" s="10"/>
    </row>
    <row r="194" spans="1:8" x14ac:dyDescent="0.2">
      <c r="A194" s="3">
        <v>45559</v>
      </c>
      <c r="B194" s="26"/>
      <c r="C194" s="17" t="s">
        <v>22</v>
      </c>
      <c r="D194" s="18">
        <v>817.78</v>
      </c>
      <c r="E194" s="19"/>
      <c r="F194" s="15">
        <f t="shared" si="2"/>
        <v>144542757.91</v>
      </c>
      <c r="H194" s="10"/>
    </row>
    <row r="195" spans="1:8" x14ac:dyDescent="0.2">
      <c r="A195" s="3">
        <v>45559</v>
      </c>
      <c r="B195" s="26"/>
      <c r="C195" s="17" t="s">
        <v>16</v>
      </c>
      <c r="D195" s="18">
        <v>26.47</v>
      </c>
      <c r="E195" s="19"/>
      <c r="F195" s="15">
        <f t="shared" ref="F195:F258" si="3">+F194+E195-D195</f>
        <v>144542731.44</v>
      </c>
      <c r="H195" s="10"/>
    </row>
    <row r="196" spans="1:8" x14ac:dyDescent="0.2">
      <c r="A196" s="3">
        <v>45559</v>
      </c>
      <c r="B196" s="26"/>
      <c r="C196" s="20" t="s">
        <v>83</v>
      </c>
      <c r="D196" s="18">
        <v>1362.96</v>
      </c>
      <c r="E196" s="19"/>
      <c r="F196" s="15">
        <f t="shared" si="3"/>
        <v>144541368.47999999</v>
      </c>
      <c r="H196" s="10"/>
    </row>
    <row r="197" spans="1:8" x14ac:dyDescent="0.2">
      <c r="A197" s="3">
        <v>45560</v>
      </c>
      <c r="B197" s="16">
        <v>221655</v>
      </c>
      <c r="C197" s="20" t="s">
        <v>10</v>
      </c>
      <c r="D197" s="25"/>
      <c r="E197" s="25">
        <v>20000000</v>
      </c>
      <c r="F197" s="15">
        <f t="shared" si="3"/>
        <v>164541368.47999999</v>
      </c>
      <c r="H197" s="10"/>
    </row>
    <row r="198" spans="1:8" x14ac:dyDescent="0.2">
      <c r="A198" s="3">
        <v>45560</v>
      </c>
      <c r="B198" s="16">
        <v>310392</v>
      </c>
      <c r="C198" s="20" t="s">
        <v>10</v>
      </c>
      <c r="D198" s="25"/>
      <c r="E198" s="25">
        <v>20000000</v>
      </c>
      <c r="F198" s="15">
        <f t="shared" si="3"/>
        <v>184541368.47999999</v>
      </c>
      <c r="H198" s="10"/>
    </row>
    <row r="199" spans="1:8" x14ac:dyDescent="0.2">
      <c r="A199" s="3">
        <v>45560</v>
      </c>
      <c r="B199" s="21">
        <v>221684</v>
      </c>
      <c r="C199" s="28" t="s">
        <v>10</v>
      </c>
      <c r="D199" s="29"/>
      <c r="E199" s="29">
        <v>20000000</v>
      </c>
      <c r="F199" s="15">
        <f t="shared" si="3"/>
        <v>204541368.47999999</v>
      </c>
      <c r="H199" s="10"/>
    </row>
    <row r="200" spans="1:8" x14ac:dyDescent="0.2">
      <c r="A200" s="3">
        <v>45560</v>
      </c>
      <c r="B200" s="16">
        <v>12704764</v>
      </c>
      <c r="C200" s="20" t="s">
        <v>84</v>
      </c>
      <c r="D200" s="18">
        <v>3457100</v>
      </c>
      <c r="E200" s="19"/>
      <c r="F200" s="15">
        <f t="shared" si="3"/>
        <v>201084268.47999999</v>
      </c>
      <c r="H200" s="10"/>
    </row>
    <row r="201" spans="1:8" x14ac:dyDescent="0.2">
      <c r="A201" s="3">
        <v>45560</v>
      </c>
      <c r="B201" s="16">
        <v>12704765</v>
      </c>
      <c r="C201" s="20" t="s">
        <v>84</v>
      </c>
      <c r="D201" s="18">
        <v>787810</v>
      </c>
      <c r="E201" s="19"/>
      <c r="F201" s="15">
        <f t="shared" si="3"/>
        <v>200296458.47999999</v>
      </c>
      <c r="H201" s="10"/>
    </row>
    <row r="202" spans="1:8" x14ac:dyDescent="0.2">
      <c r="A202" s="3">
        <v>45560</v>
      </c>
      <c r="B202" s="16">
        <v>12704766</v>
      </c>
      <c r="C202" s="20" t="s">
        <v>84</v>
      </c>
      <c r="D202" s="18">
        <v>2039810</v>
      </c>
      <c r="E202" s="19"/>
      <c r="F202" s="15">
        <f t="shared" si="3"/>
        <v>198256648.47999999</v>
      </c>
      <c r="H202" s="10"/>
    </row>
    <row r="203" spans="1:8" x14ac:dyDescent="0.2">
      <c r="A203" s="3">
        <v>45560</v>
      </c>
      <c r="B203" s="16">
        <v>12704767</v>
      </c>
      <c r="C203" s="20" t="s">
        <v>84</v>
      </c>
      <c r="D203" s="18">
        <v>913600</v>
      </c>
      <c r="E203" s="19"/>
      <c r="F203" s="15">
        <f t="shared" si="3"/>
        <v>197343048.47999999</v>
      </c>
      <c r="H203" s="10"/>
    </row>
    <row r="204" spans="1:8" x14ac:dyDescent="0.2">
      <c r="A204" s="3">
        <v>45560</v>
      </c>
      <c r="B204" s="16">
        <v>12704768</v>
      </c>
      <c r="C204" s="20" t="s">
        <v>84</v>
      </c>
      <c r="D204" s="18">
        <v>784070</v>
      </c>
      <c r="E204" s="19"/>
      <c r="F204" s="15">
        <f t="shared" si="3"/>
        <v>196558978.47999999</v>
      </c>
      <c r="H204" s="10"/>
    </row>
    <row r="205" spans="1:8" x14ac:dyDescent="0.2">
      <c r="A205" s="3">
        <v>45560</v>
      </c>
      <c r="B205" s="16">
        <v>12704769</v>
      </c>
      <c r="C205" s="20" t="s">
        <v>84</v>
      </c>
      <c r="D205" s="18">
        <v>200000</v>
      </c>
      <c r="E205" s="19"/>
      <c r="F205" s="15">
        <f t="shared" si="3"/>
        <v>196358978.47999999</v>
      </c>
      <c r="H205" s="10"/>
    </row>
    <row r="206" spans="1:8" x14ac:dyDescent="0.2">
      <c r="A206" s="3">
        <v>45560</v>
      </c>
      <c r="B206" s="16">
        <v>12704770</v>
      </c>
      <c r="C206" s="20" t="s">
        <v>84</v>
      </c>
      <c r="D206" s="18">
        <v>2877725</v>
      </c>
      <c r="E206" s="19"/>
      <c r="F206" s="15">
        <f t="shared" si="3"/>
        <v>193481253.47999999</v>
      </c>
      <c r="H206" s="10"/>
    </row>
    <row r="207" spans="1:8" x14ac:dyDescent="0.2">
      <c r="A207" s="3">
        <v>45560</v>
      </c>
      <c r="B207" s="16">
        <v>12704771</v>
      </c>
      <c r="C207" s="20" t="s">
        <v>84</v>
      </c>
      <c r="D207" s="18">
        <v>187500</v>
      </c>
      <c r="E207" s="19"/>
      <c r="F207" s="15">
        <f t="shared" si="3"/>
        <v>193293753.47999999</v>
      </c>
      <c r="H207" s="10"/>
    </row>
    <row r="208" spans="1:8" x14ac:dyDescent="0.2">
      <c r="A208" s="3">
        <v>45560</v>
      </c>
      <c r="B208" s="16">
        <v>12704772</v>
      </c>
      <c r="C208" s="20" t="s">
        <v>84</v>
      </c>
      <c r="D208" s="18">
        <v>627750</v>
      </c>
      <c r="E208" s="19"/>
      <c r="F208" s="15">
        <f t="shared" si="3"/>
        <v>192666003.47999999</v>
      </c>
      <c r="H208" s="10"/>
    </row>
    <row r="209" spans="1:8" x14ac:dyDescent="0.2">
      <c r="A209" s="3">
        <v>45560</v>
      </c>
      <c r="B209" s="16">
        <v>12704773</v>
      </c>
      <c r="C209" s="20" t="s">
        <v>84</v>
      </c>
      <c r="D209" s="18">
        <v>1934200</v>
      </c>
      <c r="E209" s="19"/>
      <c r="F209" s="15">
        <f t="shared" si="3"/>
        <v>190731803.47999999</v>
      </c>
      <c r="H209" s="10"/>
    </row>
    <row r="210" spans="1:8" x14ac:dyDescent="0.2">
      <c r="A210" s="3">
        <v>45560</v>
      </c>
      <c r="B210" s="16">
        <v>12704774</v>
      </c>
      <c r="C210" s="20" t="s">
        <v>84</v>
      </c>
      <c r="D210" s="18">
        <v>847647</v>
      </c>
      <c r="E210" s="19"/>
      <c r="F210" s="15">
        <f t="shared" si="3"/>
        <v>189884156.47999999</v>
      </c>
      <c r="H210" s="10"/>
    </row>
    <row r="211" spans="1:8" x14ac:dyDescent="0.2">
      <c r="A211" s="3">
        <v>45560</v>
      </c>
      <c r="B211" s="16">
        <v>12704775</v>
      </c>
      <c r="C211" s="20" t="s">
        <v>84</v>
      </c>
      <c r="D211" s="18">
        <v>2100000</v>
      </c>
      <c r="E211" s="19"/>
      <c r="F211" s="15">
        <f t="shared" si="3"/>
        <v>187784156.47999999</v>
      </c>
      <c r="H211" s="10"/>
    </row>
    <row r="212" spans="1:8" x14ac:dyDescent="0.2">
      <c r="A212" s="3">
        <v>45560</v>
      </c>
      <c r="B212" s="16">
        <v>12704776</v>
      </c>
      <c r="C212" s="20" t="s">
        <v>84</v>
      </c>
      <c r="D212" s="18">
        <v>300000</v>
      </c>
      <c r="E212" s="19"/>
      <c r="F212" s="15">
        <f t="shared" si="3"/>
        <v>187484156.47999999</v>
      </c>
      <c r="H212" s="10"/>
    </row>
    <row r="213" spans="1:8" x14ac:dyDescent="0.2">
      <c r="A213" s="3">
        <v>45560</v>
      </c>
      <c r="B213" s="16">
        <v>12704777</v>
      </c>
      <c r="C213" s="20" t="s">
        <v>84</v>
      </c>
      <c r="D213" s="18">
        <v>120000</v>
      </c>
      <c r="E213" s="19"/>
      <c r="F213" s="15">
        <f t="shared" si="3"/>
        <v>187364156.47999999</v>
      </c>
      <c r="H213" s="10"/>
    </row>
    <row r="214" spans="1:8" x14ac:dyDescent="0.2">
      <c r="A214" s="3">
        <v>45560</v>
      </c>
      <c r="B214" s="16">
        <v>12704778</v>
      </c>
      <c r="C214" s="20" t="s">
        <v>84</v>
      </c>
      <c r="D214" s="18">
        <v>32300</v>
      </c>
      <c r="E214" s="19"/>
      <c r="F214" s="15">
        <f t="shared" si="3"/>
        <v>187331856.47999999</v>
      </c>
      <c r="H214" s="10"/>
    </row>
    <row r="215" spans="1:8" x14ac:dyDescent="0.2">
      <c r="A215" s="3">
        <v>45560</v>
      </c>
      <c r="B215" s="16">
        <v>12704779</v>
      </c>
      <c r="C215" s="20" t="s">
        <v>84</v>
      </c>
      <c r="D215" s="18">
        <v>654199.6</v>
      </c>
      <c r="E215" s="19"/>
      <c r="F215" s="15">
        <f t="shared" si="3"/>
        <v>186677656.88</v>
      </c>
      <c r="H215" s="10"/>
    </row>
    <row r="216" spans="1:8" x14ac:dyDescent="0.2">
      <c r="A216" s="3">
        <v>45560</v>
      </c>
      <c r="B216" s="16">
        <v>12704780</v>
      </c>
      <c r="C216" s="20" t="s">
        <v>84</v>
      </c>
      <c r="D216" s="18">
        <v>817190</v>
      </c>
      <c r="E216" s="19"/>
      <c r="F216" s="15">
        <f t="shared" si="3"/>
        <v>185860466.88</v>
      </c>
      <c r="H216" s="10"/>
    </row>
    <row r="217" spans="1:8" x14ac:dyDescent="0.2">
      <c r="A217" s="3">
        <v>45560</v>
      </c>
      <c r="B217" s="16">
        <v>12704781</v>
      </c>
      <c r="C217" s="20" t="s">
        <v>84</v>
      </c>
      <c r="D217" s="18">
        <v>620020</v>
      </c>
      <c r="E217" s="19"/>
      <c r="F217" s="15">
        <f t="shared" si="3"/>
        <v>185240446.88</v>
      </c>
      <c r="H217" s="10"/>
    </row>
    <row r="218" spans="1:8" x14ac:dyDescent="0.2">
      <c r="A218" s="3">
        <v>45560</v>
      </c>
      <c r="B218" s="16">
        <v>12704782</v>
      </c>
      <c r="C218" s="20" t="s">
        <v>84</v>
      </c>
      <c r="D218" s="18">
        <v>335000</v>
      </c>
      <c r="E218" s="19"/>
      <c r="F218" s="15">
        <f t="shared" si="3"/>
        <v>184905446.88</v>
      </c>
      <c r="H218" s="10"/>
    </row>
    <row r="219" spans="1:8" x14ac:dyDescent="0.2">
      <c r="A219" s="3">
        <v>45560</v>
      </c>
      <c r="B219" s="16">
        <v>12704783</v>
      </c>
      <c r="C219" s="20" t="s">
        <v>84</v>
      </c>
      <c r="D219" s="18">
        <v>168600</v>
      </c>
      <c r="E219" s="19"/>
      <c r="F219" s="15">
        <f t="shared" si="3"/>
        <v>184736846.88</v>
      </c>
      <c r="H219" s="10"/>
    </row>
    <row r="220" spans="1:8" x14ac:dyDescent="0.2">
      <c r="A220" s="3">
        <v>45560</v>
      </c>
      <c r="B220" s="16">
        <v>12704784</v>
      </c>
      <c r="C220" s="20" t="s">
        <v>84</v>
      </c>
      <c r="D220" s="18">
        <v>475200</v>
      </c>
      <c r="E220" s="19"/>
      <c r="F220" s="15">
        <f t="shared" si="3"/>
        <v>184261646.88</v>
      </c>
      <c r="H220" s="10"/>
    </row>
    <row r="221" spans="1:8" x14ac:dyDescent="0.2">
      <c r="A221" s="3">
        <v>45560</v>
      </c>
      <c r="B221" s="21">
        <v>12704785</v>
      </c>
      <c r="C221" s="28" t="s">
        <v>84</v>
      </c>
      <c r="D221" s="23">
        <v>633022</v>
      </c>
      <c r="E221" s="24"/>
      <c r="F221" s="15">
        <f t="shared" si="3"/>
        <v>183628624.88</v>
      </c>
      <c r="H221" s="10"/>
    </row>
    <row r="222" spans="1:8" x14ac:dyDescent="0.2">
      <c r="A222" s="3">
        <v>45560</v>
      </c>
      <c r="B222" s="16">
        <v>12704786</v>
      </c>
      <c r="C222" s="20" t="s">
        <v>84</v>
      </c>
      <c r="D222" s="18">
        <v>114000</v>
      </c>
      <c r="E222" s="19"/>
      <c r="F222" s="15">
        <f t="shared" si="3"/>
        <v>183514624.88</v>
      </c>
      <c r="H222" s="10"/>
    </row>
    <row r="223" spans="1:8" x14ac:dyDescent="0.2">
      <c r="A223" s="3">
        <v>45560</v>
      </c>
      <c r="B223" s="16">
        <v>12704787</v>
      </c>
      <c r="C223" s="20" t="s">
        <v>84</v>
      </c>
      <c r="D223" s="18">
        <v>211500</v>
      </c>
      <c r="E223" s="19"/>
      <c r="F223" s="15">
        <f t="shared" si="3"/>
        <v>183303124.88</v>
      </c>
      <c r="H223" s="10"/>
    </row>
    <row r="224" spans="1:8" x14ac:dyDescent="0.2">
      <c r="A224" s="3">
        <v>45560</v>
      </c>
      <c r="B224" s="16">
        <v>12704788</v>
      </c>
      <c r="C224" s="20" t="s">
        <v>84</v>
      </c>
      <c r="D224" s="18">
        <v>1210000</v>
      </c>
      <c r="E224" s="19"/>
      <c r="F224" s="15">
        <f t="shared" si="3"/>
        <v>182093124.88</v>
      </c>
      <c r="H224" s="10"/>
    </row>
    <row r="225" spans="1:8" x14ac:dyDescent="0.2">
      <c r="A225" s="3">
        <v>45560</v>
      </c>
      <c r="B225" s="16">
        <v>12704789</v>
      </c>
      <c r="C225" s="20" t="s">
        <v>84</v>
      </c>
      <c r="D225" s="18">
        <v>130400</v>
      </c>
      <c r="E225" s="19"/>
      <c r="F225" s="15">
        <f t="shared" si="3"/>
        <v>181962724.88</v>
      </c>
      <c r="H225" s="10"/>
    </row>
    <row r="226" spans="1:8" x14ac:dyDescent="0.2">
      <c r="A226" s="3">
        <v>45560</v>
      </c>
      <c r="B226" s="16">
        <v>12704790</v>
      </c>
      <c r="C226" s="20" t="s">
        <v>84</v>
      </c>
      <c r="D226" s="18">
        <v>645000</v>
      </c>
      <c r="E226" s="19"/>
      <c r="F226" s="15">
        <f t="shared" si="3"/>
        <v>181317724.88</v>
      </c>
      <c r="H226" s="10"/>
    </row>
    <row r="227" spans="1:8" x14ac:dyDescent="0.2">
      <c r="A227" s="3">
        <v>45560</v>
      </c>
      <c r="B227" s="16">
        <v>12704791</v>
      </c>
      <c r="C227" s="20" t="s">
        <v>84</v>
      </c>
      <c r="D227" s="18">
        <v>2105000</v>
      </c>
      <c r="E227" s="19"/>
      <c r="F227" s="15">
        <f t="shared" si="3"/>
        <v>179212724.88</v>
      </c>
      <c r="H227" s="10"/>
    </row>
    <row r="228" spans="1:8" x14ac:dyDescent="0.2">
      <c r="A228" s="3">
        <v>45560</v>
      </c>
      <c r="B228" s="16">
        <v>12704792</v>
      </c>
      <c r="C228" s="20" t="s">
        <v>84</v>
      </c>
      <c r="D228" s="18">
        <v>300000</v>
      </c>
      <c r="E228" s="19"/>
      <c r="F228" s="15">
        <f t="shared" si="3"/>
        <v>178912724.88</v>
      </c>
      <c r="H228" s="10"/>
    </row>
    <row r="229" spans="1:8" x14ac:dyDescent="0.2">
      <c r="A229" s="3">
        <v>45560</v>
      </c>
      <c r="B229" s="16">
        <v>12704793</v>
      </c>
      <c r="C229" s="20" t="s">
        <v>84</v>
      </c>
      <c r="D229" s="18">
        <v>2093890</v>
      </c>
      <c r="E229" s="19"/>
      <c r="F229" s="15">
        <f t="shared" si="3"/>
        <v>176818834.88</v>
      </c>
      <c r="H229" s="10"/>
    </row>
    <row r="230" spans="1:8" x14ac:dyDescent="0.2">
      <c r="A230" s="3">
        <v>45560</v>
      </c>
      <c r="B230" s="16">
        <v>12704794</v>
      </c>
      <c r="C230" s="20" t="s">
        <v>84</v>
      </c>
      <c r="D230" s="18">
        <v>498000</v>
      </c>
      <c r="E230" s="19"/>
      <c r="F230" s="15">
        <f t="shared" si="3"/>
        <v>176320834.88</v>
      </c>
      <c r="H230" s="10"/>
    </row>
    <row r="231" spans="1:8" x14ac:dyDescent="0.2">
      <c r="A231" s="3">
        <v>45560</v>
      </c>
      <c r="B231" s="16">
        <v>12704795</v>
      </c>
      <c r="C231" s="20" t="s">
        <v>84</v>
      </c>
      <c r="D231" s="18">
        <v>2497750</v>
      </c>
      <c r="E231" s="19"/>
      <c r="F231" s="15">
        <f t="shared" si="3"/>
        <v>173823084.88</v>
      </c>
      <c r="H231" s="10"/>
    </row>
    <row r="232" spans="1:8" x14ac:dyDescent="0.2">
      <c r="A232" s="3">
        <v>45560</v>
      </c>
      <c r="B232" s="16">
        <v>12704796</v>
      </c>
      <c r="C232" s="20" t="s">
        <v>84</v>
      </c>
      <c r="D232" s="18">
        <v>2000000</v>
      </c>
      <c r="E232" s="19"/>
      <c r="F232" s="15">
        <f t="shared" si="3"/>
        <v>171823084.88</v>
      </c>
      <c r="H232" s="10"/>
    </row>
    <row r="233" spans="1:8" x14ac:dyDescent="0.2">
      <c r="A233" s="3">
        <v>45560</v>
      </c>
      <c r="B233" s="16">
        <v>12704797</v>
      </c>
      <c r="C233" s="20" t="s">
        <v>84</v>
      </c>
      <c r="D233" s="18">
        <v>3239500</v>
      </c>
      <c r="E233" s="19"/>
      <c r="F233" s="15">
        <f t="shared" si="3"/>
        <v>168583584.88</v>
      </c>
      <c r="H233" s="10"/>
    </row>
    <row r="234" spans="1:8" x14ac:dyDescent="0.2">
      <c r="A234" s="3">
        <v>45560</v>
      </c>
      <c r="B234" s="16">
        <v>12704798</v>
      </c>
      <c r="C234" s="20" t="s">
        <v>84</v>
      </c>
      <c r="D234" s="18">
        <v>1329000</v>
      </c>
      <c r="E234" s="19"/>
      <c r="F234" s="15">
        <f t="shared" si="3"/>
        <v>167254584.88</v>
      </c>
      <c r="H234" s="10"/>
    </row>
    <row r="235" spans="1:8" x14ac:dyDescent="0.2">
      <c r="A235" s="3">
        <v>45560</v>
      </c>
      <c r="B235" s="16">
        <v>12704799</v>
      </c>
      <c r="C235" s="20" t="s">
        <v>84</v>
      </c>
      <c r="D235" s="18">
        <v>600000</v>
      </c>
      <c r="E235" s="19"/>
      <c r="F235" s="15">
        <f t="shared" si="3"/>
        <v>166654584.88</v>
      </c>
      <c r="H235" s="10"/>
    </row>
    <row r="236" spans="1:8" x14ac:dyDescent="0.2">
      <c r="A236" s="3">
        <v>45560</v>
      </c>
      <c r="B236" s="16">
        <v>12704800</v>
      </c>
      <c r="C236" s="20" t="s">
        <v>84</v>
      </c>
      <c r="D236" s="18">
        <v>990850</v>
      </c>
      <c r="E236" s="19"/>
      <c r="F236" s="15">
        <f t="shared" si="3"/>
        <v>165663734.88</v>
      </c>
      <c r="H236" s="10"/>
    </row>
    <row r="237" spans="1:8" x14ac:dyDescent="0.2">
      <c r="A237" s="3">
        <v>45560</v>
      </c>
      <c r="B237" s="16">
        <v>12704801</v>
      </c>
      <c r="C237" s="20" t="s">
        <v>84</v>
      </c>
      <c r="D237" s="18">
        <v>431200</v>
      </c>
      <c r="E237" s="19"/>
      <c r="F237" s="15">
        <f t="shared" si="3"/>
        <v>165232534.88</v>
      </c>
      <c r="H237" s="10"/>
    </row>
    <row r="238" spans="1:8" x14ac:dyDescent="0.2">
      <c r="A238" s="3">
        <v>45560</v>
      </c>
      <c r="B238" s="16">
        <v>12704802</v>
      </c>
      <c r="C238" s="20" t="s">
        <v>84</v>
      </c>
      <c r="D238" s="18">
        <v>157400</v>
      </c>
      <c r="E238" s="19"/>
      <c r="F238" s="15">
        <f t="shared" si="3"/>
        <v>165075134.88</v>
      </c>
      <c r="H238" s="10"/>
    </row>
    <row r="239" spans="1:8" x14ac:dyDescent="0.2">
      <c r="A239" s="3">
        <v>45560</v>
      </c>
      <c r="B239" s="16">
        <v>12704803</v>
      </c>
      <c r="C239" s="20" t="s">
        <v>84</v>
      </c>
      <c r="D239" s="18">
        <v>53200</v>
      </c>
      <c r="E239" s="19"/>
      <c r="F239" s="15">
        <f t="shared" si="3"/>
        <v>165021934.88</v>
      </c>
      <c r="H239" s="10"/>
    </row>
    <row r="240" spans="1:8" x14ac:dyDescent="0.2">
      <c r="A240" s="3">
        <v>45560</v>
      </c>
      <c r="B240" s="16">
        <v>12704804</v>
      </c>
      <c r="C240" s="20" t="s">
        <v>84</v>
      </c>
      <c r="D240" s="18">
        <v>275240</v>
      </c>
      <c r="E240" s="19"/>
      <c r="F240" s="15">
        <f t="shared" si="3"/>
        <v>164746694.88</v>
      </c>
      <c r="H240" s="10"/>
    </row>
    <row r="241" spans="1:8" x14ac:dyDescent="0.2">
      <c r="A241" s="3">
        <v>45560</v>
      </c>
      <c r="B241" s="16">
        <v>12704805</v>
      </c>
      <c r="C241" s="20" t="s">
        <v>84</v>
      </c>
      <c r="D241" s="18">
        <v>362900</v>
      </c>
      <c r="E241" s="19"/>
      <c r="F241" s="15">
        <f t="shared" si="3"/>
        <v>164383794.88</v>
      </c>
      <c r="H241" s="10"/>
    </row>
    <row r="242" spans="1:8" x14ac:dyDescent="0.2">
      <c r="A242" s="3">
        <v>45560</v>
      </c>
      <c r="B242" s="16">
        <v>12704806</v>
      </c>
      <c r="C242" s="20" t="s">
        <v>84</v>
      </c>
      <c r="D242" s="18">
        <v>300000</v>
      </c>
      <c r="E242" s="19"/>
      <c r="F242" s="15">
        <f t="shared" si="3"/>
        <v>164083794.88</v>
      </c>
      <c r="H242" s="10"/>
    </row>
    <row r="243" spans="1:8" x14ac:dyDescent="0.2">
      <c r="A243" s="3">
        <v>45560</v>
      </c>
      <c r="B243" s="21">
        <v>12704807</v>
      </c>
      <c r="C243" s="28" t="s">
        <v>84</v>
      </c>
      <c r="D243" s="23">
        <v>1311600</v>
      </c>
      <c r="E243" s="24"/>
      <c r="F243" s="15">
        <f t="shared" si="3"/>
        <v>162772194.88</v>
      </c>
      <c r="H243" s="10"/>
    </row>
    <row r="244" spans="1:8" x14ac:dyDescent="0.2">
      <c r="A244" s="3">
        <v>45560</v>
      </c>
      <c r="B244" s="16">
        <v>12704808</v>
      </c>
      <c r="C244" s="20" t="s">
        <v>84</v>
      </c>
      <c r="D244" s="18">
        <v>731500</v>
      </c>
      <c r="E244" s="19"/>
      <c r="F244" s="15">
        <f t="shared" si="3"/>
        <v>162040694.88</v>
      </c>
      <c r="H244" s="10"/>
    </row>
    <row r="245" spans="1:8" x14ac:dyDescent="0.2">
      <c r="A245" s="3">
        <v>45560</v>
      </c>
      <c r="B245" s="16">
        <v>12704809</v>
      </c>
      <c r="C245" s="20" t="s">
        <v>84</v>
      </c>
      <c r="D245" s="18">
        <v>37050</v>
      </c>
      <c r="E245" s="19"/>
      <c r="F245" s="15">
        <f t="shared" si="3"/>
        <v>162003644.88</v>
      </c>
      <c r="H245" s="10"/>
    </row>
    <row r="246" spans="1:8" x14ac:dyDescent="0.2">
      <c r="A246" s="3">
        <v>45560</v>
      </c>
      <c r="B246" s="16">
        <v>12704810</v>
      </c>
      <c r="C246" s="20" t="s">
        <v>84</v>
      </c>
      <c r="D246" s="18">
        <v>71250</v>
      </c>
      <c r="E246" s="19"/>
      <c r="F246" s="15">
        <f t="shared" si="3"/>
        <v>161932394.88</v>
      </c>
      <c r="H246" s="10"/>
    </row>
    <row r="247" spans="1:8" x14ac:dyDescent="0.2">
      <c r="A247" s="3">
        <v>45560</v>
      </c>
      <c r="B247" s="16">
        <v>12704811</v>
      </c>
      <c r="C247" s="20" t="s">
        <v>84</v>
      </c>
      <c r="D247" s="18">
        <v>242000</v>
      </c>
      <c r="E247" s="19"/>
      <c r="F247" s="15">
        <f t="shared" si="3"/>
        <v>161690394.88</v>
      </c>
      <c r="H247" s="10"/>
    </row>
    <row r="248" spans="1:8" x14ac:dyDescent="0.2">
      <c r="A248" s="3">
        <v>45560</v>
      </c>
      <c r="B248" s="16">
        <v>12704812</v>
      </c>
      <c r="C248" s="20" t="s">
        <v>84</v>
      </c>
      <c r="D248" s="18">
        <v>844170</v>
      </c>
      <c r="E248" s="19"/>
      <c r="F248" s="15">
        <f t="shared" si="3"/>
        <v>160846224.88</v>
      </c>
      <c r="H248" s="10"/>
    </row>
    <row r="249" spans="1:8" x14ac:dyDescent="0.2">
      <c r="A249" s="3">
        <v>45560</v>
      </c>
      <c r="B249" s="16">
        <v>12704813</v>
      </c>
      <c r="C249" s="20" t="s">
        <v>84</v>
      </c>
      <c r="D249" s="18">
        <v>264000</v>
      </c>
      <c r="E249" s="19"/>
      <c r="F249" s="15">
        <f t="shared" si="3"/>
        <v>160582224.88</v>
      </c>
      <c r="H249" s="10"/>
    </row>
    <row r="250" spans="1:8" x14ac:dyDescent="0.2">
      <c r="A250" s="3">
        <v>45560</v>
      </c>
      <c r="B250" s="16">
        <v>12704814</v>
      </c>
      <c r="C250" s="20" t="s">
        <v>84</v>
      </c>
      <c r="D250" s="18">
        <v>943350</v>
      </c>
      <c r="E250" s="19"/>
      <c r="F250" s="15">
        <f t="shared" si="3"/>
        <v>159638874.88</v>
      </c>
      <c r="H250" s="10"/>
    </row>
    <row r="251" spans="1:8" x14ac:dyDescent="0.2">
      <c r="A251" s="3">
        <v>45560</v>
      </c>
      <c r="B251" s="16">
        <v>12704815</v>
      </c>
      <c r="C251" s="20" t="s">
        <v>84</v>
      </c>
      <c r="D251" s="18">
        <v>120000</v>
      </c>
      <c r="E251" s="19"/>
      <c r="F251" s="15">
        <f t="shared" si="3"/>
        <v>159518874.88</v>
      </c>
      <c r="H251" s="10"/>
    </row>
    <row r="252" spans="1:8" x14ac:dyDescent="0.2">
      <c r="A252" s="3">
        <v>45560</v>
      </c>
      <c r="B252" s="16">
        <v>12704816</v>
      </c>
      <c r="C252" s="20" t="s">
        <v>84</v>
      </c>
      <c r="D252" s="18">
        <v>600000</v>
      </c>
      <c r="E252" s="19"/>
      <c r="F252" s="15">
        <f t="shared" si="3"/>
        <v>158918874.88</v>
      </c>
      <c r="H252" s="10"/>
    </row>
    <row r="253" spans="1:8" x14ac:dyDescent="0.2">
      <c r="A253" s="3">
        <v>45560</v>
      </c>
      <c r="B253" s="16">
        <v>12704817</v>
      </c>
      <c r="C253" s="20" t="s">
        <v>84</v>
      </c>
      <c r="D253" s="18">
        <v>85500</v>
      </c>
      <c r="E253" s="19"/>
      <c r="F253" s="15">
        <f t="shared" si="3"/>
        <v>158833374.88</v>
      </c>
      <c r="H253" s="10"/>
    </row>
    <row r="254" spans="1:8" x14ac:dyDescent="0.2">
      <c r="A254" s="3">
        <v>45560</v>
      </c>
      <c r="B254" s="16">
        <v>12704818</v>
      </c>
      <c r="C254" s="20" t="s">
        <v>84</v>
      </c>
      <c r="D254" s="18">
        <v>324000</v>
      </c>
      <c r="E254" s="19"/>
      <c r="F254" s="15">
        <f t="shared" si="3"/>
        <v>158509374.88</v>
      </c>
      <c r="H254" s="10"/>
    </row>
    <row r="255" spans="1:8" x14ac:dyDescent="0.2">
      <c r="A255" s="3">
        <v>45560</v>
      </c>
      <c r="B255" s="16">
        <v>12704819</v>
      </c>
      <c r="C255" s="20" t="s">
        <v>84</v>
      </c>
      <c r="D255" s="18">
        <v>768000</v>
      </c>
      <c r="E255" s="19"/>
      <c r="F255" s="15">
        <f t="shared" si="3"/>
        <v>157741374.88</v>
      </c>
      <c r="H255" s="10"/>
    </row>
    <row r="256" spans="1:8" x14ac:dyDescent="0.2">
      <c r="A256" s="3">
        <v>45560</v>
      </c>
      <c r="B256" s="16">
        <v>12704820</v>
      </c>
      <c r="C256" s="20" t="s">
        <v>84</v>
      </c>
      <c r="D256" s="18">
        <v>665000</v>
      </c>
      <c r="E256" s="19"/>
      <c r="F256" s="15">
        <f t="shared" si="3"/>
        <v>157076374.88</v>
      </c>
      <c r="H256" s="10"/>
    </row>
    <row r="257" spans="1:8" x14ac:dyDescent="0.2">
      <c r="A257" s="3">
        <v>45560</v>
      </c>
      <c r="B257" s="16">
        <v>12704821</v>
      </c>
      <c r="C257" s="20" t="s">
        <v>84</v>
      </c>
      <c r="D257" s="18">
        <v>511765</v>
      </c>
      <c r="E257" s="19"/>
      <c r="F257" s="15">
        <f t="shared" si="3"/>
        <v>156564609.88</v>
      </c>
      <c r="H257" s="10"/>
    </row>
    <row r="258" spans="1:8" x14ac:dyDescent="0.2">
      <c r="A258" s="3">
        <v>45560</v>
      </c>
      <c r="B258" s="16">
        <v>4123739</v>
      </c>
      <c r="C258" s="20" t="s">
        <v>85</v>
      </c>
      <c r="D258" s="18">
        <v>2000000</v>
      </c>
      <c r="E258" s="19"/>
      <c r="F258" s="15">
        <f t="shared" si="3"/>
        <v>154564609.88</v>
      </c>
      <c r="H258" s="10"/>
    </row>
    <row r="259" spans="1:8" x14ac:dyDescent="0.2">
      <c r="A259" s="3">
        <v>45560</v>
      </c>
      <c r="B259" s="16">
        <v>4123740</v>
      </c>
      <c r="C259" s="20" t="s">
        <v>86</v>
      </c>
      <c r="D259" s="18">
        <v>187200</v>
      </c>
      <c r="E259" s="19"/>
      <c r="F259" s="15">
        <f t="shared" ref="F259:F322" si="4">+F258+E259-D259</f>
        <v>154377409.88</v>
      </c>
      <c r="H259" s="10"/>
    </row>
    <row r="260" spans="1:8" x14ac:dyDescent="0.2">
      <c r="A260" s="3">
        <v>45560</v>
      </c>
      <c r="B260" s="16">
        <v>96820977</v>
      </c>
      <c r="C260" s="20" t="s">
        <v>87</v>
      </c>
      <c r="D260" s="18">
        <v>633600</v>
      </c>
      <c r="E260" s="19"/>
      <c r="F260" s="15">
        <f t="shared" si="4"/>
        <v>153743809.88</v>
      </c>
      <c r="H260" s="10"/>
    </row>
    <row r="261" spans="1:8" x14ac:dyDescent="0.2">
      <c r="A261" s="3">
        <v>45560</v>
      </c>
      <c r="B261" s="26"/>
      <c r="C261" s="17" t="s">
        <v>88</v>
      </c>
      <c r="D261" s="18">
        <v>26282277</v>
      </c>
      <c r="E261" s="19"/>
      <c r="F261" s="15">
        <f t="shared" si="4"/>
        <v>127461532.88</v>
      </c>
      <c r="H261" s="10"/>
    </row>
    <row r="262" spans="1:8" x14ac:dyDescent="0.2">
      <c r="A262" s="3">
        <v>45560</v>
      </c>
      <c r="B262" s="26"/>
      <c r="C262" s="17" t="s">
        <v>16</v>
      </c>
      <c r="D262" s="18">
        <v>462487.19</v>
      </c>
      <c r="E262" s="19"/>
      <c r="F262" s="15">
        <f t="shared" si="4"/>
        <v>126999045.69</v>
      </c>
      <c r="H262" s="10"/>
    </row>
    <row r="263" spans="1:8" x14ac:dyDescent="0.2">
      <c r="A263" s="3">
        <v>45560</v>
      </c>
      <c r="B263" s="16">
        <v>12384</v>
      </c>
      <c r="C263" s="20" t="s">
        <v>7</v>
      </c>
      <c r="D263" s="18">
        <v>720</v>
      </c>
      <c r="E263" s="19"/>
      <c r="F263" s="15">
        <f t="shared" si="4"/>
        <v>126998325.69</v>
      </c>
      <c r="H263" s="10"/>
    </row>
    <row r="264" spans="1:8" x14ac:dyDescent="0.2">
      <c r="A264" s="3">
        <v>45560</v>
      </c>
      <c r="B264" s="16">
        <v>12384</v>
      </c>
      <c r="C264" s="17" t="s">
        <v>8</v>
      </c>
      <c r="D264" s="18">
        <v>151.19999999999999</v>
      </c>
      <c r="E264" s="19"/>
      <c r="F264" s="15">
        <f t="shared" si="4"/>
        <v>126998174.48999999</v>
      </c>
      <c r="H264" s="10"/>
    </row>
    <row r="265" spans="1:8" x14ac:dyDescent="0.2">
      <c r="A265" s="3">
        <v>45560</v>
      </c>
      <c r="B265" s="16">
        <v>12385</v>
      </c>
      <c r="C265" s="20" t="s">
        <v>7</v>
      </c>
      <c r="D265" s="18">
        <v>1485</v>
      </c>
      <c r="E265" s="19"/>
      <c r="F265" s="15">
        <f t="shared" si="4"/>
        <v>126996689.48999999</v>
      </c>
      <c r="H265" s="10"/>
    </row>
    <row r="266" spans="1:8" x14ac:dyDescent="0.2">
      <c r="A266" s="3">
        <v>45560</v>
      </c>
      <c r="B266" s="21">
        <v>12385</v>
      </c>
      <c r="C266" s="22" t="s">
        <v>8</v>
      </c>
      <c r="D266" s="23">
        <v>311.85000000000002</v>
      </c>
      <c r="E266" s="24"/>
      <c r="F266" s="15">
        <f t="shared" si="4"/>
        <v>126996377.64</v>
      </c>
      <c r="H266" s="10"/>
    </row>
    <row r="267" spans="1:8" x14ac:dyDescent="0.2">
      <c r="A267" s="3">
        <v>45561</v>
      </c>
      <c r="B267" s="16">
        <v>31581</v>
      </c>
      <c r="C267" s="17" t="s">
        <v>9</v>
      </c>
      <c r="D267" s="18">
        <v>400249.33</v>
      </c>
      <c r="E267" s="19"/>
      <c r="F267" s="15">
        <f t="shared" si="4"/>
        <v>126596128.31</v>
      </c>
      <c r="H267" s="10"/>
    </row>
    <row r="268" spans="1:8" x14ac:dyDescent="0.2">
      <c r="A268" s="3">
        <v>45561</v>
      </c>
      <c r="B268" s="16">
        <v>31684</v>
      </c>
      <c r="C268" s="17" t="s">
        <v>9</v>
      </c>
      <c r="D268" s="18">
        <v>25311.02</v>
      </c>
      <c r="E268" s="19"/>
      <c r="F268" s="15">
        <f t="shared" si="4"/>
        <v>126570817.29000001</v>
      </c>
      <c r="H268" s="10"/>
    </row>
    <row r="269" spans="1:8" x14ac:dyDescent="0.2">
      <c r="A269" s="3">
        <v>45561</v>
      </c>
      <c r="B269" s="16">
        <v>47434</v>
      </c>
      <c r="C269" s="20" t="s">
        <v>46</v>
      </c>
      <c r="D269" s="18">
        <v>3083694.51</v>
      </c>
      <c r="E269" s="19"/>
      <c r="F269" s="15">
        <f t="shared" si="4"/>
        <v>123487122.78</v>
      </c>
      <c r="H269" s="10"/>
    </row>
    <row r="270" spans="1:8" x14ac:dyDescent="0.2">
      <c r="A270" s="3">
        <v>45561</v>
      </c>
      <c r="B270" s="16">
        <v>47435</v>
      </c>
      <c r="C270" s="20" t="s">
        <v>46</v>
      </c>
      <c r="D270" s="18">
        <v>2406206.4300000002</v>
      </c>
      <c r="E270" s="19"/>
      <c r="F270" s="15">
        <f t="shared" si="4"/>
        <v>121080916.34999999</v>
      </c>
      <c r="H270" s="10"/>
    </row>
    <row r="271" spans="1:8" x14ac:dyDescent="0.2">
      <c r="A271" s="3">
        <v>45561</v>
      </c>
      <c r="B271" s="16">
        <v>47436</v>
      </c>
      <c r="C271" s="20" t="s">
        <v>46</v>
      </c>
      <c r="D271" s="18">
        <v>3932390.14</v>
      </c>
      <c r="E271" s="19"/>
      <c r="F271" s="15">
        <f t="shared" si="4"/>
        <v>117148526.20999999</v>
      </c>
      <c r="H271" s="10"/>
    </row>
    <row r="272" spans="1:8" x14ac:dyDescent="0.2">
      <c r="A272" s="3">
        <v>45561</v>
      </c>
      <c r="B272" s="16">
        <v>47437</v>
      </c>
      <c r="C272" s="20" t="s">
        <v>46</v>
      </c>
      <c r="D272" s="18">
        <v>2737752.79</v>
      </c>
      <c r="E272" s="19"/>
      <c r="F272" s="15">
        <f t="shared" si="4"/>
        <v>114410773.41999999</v>
      </c>
      <c r="H272" s="10"/>
    </row>
    <row r="273" spans="1:8" x14ac:dyDescent="0.2">
      <c r="A273" s="3">
        <v>45561</v>
      </c>
      <c r="B273" s="16">
        <v>57321</v>
      </c>
      <c r="C273" s="20" t="s">
        <v>46</v>
      </c>
      <c r="D273" s="18">
        <v>492858.59</v>
      </c>
      <c r="E273" s="19"/>
      <c r="F273" s="15">
        <f t="shared" si="4"/>
        <v>113917914.82999998</v>
      </c>
      <c r="H273" s="10"/>
    </row>
    <row r="274" spans="1:8" x14ac:dyDescent="0.2">
      <c r="A274" s="3">
        <v>45561</v>
      </c>
      <c r="B274" s="16">
        <v>890559</v>
      </c>
      <c r="C274" s="20" t="s">
        <v>89</v>
      </c>
      <c r="D274" s="25"/>
      <c r="E274" s="25">
        <v>2149327.7799999998</v>
      </c>
      <c r="F274" s="15">
        <f t="shared" si="4"/>
        <v>116067242.60999998</v>
      </c>
      <c r="H274" s="10"/>
    </row>
    <row r="275" spans="1:8" x14ac:dyDescent="0.2">
      <c r="A275" s="3">
        <v>45561</v>
      </c>
      <c r="B275" s="16">
        <v>12709476</v>
      </c>
      <c r="C275" s="20" t="s">
        <v>84</v>
      </c>
      <c r="D275" s="18">
        <v>1460000</v>
      </c>
      <c r="E275" s="19"/>
      <c r="F275" s="15">
        <f t="shared" si="4"/>
        <v>114607242.60999998</v>
      </c>
      <c r="H275" s="10"/>
    </row>
    <row r="276" spans="1:8" x14ac:dyDescent="0.2">
      <c r="A276" s="3">
        <v>45561</v>
      </c>
      <c r="B276" s="16">
        <v>12709477</v>
      </c>
      <c r="C276" s="20" t="s">
        <v>84</v>
      </c>
      <c r="D276" s="18">
        <v>443334</v>
      </c>
      <c r="E276" s="19"/>
      <c r="F276" s="15">
        <f t="shared" si="4"/>
        <v>114163908.60999998</v>
      </c>
      <c r="H276" s="10"/>
    </row>
    <row r="277" spans="1:8" x14ac:dyDescent="0.2">
      <c r="A277" s="3">
        <v>45561</v>
      </c>
      <c r="B277" s="16">
        <v>12709478</v>
      </c>
      <c r="C277" s="20" t="s">
        <v>84</v>
      </c>
      <c r="D277" s="18">
        <v>950000</v>
      </c>
      <c r="E277" s="19"/>
      <c r="F277" s="15">
        <f t="shared" si="4"/>
        <v>113213908.60999998</v>
      </c>
      <c r="H277" s="10"/>
    </row>
    <row r="278" spans="1:8" x14ac:dyDescent="0.2">
      <c r="A278" s="3">
        <v>45561</v>
      </c>
      <c r="B278" s="16">
        <v>12709479</v>
      </c>
      <c r="C278" s="20" t="s">
        <v>84</v>
      </c>
      <c r="D278" s="18">
        <v>716665</v>
      </c>
      <c r="E278" s="19"/>
      <c r="F278" s="15">
        <f t="shared" si="4"/>
        <v>112497243.60999998</v>
      </c>
      <c r="H278" s="10"/>
    </row>
    <row r="279" spans="1:8" x14ac:dyDescent="0.2">
      <c r="A279" s="3">
        <v>45561</v>
      </c>
      <c r="B279" s="16">
        <v>12709480</v>
      </c>
      <c r="C279" s="20" t="s">
        <v>84</v>
      </c>
      <c r="D279" s="18">
        <v>475000</v>
      </c>
      <c r="E279" s="19"/>
      <c r="F279" s="15">
        <f t="shared" si="4"/>
        <v>112022243.60999998</v>
      </c>
      <c r="H279" s="10"/>
    </row>
    <row r="280" spans="1:8" x14ac:dyDescent="0.2">
      <c r="A280" s="3">
        <v>45561</v>
      </c>
      <c r="B280" s="16">
        <v>12709481</v>
      </c>
      <c r="C280" s="20" t="s">
        <v>84</v>
      </c>
      <c r="D280" s="18">
        <v>633332</v>
      </c>
      <c r="E280" s="19"/>
      <c r="F280" s="15">
        <f t="shared" si="4"/>
        <v>111388911.60999998</v>
      </c>
      <c r="H280" s="10"/>
    </row>
    <row r="281" spans="1:8" x14ac:dyDescent="0.2">
      <c r="A281" s="3">
        <v>45561</v>
      </c>
      <c r="B281" s="16">
        <v>12709482</v>
      </c>
      <c r="C281" s="20" t="s">
        <v>84</v>
      </c>
      <c r="D281" s="18">
        <v>1083000</v>
      </c>
      <c r="E281" s="19"/>
      <c r="F281" s="15">
        <f t="shared" si="4"/>
        <v>110305911.60999998</v>
      </c>
      <c r="H281" s="10"/>
    </row>
    <row r="282" spans="1:8" x14ac:dyDescent="0.2">
      <c r="A282" s="3">
        <v>45561</v>
      </c>
      <c r="B282" s="16">
        <v>12709483</v>
      </c>
      <c r="C282" s="20" t="s">
        <v>84</v>
      </c>
      <c r="D282" s="18">
        <v>1200000</v>
      </c>
      <c r="E282" s="19"/>
      <c r="F282" s="15">
        <f t="shared" si="4"/>
        <v>109105911.60999998</v>
      </c>
      <c r="H282" s="10"/>
    </row>
    <row r="283" spans="1:8" x14ac:dyDescent="0.2">
      <c r="A283" s="3">
        <v>45561</v>
      </c>
      <c r="B283" s="16">
        <v>12709484</v>
      </c>
      <c r="C283" s="20" t="s">
        <v>84</v>
      </c>
      <c r="D283" s="18">
        <v>1775000</v>
      </c>
      <c r="E283" s="19"/>
      <c r="F283" s="15">
        <f t="shared" si="4"/>
        <v>107330911.60999998</v>
      </c>
      <c r="H283" s="10"/>
    </row>
    <row r="284" spans="1:8" x14ac:dyDescent="0.2">
      <c r="A284" s="3">
        <v>45561</v>
      </c>
      <c r="B284" s="16">
        <v>12709485</v>
      </c>
      <c r="C284" s="20" t="s">
        <v>84</v>
      </c>
      <c r="D284" s="18">
        <v>1601668</v>
      </c>
      <c r="E284" s="19"/>
      <c r="F284" s="15">
        <f t="shared" si="4"/>
        <v>105729243.60999998</v>
      </c>
      <c r="H284" s="10"/>
    </row>
    <row r="285" spans="1:8" x14ac:dyDescent="0.2">
      <c r="A285" s="3">
        <v>45561</v>
      </c>
      <c r="B285" s="16">
        <v>12709486</v>
      </c>
      <c r="C285" s="20" t="s">
        <v>84</v>
      </c>
      <c r="D285" s="18">
        <v>855000</v>
      </c>
      <c r="E285" s="19"/>
      <c r="F285" s="15">
        <f t="shared" si="4"/>
        <v>104874243.60999998</v>
      </c>
      <c r="H285" s="10"/>
    </row>
    <row r="286" spans="1:8" x14ac:dyDescent="0.2">
      <c r="A286" s="3">
        <v>45561</v>
      </c>
      <c r="B286" s="16">
        <v>12709487</v>
      </c>
      <c r="C286" s="20" t="s">
        <v>84</v>
      </c>
      <c r="D286" s="18">
        <v>1424997</v>
      </c>
      <c r="E286" s="19"/>
      <c r="F286" s="15">
        <f t="shared" si="4"/>
        <v>103449246.60999998</v>
      </c>
      <c r="H286" s="10"/>
    </row>
    <row r="287" spans="1:8" x14ac:dyDescent="0.2">
      <c r="A287" s="3">
        <v>45561</v>
      </c>
      <c r="B287" s="16">
        <v>12709488</v>
      </c>
      <c r="C287" s="20" t="s">
        <v>84</v>
      </c>
      <c r="D287" s="18">
        <v>253332</v>
      </c>
      <c r="E287" s="19"/>
      <c r="F287" s="15">
        <f t="shared" si="4"/>
        <v>103195914.60999998</v>
      </c>
      <c r="H287" s="10"/>
    </row>
    <row r="288" spans="1:8" x14ac:dyDescent="0.2">
      <c r="A288" s="3">
        <v>45561</v>
      </c>
      <c r="B288" s="16">
        <v>12709489</v>
      </c>
      <c r="C288" s="20" t="s">
        <v>84</v>
      </c>
      <c r="D288" s="18">
        <v>1948335</v>
      </c>
      <c r="E288" s="19"/>
      <c r="F288" s="15">
        <f t="shared" si="4"/>
        <v>101247579.60999998</v>
      </c>
      <c r="H288" s="10"/>
    </row>
    <row r="289" spans="1:8" x14ac:dyDescent="0.2">
      <c r="A289" s="3">
        <v>45561</v>
      </c>
      <c r="B289" s="21">
        <v>12709490</v>
      </c>
      <c r="C289" s="28" t="s">
        <v>84</v>
      </c>
      <c r="D289" s="23">
        <v>380000</v>
      </c>
      <c r="E289" s="24"/>
      <c r="F289" s="15">
        <f t="shared" si="4"/>
        <v>100867579.60999998</v>
      </c>
      <c r="H289" s="10"/>
    </row>
    <row r="290" spans="1:8" x14ac:dyDescent="0.2">
      <c r="A290" s="3">
        <v>45561</v>
      </c>
      <c r="B290" s="16">
        <v>414042</v>
      </c>
      <c r="C290" s="20" t="s">
        <v>90</v>
      </c>
      <c r="D290" s="25"/>
      <c r="E290" s="25">
        <v>15199663</v>
      </c>
      <c r="F290" s="15">
        <f t="shared" si="4"/>
        <v>116067242.60999998</v>
      </c>
      <c r="H290" s="10"/>
    </row>
    <row r="291" spans="1:8" x14ac:dyDescent="0.2">
      <c r="A291" s="3">
        <v>45561</v>
      </c>
      <c r="B291" s="16">
        <v>31404</v>
      </c>
      <c r="C291" s="17" t="s">
        <v>12</v>
      </c>
      <c r="D291" s="18">
        <v>879777.2</v>
      </c>
      <c r="E291" s="19"/>
      <c r="F291" s="15">
        <f t="shared" si="4"/>
        <v>115187465.40999998</v>
      </c>
      <c r="H291" s="10"/>
    </row>
    <row r="292" spans="1:8" x14ac:dyDescent="0.2">
      <c r="A292" s="3">
        <v>45561</v>
      </c>
      <c r="B292" s="16">
        <v>31396</v>
      </c>
      <c r="C292" s="17" t="s">
        <v>12</v>
      </c>
      <c r="D292" s="18">
        <v>3211850</v>
      </c>
      <c r="E292" s="19"/>
      <c r="F292" s="15">
        <f t="shared" si="4"/>
        <v>111975615.40999998</v>
      </c>
      <c r="H292" s="10"/>
    </row>
    <row r="293" spans="1:8" x14ac:dyDescent="0.2">
      <c r="A293" s="3">
        <v>45561</v>
      </c>
      <c r="B293" s="16">
        <v>31407</v>
      </c>
      <c r="C293" s="17" t="s">
        <v>12</v>
      </c>
      <c r="D293" s="18">
        <v>4000000</v>
      </c>
      <c r="E293" s="19"/>
      <c r="F293" s="15">
        <f t="shared" si="4"/>
        <v>107975615.40999998</v>
      </c>
      <c r="H293" s="10"/>
    </row>
    <row r="294" spans="1:8" x14ac:dyDescent="0.2">
      <c r="A294" s="3">
        <v>45561</v>
      </c>
      <c r="B294" s="26"/>
      <c r="C294" s="17" t="s">
        <v>22</v>
      </c>
      <c r="D294" s="18">
        <v>104093.95</v>
      </c>
      <c r="E294" s="19"/>
      <c r="F294" s="15">
        <f t="shared" si="4"/>
        <v>107871521.45999998</v>
      </c>
      <c r="H294" s="10"/>
    </row>
    <row r="295" spans="1:8" x14ac:dyDescent="0.2">
      <c r="A295" s="3">
        <v>45561</v>
      </c>
      <c r="B295" s="26"/>
      <c r="C295" s="17" t="s">
        <v>16</v>
      </c>
      <c r="D295" s="18">
        <v>218234.53</v>
      </c>
      <c r="E295" s="19"/>
      <c r="F295" s="15">
        <f t="shared" si="4"/>
        <v>107653286.92999998</v>
      </c>
      <c r="H295" s="10"/>
    </row>
    <row r="296" spans="1:8" x14ac:dyDescent="0.2">
      <c r="A296" s="3">
        <v>45561</v>
      </c>
      <c r="B296" s="26"/>
      <c r="C296" s="20" t="s">
        <v>91</v>
      </c>
      <c r="D296" s="18">
        <v>173489.91</v>
      </c>
      <c r="E296" s="19"/>
      <c r="F296" s="15">
        <f t="shared" si="4"/>
        <v>107479797.01999998</v>
      </c>
      <c r="H296" s="10"/>
    </row>
    <row r="297" spans="1:8" x14ac:dyDescent="0.2">
      <c r="A297" s="3">
        <v>45562</v>
      </c>
      <c r="B297" s="26"/>
      <c r="C297" s="17" t="s">
        <v>92</v>
      </c>
      <c r="D297" s="18">
        <v>33300</v>
      </c>
      <c r="E297" s="19"/>
      <c r="F297" s="15">
        <f t="shared" si="4"/>
        <v>107446497.01999998</v>
      </c>
      <c r="H297" s="10"/>
    </row>
    <row r="298" spans="1:8" x14ac:dyDescent="0.2">
      <c r="A298" s="3">
        <v>45562</v>
      </c>
      <c r="B298" s="26"/>
      <c r="C298" s="17" t="s">
        <v>36</v>
      </c>
      <c r="D298" s="18">
        <v>499.5</v>
      </c>
      <c r="E298" s="19"/>
      <c r="F298" s="15">
        <f t="shared" si="4"/>
        <v>107445997.51999998</v>
      </c>
      <c r="H298" s="10"/>
    </row>
    <row r="299" spans="1:8" x14ac:dyDescent="0.2">
      <c r="A299" s="3">
        <v>45562</v>
      </c>
      <c r="B299" s="26"/>
      <c r="C299" s="17" t="s">
        <v>8</v>
      </c>
      <c r="D299" s="18">
        <v>6993</v>
      </c>
      <c r="E299" s="19"/>
      <c r="F299" s="15">
        <f t="shared" si="4"/>
        <v>107439004.51999998</v>
      </c>
      <c r="H299" s="10"/>
    </row>
    <row r="300" spans="1:8" x14ac:dyDescent="0.2">
      <c r="A300" s="3">
        <v>45562</v>
      </c>
      <c r="B300" s="26"/>
      <c r="C300" s="17" t="s">
        <v>37</v>
      </c>
      <c r="D300" s="18">
        <v>999</v>
      </c>
      <c r="E300" s="19"/>
      <c r="F300" s="15">
        <f t="shared" si="4"/>
        <v>107438005.51999998</v>
      </c>
      <c r="H300" s="10"/>
    </row>
    <row r="301" spans="1:8" x14ac:dyDescent="0.2">
      <c r="A301" s="3">
        <v>45562</v>
      </c>
      <c r="B301" s="26"/>
      <c r="C301" s="17" t="s">
        <v>93</v>
      </c>
      <c r="D301" s="18">
        <v>34020</v>
      </c>
      <c r="E301" s="19"/>
      <c r="F301" s="15">
        <f t="shared" si="4"/>
        <v>107403985.51999998</v>
      </c>
      <c r="H301" s="10"/>
    </row>
    <row r="302" spans="1:8" x14ac:dyDescent="0.2">
      <c r="A302" s="3">
        <v>45562</v>
      </c>
      <c r="B302" s="26"/>
      <c r="C302" s="17" t="s">
        <v>36</v>
      </c>
      <c r="D302" s="18">
        <v>510.3</v>
      </c>
      <c r="E302" s="19"/>
      <c r="F302" s="15">
        <f t="shared" si="4"/>
        <v>107403475.21999998</v>
      </c>
      <c r="H302" s="10"/>
    </row>
    <row r="303" spans="1:8" x14ac:dyDescent="0.2">
      <c r="A303" s="3">
        <v>45562</v>
      </c>
      <c r="B303" s="26"/>
      <c r="C303" s="17" t="s">
        <v>8</v>
      </c>
      <c r="D303" s="18">
        <v>7144.2</v>
      </c>
      <c r="E303" s="19"/>
      <c r="F303" s="15">
        <f t="shared" si="4"/>
        <v>107396331.01999998</v>
      </c>
      <c r="H303" s="10"/>
    </row>
    <row r="304" spans="1:8" x14ac:dyDescent="0.2">
      <c r="A304" s="3">
        <v>45562</v>
      </c>
      <c r="B304" s="26"/>
      <c r="C304" s="17" t="s">
        <v>37</v>
      </c>
      <c r="D304" s="18">
        <v>1020.6</v>
      </c>
      <c r="E304" s="19"/>
      <c r="F304" s="15">
        <f t="shared" si="4"/>
        <v>107395310.41999999</v>
      </c>
      <c r="H304" s="10"/>
    </row>
    <row r="305" spans="1:8" x14ac:dyDescent="0.2">
      <c r="A305" s="3">
        <v>45562</v>
      </c>
      <c r="B305" s="16">
        <v>256650</v>
      </c>
      <c r="C305" s="20" t="s">
        <v>10</v>
      </c>
      <c r="D305" s="25"/>
      <c r="E305" s="25">
        <v>20000000</v>
      </c>
      <c r="F305" s="15">
        <f t="shared" si="4"/>
        <v>127395310.41999999</v>
      </c>
      <c r="H305" s="10"/>
    </row>
    <row r="306" spans="1:8" x14ac:dyDescent="0.2">
      <c r="A306" s="3">
        <v>45562</v>
      </c>
      <c r="B306" s="16">
        <v>276491</v>
      </c>
      <c r="C306" s="20" t="s">
        <v>10</v>
      </c>
      <c r="D306" s="25"/>
      <c r="E306" s="25">
        <v>20000000</v>
      </c>
      <c r="F306" s="15">
        <f t="shared" si="4"/>
        <v>147395310.41999999</v>
      </c>
      <c r="H306" s="10"/>
    </row>
    <row r="307" spans="1:8" x14ac:dyDescent="0.2">
      <c r="A307" s="3">
        <v>45562</v>
      </c>
      <c r="B307" s="16">
        <v>98187721</v>
      </c>
      <c r="C307" s="20" t="s">
        <v>44</v>
      </c>
      <c r="D307" s="18">
        <v>600000</v>
      </c>
      <c r="E307" s="19"/>
      <c r="F307" s="15">
        <f t="shared" si="4"/>
        <v>146795310.41999999</v>
      </c>
      <c r="H307" s="10"/>
    </row>
    <row r="308" spans="1:8" x14ac:dyDescent="0.2">
      <c r="A308" s="3">
        <v>45562</v>
      </c>
      <c r="B308" s="16">
        <v>31691</v>
      </c>
      <c r="C308" s="17" t="s">
        <v>12</v>
      </c>
      <c r="D308" s="18">
        <v>335991.49</v>
      </c>
      <c r="E308" s="19"/>
      <c r="F308" s="15">
        <f t="shared" si="4"/>
        <v>146459318.92999998</v>
      </c>
      <c r="H308" s="10"/>
    </row>
    <row r="309" spans="1:8" x14ac:dyDescent="0.2">
      <c r="A309" s="3">
        <v>45562</v>
      </c>
      <c r="B309" s="16">
        <v>31399</v>
      </c>
      <c r="C309" s="17" t="s">
        <v>12</v>
      </c>
      <c r="D309" s="18">
        <v>7315732.3799999999</v>
      </c>
      <c r="E309" s="19"/>
      <c r="F309" s="15">
        <f t="shared" si="4"/>
        <v>139143586.54999998</v>
      </c>
      <c r="H309" s="10"/>
    </row>
    <row r="310" spans="1:8" x14ac:dyDescent="0.2">
      <c r="A310" s="3">
        <v>45562</v>
      </c>
      <c r="B310" s="26"/>
      <c r="C310" s="17" t="s">
        <v>16</v>
      </c>
      <c r="D310" s="18">
        <v>51058.2</v>
      </c>
      <c r="E310" s="19"/>
      <c r="F310" s="15">
        <f t="shared" si="4"/>
        <v>139092528.34999999</v>
      </c>
      <c r="H310" s="10"/>
    </row>
    <row r="311" spans="1:8" x14ac:dyDescent="0.2">
      <c r="A311" s="3">
        <v>45565</v>
      </c>
      <c r="B311" s="16">
        <v>31497</v>
      </c>
      <c r="C311" s="17" t="s">
        <v>9</v>
      </c>
      <c r="D311" s="18">
        <v>116193.01</v>
      </c>
      <c r="E311" s="19"/>
      <c r="F311" s="15">
        <f t="shared" si="4"/>
        <v>138976335.34</v>
      </c>
      <c r="H311" s="10"/>
    </row>
    <row r="312" spans="1:8" x14ac:dyDescent="0.2">
      <c r="A312" s="3">
        <v>45565</v>
      </c>
      <c r="B312" s="16">
        <v>31551</v>
      </c>
      <c r="C312" s="17" t="s">
        <v>9</v>
      </c>
      <c r="D312" s="18">
        <v>209520</v>
      </c>
      <c r="E312" s="19"/>
      <c r="F312" s="15">
        <f t="shared" si="4"/>
        <v>138766815.34</v>
      </c>
      <c r="H312" s="10"/>
    </row>
    <row r="313" spans="1:8" x14ac:dyDescent="0.2">
      <c r="A313" s="3">
        <v>45565</v>
      </c>
      <c r="B313" s="16">
        <v>31500</v>
      </c>
      <c r="C313" s="17" t="s">
        <v>9</v>
      </c>
      <c r="D313" s="18">
        <v>228363.1</v>
      </c>
      <c r="E313" s="19"/>
      <c r="F313" s="15">
        <f t="shared" si="4"/>
        <v>138538452.24000001</v>
      </c>
      <c r="H313" s="10"/>
    </row>
    <row r="314" spans="1:8" x14ac:dyDescent="0.2">
      <c r="A314" s="3">
        <v>45565</v>
      </c>
      <c r="B314" s="16">
        <v>31666</v>
      </c>
      <c r="C314" s="17" t="s">
        <v>9</v>
      </c>
      <c r="D314" s="18">
        <v>350200</v>
      </c>
      <c r="E314" s="19"/>
      <c r="F314" s="15">
        <f t="shared" si="4"/>
        <v>138188252.24000001</v>
      </c>
      <c r="H314" s="10"/>
    </row>
    <row r="315" spans="1:8" x14ac:dyDescent="0.2">
      <c r="A315" s="3">
        <v>45565</v>
      </c>
      <c r="B315" s="16">
        <v>31575</v>
      </c>
      <c r="C315" s="17" t="s">
        <v>9</v>
      </c>
      <c r="D315" s="18">
        <v>1903125</v>
      </c>
      <c r="E315" s="19"/>
      <c r="F315" s="15">
        <f t="shared" si="4"/>
        <v>136285127.24000001</v>
      </c>
      <c r="H315" s="10"/>
    </row>
    <row r="316" spans="1:8" x14ac:dyDescent="0.2">
      <c r="A316" s="3">
        <v>45565</v>
      </c>
      <c r="B316" s="16">
        <v>31564</v>
      </c>
      <c r="C316" s="17" t="s">
        <v>9</v>
      </c>
      <c r="D316" s="18">
        <v>3466737.08</v>
      </c>
      <c r="E316" s="19"/>
      <c r="F316" s="15">
        <f t="shared" si="4"/>
        <v>132818390.16000001</v>
      </c>
      <c r="H316" s="10"/>
    </row>
    <row r="317" spans="1:8" x14ac:dyDescent="0.2">
      <c r="A317" s="3">
        <v>45565</v>
      </c>
      <c r="B317" s="21">
        <v>832070</v>
      </c>
      <c r="C317" s="28" t="s">
        <v>94</v>
      </c>
      <c r="D317" s="30"/>
      <c r="E317" s="31">
        <v>473318.46</v>
      </c>
      <c r="F317" s="15">
        <f t="shared" si="4"/>
        <v>133291708.62</v>
      </c>
      <c r="H317" s="10"/>
    </row>
    <row r="318" spans="1:8" x14ac:dyDescent="0.2">
      <c r="A318" s="3">
        <v>45565</v>
      </c>
      <c r="B318" s="16">
        <v>31577</v>
      </c>
      <c r="C318" s="17" t="s">
        <v>12</v>
      </c>
      <c r="D318" s="25">
        <v>541418.61</v>
      </c>
      <c r="E318" s="19"/>
      <c r="F318" s="15">
        <f t="shared" si="4"/>
        <v>132750290.01000001</v>
      </c>
      <c r="H318" s="10"/>
    </row>
    <row r="319" spans="1:8" x14ac:dyDescent="0.2">
      <c r="A319" s="3">
        <v>45565</v>
      </c>
      <c r="B319" s="16">
        <v>31556</v>
      </c>
      <c r="C319" s="17" t="s">
        <v>12</v>
      </c>
      <c r="D319" s="25">
        <v>549132.36</v>
      </c>
      <c r="E319" s="19"/>
      <c r="F319" s="15">
        <f t="shared" si="4"/>
        <v>132201157.65000001</v>
      </c>
      <c r="H319" s="10"/>
    </row>
    <row r="320" spans="1:8" x14ac:dyDescent="0.2">
      <c r="A320" s="3">
        <v>45565</v>
      </c>
      <c r="B320" s="16">
        <v>31584</v>
      </c>
      <c r="C320" s="17" t="s">
        <v>12</v>
      </c>
      <c r="D320" s="25">
        <v>1800000</v>
      </c>
      <c r="E320" s="19"/>
      <c r="F320" s="15">
        <f t="shared" si="4"/>
        <v>130401157.65000001</v>
      </c>
      <c r="H320" s="10"/>
    </row>
    <row r="321" spans="1:8" x14ac:dyDescent="0.2">
      <c r="A321" s="3">
        <v>45565</v>
      </c>
      <c r="B321" s="16">
        <v>31578</v>
      </c>
      <c r="C321" s="17" t="s">
        <v>12</v>
      </c>
      <c r="D321" s="25">
        <v>2080198.22</v>
      </c>
      <c r="E321" s="19"/>
      <c r="F321" s="15">
        <f t="shared" si="4"/>
        <v>128320959.43000001</v>
      </c>
      <c r="H321" s="10"/>
    </row>
    <row r="322" spans="1:8" x14ac:dyDescent="0.2">
      <c r="A322" s="3">
        <v>45565</v>
      </c>
      <c r="B322" s="16">
        <v>31560</v>
      </c>
      <c r="C322" s="17" t="s">
        <v>12</v>
      </c>
      <c r="D322" s="25">
        <v>2246359.3199999998</v>
      </c>
      <c r="E322" s="19"/>
      <c r="F322" s="15">
        <f t="shared" si="4"/>
        <v>126074600.11000001</v>
      </c>
      <c r="H322" s="10"/>
    </row>
    <row r="323" spans="1:8" x14ac:dyDescent="0.2">
      <c r="A323" s="3">
        <v>45565</v>
      </c>
      <c r="B323" s="16">
        <v>31541</v>
      </c>
      <c r="C323" s="17" t="s">
        <v>12</v>
      </c>
      <c r="D323" s="25">
        <v>7228765.1699999999</v>
      </c>
      <c r="E323" s="19"/>
      <c r="F323" s="15">
        <f t="shared" ref="F323:F328" si="5">+F322+E323-D323</f>
        <v>118845834.94000001</v>
      </c>
      <c r="H323" s="10"/>
    </row>
    <row r="324" spans="1:8" x14ac:dyDescent="0.2">
      <c r="A324" s="3">
        <v>45565</v>
      </c>
      <c r="B324" s="16">
        <v>31492</v>
      </c>
      <c r="C324" s="17" t="s">
        <v>12</v>
      </c>
      <c r="D324" s="25">
        <v>9151730.3499999996</v>
      </c>
      <c r="E324" s="19"/>
      <c r="F324" s="15">
        <f t="shared" si="5"/>
        <v>109694104.59000002</v>
      </c>
      <c r="H324" s="10"/>
    </row>
    <row r="325" spans="1:8" x14ac:dyDescent="0.2">
      <c r="A325" s="3">
        <v>45565</v>
      </c>
      <c r="B325" s="26"/>
      <c r="C325" s="17" t="s">
        <v>95</v>
      </c>
      <c r="D325" s="25">
        <v>2847</v>
      </c>
      <c r="E325" s="19"/>
      <c r="F325" s="15">
        <f t="shared" si="5"/>
        <v>109691257.59000002</v>
      </c>
      <c r="H325" s="10"/>
    </row>
    <row r="326" spans="1:8" x14ac:dyDescent="0.2">
      <c r="A326" s="3">
        <v>45565</v>
      </c>
      <c r="B326" s="26"/>
      <c r="C326" s="17" t="s">
        <v>15</v>
      </c>
      <c r="D326" s="25">
        <v>597.87</v>
      </c>
      <c r="E326" s="19"/>
      <c r="F326" s="15">
        <f t="shared" si="5"/>
        <v>109690659.72000001</v>
      </c>
      <c r="H326" s="10"/>
    </row>
    <row r="327" spans="1:8" x14ac:dyDescent="0.2">
      <c r="A327" s="3">
        <v>45565</v>
      </c>
      <c r="B327" s="26"/>
      <c r="C327" s="17" t="s">
        <v>22</v>
      </c>
      <c r="D327" s="25">
        <v>2839.91</v>
      </c>
      <c r="E327" s="19"/>
      <c r="F327" s="15">
        <f t="shared" si="5"/>
        <v>109687819.81000002</v>
      </c>
      <c r="H327" s="10"/>
    </row>
    <row r="328" spans="1:8" x14ac:dyDescent="0.2">
      <c r="A328" s="3">
        <v>45565</v>
      </c>
      <c r="B328" s="32"/>
      <c r="C328" s="33" t="s">
        <v>16</v>
      </c>
      <c r="D328" s="34">
        <v>179251.12</v>
      </c>
      <c r="E328" s="35"/>
      <c r="F328" s="15">
        <f t="shared" si="5"/>
        <v>109508568.69000001</v>
      </c>
      <c r="H328" s="10"/>
    </row>
    <row r="329" spans="1:8" x14ac:dyDescent="0.2">
      <c r="B329" s="36"/>
      <c r="C329" s="37"/>
      <c r="D329" s="37"/>
      <c r="E329" s="37"/>
      <c r="F329" s="37"/>
    </row>
    <row r="331" spans="1:8" x14ac:dyDescent="0.2">
      <c r="A331" s="39" t="s">
        <v>0</v>
      </c>
      <c r="B331" s="39" t="s">
        <v>1</v>
      </c>
      <c r="C331" s="39" t="s">
        <v>2</v>
      </c>
      <c r="D331" s="40" t="s">
        <v>3</v>
      </c>
      <c r="E331" s="39" t="s">
        <v>4</v>
      </c>
      <c r="F331" s="40" t="s">
        <v>5</v>
      </c>
    </row>
    <row r="332" spans="1:8" x14ac:dyDescent="0.2">
      <c r="A332" s="3">
        <v>45566</v>
      </c>
      <c r="B332" s="41"/>
      <c r="C332" s="5" t="s">
        <v>6</v>
      </c>
      <c r="D332" s="6"/>
      <c r="E332" s="7"/>
      <c r="F332" s="8">
        <v>109508568.69</v>
      </c>
    </row>
    <row r="333" spans="1:8" x14ac:dyDescent="0.2">
      <c r="A333" s="3">
        <v>45565</v>
      </c>
      <c r="B333" s="42"/>
      <c r="C333" s="12" t="s">
        <v>96</v>
      </c>
      <c r="D333" s="13">
        <v>4733.18</v>
      </c>
      <c r="E333" s="14"/>
      <c r="F333" s="15">
        <f t="shared" ref="F333:F396" si="6">+F332+E333-D333</f>
        <v>109503835.50999999</v>
      </c>
    </row>
    <row r="334" spans="1:8" x14ac:dyDescent="0.2">
      <c r="A334" s="3">
        <v>45566</v>
      </c>
      <c r="B334" s="43">
        <v>31591</v>
      </c>
      <c r="C334" s="17" t="s">
        <v>9</v>
      </c>
      <c r="D334" s="18">
        <v>43610</v>
      </c>
      <c r="E334" s="19"/>
      <c r="F334" s="15">
        <f t="shared" si="6"/>
        <v>109460225.50999999</v>
      </c>
    </row>
    <row r="335" spans="1:8" x14ac:dyDescent="0.2">
      <c r="A335" s="3">
        <v>45566</v>
      </c>
      <c r="B335" s="43">
        <v>31559</v>
      </c>
      <c r="C335" s="17" t="s">
        <v>9</v>
      </c>
      <c r="D335" s="18">
        <v>59625.02</v>
      </c>
      <c r="E335" s="19"/>
      <c r="F335" s="15">
        <f t="shared" si="6"/>
        <v>109400600.48999999</v>
      </c>
    </row>
    <row r="336" spans="1:8" x14ac:dyDescent="0.2">
      <c r="A336" s="3">
        <v>45566</v>
      </c>
      <c r="B336" s="43">
        <v>31561</v>
      </c>
      <c r="C336" s="17" t="s">
        <v>9</v>
      </c>
      <c r="D336" s="18">
        <v>141636</v>
      </c>
      <c r="E336" s="19"/>
      <c r="F336" s="15">
        <f t="shared" si="6"/>
        <v>109258964.48999999</v>
      </c>
    </row>
    <row r="337" spans="1:6" x14ac:dyDescent="0.2">
      <c r="A337" s="3">
        <v>45566</v>
      </c>
      <c r="B337" s="43">
        <v>31605</v>
      </c>
      <c r="C337" s="17" t="s">
        <v>9</v>
      </c>
      <c r="D337" s="18">
        <v>234000</v>
      </c>
      <c r="E337" s="19"/>
      <c r="F337" s="15">
        <f t="shared" si="6"/>
        <v>109024964.48999999</v>
      </c>
    </row>
    <row r="338" spans="1:6" x14ac:dyDescent="0.2">
      <c r="A338" s="3">
        <v>45566</v>
      </c>
      <c r="B338" s="43">
        <v>31640</v>
      </c>
      <c r="C338" s="17" t="s">
        <v>9</v>
      </c>
      <c r="D338" s="18">
        <v>399000</v>
      </c>
      <c r="E338" s="19"/>
      <c r="F338" s="15">
        <f t="shared" si="6"/>
        <v>108625964.48999999</v>
      </c>
    </row>
    <row r="339" spans="1:6" x14ac:dyDescent="0.2">
      <c r="A339" s="3">
        <v>45566</v>
      </c>
      <c r="B339" s="43">
        <v>31692</v>
      </c>
      <c r="C339" s="17" t="s">
        <v>9</v>
      </c>
      <c r="D339" s="18">
        <v>435816.7</v>
      </c>
      <c r="E339" s="19"/>
      <c r="F339" s="15">
        <f t="shared" si="6"/>
        <v>108190147.78999999</v>
      </c>
    </row>
    <row r="340" spans="1:6" x14ac:dyDescent="0.2">
      <c r="A340" s="3">
        <v>45566</v>
      </c>
      <c r="B340" s="43">
        <v>31552</v>
      </c>
      <c r="C340" s="17" t="s">
        <v>9</v>
      </c>
      <c r="D340" s="18">
        <v>811423.76</v>
      </c>
      <c r="E340" s="19"/>
      <c r="F340" s="15">
        <f t="shared" si="6"/>
        <v>107378724.02999999</v>
      </c>
    </row>
    <row r="341" spans="1:6" x14ac:dyDescent="0.2">
      <c r="A341" s="3">
        <v>45566</v>
      </c>
      <c r="B341" s="43">
        <v>31604</v>
      </c>
      <c r="C341" s="17" t="s">
        <v>9</v>
      </c>
      <c r="D341" s="18">
        <v>1236409.51</v>
      </c>
      <c r="E341" s="19"/>
      <c r="F341" s="15">
        <f t="shared" si="6"/>
        <v>106142314.51999998</v>
      </c>
    </row>
    <row r="342" spans="1:6" x14ac:dyDescent="0.2">
      <c r="A342" s="3">
        <v>45566</v>
      </c>
      <c r="B342" s="43">
        <v>31583</v>
      </c>
      <c r="C342" s="17" t="s">
        <v>9</v>
      </c>
      <c r="D342" s="18">
        <v>1257302.94</v>
      </c>
      <c r="E342" s="19"/>
      <c r="F342" s="15">
        <f t="shared" si="6"/>
        <v>104885011.57999998</v>
      </c>
    </row>
    <row r="343" spans="1:6" x14ac:dyDescent="0.2">
      <c r="A343" s="3">
        <v>45566</v>
      </c>
      <c r="B343" s="43">
        <v>31546</v>
      </c>
      <c r="C343" s="17" t="s">
        <v>9</v>
      </c>
      <c r="D343" s="18">
        <v>1347325.07</v>
      </c>
      <c r="E343" s="19"/>
      <c r="F343" s="15">
        <f t="shared" si="6"/>
        <v>103537686.50999999</v>
      </c>
    </row>
    <row r="344" spans="1:6" x14ac:dyDescent="0.2">
      <c r="A344" s="3">
        <v>45566</v>
      </c>
      <c r="B344" s="43">
        <v>31540</v>
      </c>
      <c r="C344" s="17" t="s">
        <v>9</v>
      </c>
      <c r="D344" s="18">
        <v>1418835.6</v>
      </c>
      <c r="E344" s="19"/>
      <c r="F344" s="15">
        <f t="shared" si="6"/>
        <v>102118850.91</v>
      </c>
    </row>
    <row r="345" spans="1:6" x14ac:dyDescent="0.2">
      <c r="A345" s="3">
        <v>45566</v>
      </c>
      <c r="B345" s="43">
        <v>31495</v>
      </c>
      <c r="C345" s="17" t="s">
        <v>9</v>
      </c>
      <c r="D345" s="18">
        <v>1431030</v>
      </c>
      <c r="E345" s="19"/>
      <c r="F345" s="15">
        <f t="shared" si="6"/>
        <v>100687820.91</v>
      </c>
    </row>
    <row r="346" spans="1:6" x14ac:dyDescent="0.2">
      <c r="A346" s="3">
        <v>45566</v>
      </c>
      <c r="B346" s="43">
        <v>31643</v>
      </c>
      <c r="C346" s="17" t="s">
        <v>9</v>
      </c>
      <c r="D346" s="18">
        <v>1759430.85</v>
      </c>
      <c r="E346" s="19"/>
      <c r="F346" s="15">
        <f t="shared" si="6"/>
        <v>98928390.060000002</v>
      </c>
    </row>
    <row r="347" spans="1:6" x14ac:dyDescent="0.2">
      <c r="A347" s="3">
        <v>45566</v>
      </c>
      <c r="B347" s="43">
        <v>31710</v>
      </c>
      <c r="C347" s="17" t="s">
        <v>9</v>
      </c>
      <c r="D347" s="18">
        <v>2383155</v>
      </c>
      <c r="E347" s="19"/>
      <c r="F347" s="15">
        <f t="shared" si="6"/>
        <v>96545235.060000002</v>
      </c>
    </row>
    <row r="348" spans="1:6" x14ac:dyDescent="0.2">
      <c r="A348" s="3">
        <v>45566</v>
      </c>
      <c r="B348" s="43">
        <v>31557</v>
      </c>
      <c r="C348" s="17" t="s">
        <v>9</v>
      </c>
      <c r="D348" s="18">
        <v>4889894.0999999996</v>
      </c>
      <c r="E348" s="19"/>
      <c r="F348" s="15">
        <f t="shared" si="6"/>
        <v>91655340.960000008</v>
      </c>
    </row>
    <row r="349" spans="1:6" x14ac:dyDescent="0.2">
      <c r="A349" s="3">
        <v>45566</v>
      </c>
      <c r="B349" s="43">
        <v>31435</v>
      </c>
      <c r="C349" s="17" t="s">
        <v>9</v>
      </c>
      <c r="D349" s="18">
        <v>5866829.8399999999</v>
      </c>
      <c r="E349" s="19"/>
      <c r="F349" s="15">
        <f t="shared" si="6"/>
        <v>85788511.120000005</v>
      </c>
    </row>
    <row r="350" spans="1:6" x14ac:dyDescent="0.2">
      <c r="A350" s="3">
        <v>45566</v>
      </c>
      <c r="B350" s="43">
        <v>31553</v>
      </c>
      <c r="C350" s="17" t="s">
        <v>9</v>
      </c>
      <c r="D350" s="18">
        <v>8951423.5899999999</v>
      </c>
      <c r="E350" s="19"/>
      <c r="F350" s="15">
        <f t="shared" si="6"/>
        <v>76837087.530000001</v>
      </c>
    </row>
    <row r="351" spans="1:6" x14ac:dyDescent="0.2">
      <c r="A351" s="3">
        <v>45566</v>
      </c>
      <c r="B351" s="43">
        <v>31599</v>
      </c>
      <c r="C351" s="17" t="s">
        <v>9</v>
      </c>
      <c r="D351" s="18">
        <v>20563621.989999998</v>
      </c>
      <c r="E351" s="19"/>
      <c r="F351" s="15">
        <f t="shared" si="6"/>
        <v>56273465.540000007</v>
      </c>
    </row>
    <row r="352" spans="1:6" x14ac:dyDescent="0.2">
      <c r="A352" s="3">
        <v>45566</v>
      </c>
      <c r="B352" s="43">
        <v>31702</v>
      </c>
      <c r="C352" s="20" t="s">
        <v>28</v>
      </c>
      <c r="D352" s="18">
        <v>50000</v>
      </c>
      <c r="E352" s="19"/>
      <c r="F352" s="15">
        <f t="shared" si="6"/>
        <v>56223465.540000007</v>
      </c>
    </row>
    <row r="353" spans="1:6" x14ac:dyDescent="0.2">
      <c r="A353" s="3">
        <v>45566</v>
      </c>
      <c r="B353" s="44">
        <v>31705</v>
      </c>
      <c r="C353" s="28" t="s">
        <v>97</v>
      </c>
      <c r="D353" s="23">
        <v>50000</v>
      </c>
      <c r="E353" s="24"/>
      <c r="F353" s="15">
        <f t="shared" si="6"/>
        <v>56173465.540000007</v>
      </c>
    </row>
    <row r="354" spans="1:6" x14ac:dyDescent="0.2">
      <c r="A354" s="3">
        <v>45566</v>
      </c>
      <c r="B354" s="43">
        <v>31703</v>
      </c>
      <c r="C354" s="20" t="s">
        <v>98</v>
      </c>
      <c r="D354" s="18">
        <v>50000</v>
      </c>
      <c r="E354" s="19"/>
      <c r="F354" s="15">
        <f t="shared" si="6"/>
        <v>56123465.540000007</v>
      </c>
    </row>
    <row r="355" spans="1:6" x14ac:dyDescent="0.2">
      <c r="A355" s="3">
        <v>45566</v>
      </c>
      <c r="B355" s="43">
        <v>31704</v>
      </c>
      <c r="C355" s="20" t="s">
        <v>98</v>
      </c>
      <c r="D355" s="18">
        <v>50000</v>
      </c>
      <c r="E355" s="19"/>
      <c r="F355" s="15">
        <f t="shared" si="6"/>
        <v>56073465.540000007</v>
      </c>
    </row>
    <row r="356" spans="1:6" x14ac:dyDescent="0.2">
      <c r="A356" s="3">
        <v>45566</v>
      </c>
      <c r="B356" s="43">
        <v>4066434</v>
      </c>
      <c r="C356" s="20" t="s">
        <v>99</v>
      </c>
      <c r="D356" s="18">
        <v>100830</v>
      </c>
      <c r="E356" s="19"/>
      <c r="F356" s="15">
        <f t="shared" si="6"/>
        <v>55972635.540000007</v>
      </c>
    </row>
    <row r="357" spans="1:6" x14ac:dyDescent="0.2">
      <c r="A357" s="3">
        <v>45566</v>
      </c>
      <c r="B357" s="43">
        <v>6517676</v>
      </c>
      <c r="C357" s="20" t="s">
        <v>100</v>
      </c>
      <c r="D357" s="18">
        <v>151212.37</v>
      </c>
      <c r="E357" s="19"/>
      <c r="F357" s="15">
        <f t="shared" si="6"/>
        <v>55821423.170000009</v>
      </c>
    </row>
    <row r="358" spans="1:6" x14ac:dyDescent="0.2">
      <c r="A358" s="3">
        <v>45566</v>
      </c>
      <c r="B358" s="43">
        <v>7757905</v>
      </c>
      <c r="C358" s="20" t="s">
        <v>101</v>
      </c>
      <c r="D358" s="18">
        <v>189038</v>
      </c>
      <c r="E358" s="19"/>
      <c r="F358" s="15">
        <f t="shared" si="6"/>
        <v>55632385.170000009</v>
      </c>
    </row>
    <row r="359" spans="1:6" x14ac:dyDescent="0.2">
      <c r="A359" s="3">
        <v>45566</v>
      </c>
      <c r="B359" s="43">
        <v>4066525</v>
      </c>
      <c r="C359" s="20" t="s">
        <v>33</v>
      </c>
      <c r="D359" s="18">
        <v>1350000</v>
      </c>
      <c r="E359" s="19"/>
      <c r="F359" s="15">
        <f t="shared" si="6"/>
        <v>54282385.170000009</v>
      </c>
    </row>
    <row r="360" spans="1:6" x14ac:dyDescent="0.2">
      <c r="A360" s="3">
        <v>45566</v>
      </c>
      <c r="B360" s="43">
        <v>4067832</v>
      </c>
      <c r="C360" s="20" t="s">
        <v>102</v>
      </c>
      <c r="D360" s="18">
        <v>105000</v>
      </c>
      <c r="E360" s="19"/>
      <c r="F360" s="15">
        <f t="shared" si="6"/>
        <v>54177385.170000009</v>
      </c>
    </row>
    <row r="361" spans="1:6" x14ac:dyDescent="0.2">
      <c r="A361" s="3">
        <v>45566</v>
      </c>
      <c r="B361" s="45"/>
      <c r="C361" s="17" t="s">
        <v>34</v>
      </c>
      <c r="D361" s="18">
        <v>1200</v>
      </c>
      <c r="E361" s="19"/>
      <c r="F361" s="15">
        <f t="shared" si="6"/>
        <v>54176185.170000009</v>
      </c>
    </row>
    <row r="362" spans="1:6" x14ac:dyDescent="0.2">
      <c r="A362" s="3">
        <v>45566</v>
      </c>
      <c r="B362" s="45"/>
      <c r="C362" s="17" t="s">
        <v>16</v>
      </c>
      <c r="D362" s="18">
        <v>331387.09999999998</v>
      </c>
      <c r="E362" s="19"/>
      <c r="F362" s="15">
        <f t="shared" si="6"/>
        <v>53844798.070000008</v>
      </c>
    </row>
    <row r="363" spans="1:6" x14ac:dyDescent="0.2">
      <c r="A363" s="3">
        <v>45567</v>
      </c>
      <c r="B363" s="43">
        <v>31460</v>
      </c>
      <c r="C363" s="17" t="s">
        <v>9</v>
      </c>
      <c r="D363" s="18">
        <v>366100</v>
      </c>
      <c r="E363" s="19"/>
      <c r="F363" s="15">
        <f t="shared" si="6"/>
        <v>53478698.070000008</v>
      </c>
    </row>
    <row r="364" spans="1:6" x14ac:dyDescent="0.2">
      <c r="A364" s="3">
        <v>45567</v>
      </c>
      <c r="B364" s="43">
        <v>31558</v>
      </c>
      <c r="C364" s="17" t="s">
        <v>9</v>
      </c>
      <c r="D364" s="18">
        <v>765627.46</v>
      </c>
      <c r="E364" s="19"/>
      <c r="F364" s="15">
        <f t="shared" si="6"/>
        <v>52713070.610000007</v>
      </c>
    </row>
    <row r="365" spans="1:6" x14ac:dyDescent="0.2">
      <c r="A365" s="3">
        <v>45567</v>
      </c>
      <c r="B365" s="43">
        <v>31609</v>
      </c>
      <c r="C365" s="17" t="s">
        <v>9</v>
      </c>
      <c r="D365" s="18">
        <v>765820.62</v>
      </c>
      <c r="E365" s="19"/>
      <c r="F365" s="15">
        <f t="shared" si="6"/>
        <v>51947249.99000001</v>
      </c>
    </row>
    <row r="366" spans="1:6" x14ac:dyDescent="0.2">
      <c r="A366" s="3">
        <v>45567</v>
      </c>
      <c r="B366" s="43">
        <v>31439</v>
      </c>
      <c r="C366" s="17" t="s">
        <v>9</v>
      </c>
      <c r="D366" s="18">
        <v>1160315.43</v>
      </c>
      <c r="E366" s="19"/>
      <c r="F366" s="15">
        <f t="shared" si="6"/>
        <v>50786934.56000001</v>
      </c>
    </row>
    <row r="367" spans="1:6" x14ac:dyDescent="0.2">
      <c r="A367" s="3">
        <v>45567</v>
      </c>
      <c r="B367" s="43">
        <v>31542</v>
      </c>
      <c r="C367" s="17" t="s">
        <v>9</v>
      </c>
      <c r="D367" s="18">
        <v>1691900</v>
      </c>
      <c r="E367" s="19"/>
      <c r="F367" s="15">
        <f t="shared" si="6"/>
        <v>49095034.56000001</v>
      </c>
    </row>
    <row r="368" spans="1:6" x14ac:dyDescent="0.2">
      <c r="A368" s="3">
        <v>45567</v>
      </c>
      <c r="B368" s="43">
        <v>31612</v>
      </c>
      <c r="C368" s="17" t="s">
        <v>9</v>
      </c>
      <c r="D368" s="18">
        <v>2225364.58</v>
      </c>
      <c r="E368" s="19"/>
      <c r="F368" s="15">
        <f t="shared" si="6"/>
        <v>46869669.980000012</v>
      </c>
    </row>
    <row r="369" spans="1:6" x14ac:dyDescent="0.2">
      <c r="A369" s="3">
        <v>45567</v>
      </c>
      <c r="B369" s="43">
        <v>31690</v>
      </c>
      <c r="C369" s="17" t="s">
        <v>9</v>
      </c>
      <c r="D369" s="18">
        <v>3131640.78</v>
      </c>
      <c r="E369" s="19"/>
      <c r="F369" s="15">
        <f t="shared" si="6"/>
        <v>43738029.20000001</v>
      </c>
    </row>
    <row r="370" spans="1:6" x14ac:dyDescent="0.2">
      <c r="A370" s="3">
        <v>45567</v>
      </c>
      <c r="B370" s="43">
        <v>31543</v>
      </c>
      <c r="C370" s="17" t="s">
        <v>9</v>
      </c>
      <c r="D370" s="18">
        <v>7463414</v>
      </c>
      <c r="E370" s="19"/>
      <c r="F370" s="15">
        <f t="shared" si="6"/>
        <v>36274615.20000001</v>
      </c>
    </row>
    <row r="371" spans="1:6" x14ac:dyDescent="0.2">
      <c r="A371" s="3">
        <v>45567</v>
      </c>
      <c r="B371" s="43">
        <v>31700</v>
      </c>
      <c r="C371" s="20" t="s">
        <v>28</v>
      </c>
      <c r="D371" s="18">
        <v>50000</v>
      </c>
      <c r="E371" s="19"/>
      <c r="F371" s="15">
        <f t="shared" si="6"/>
        <v>36224615.20000001</v>
      </c>
    </row>
    <row r="372" spans="1:6" x14ac:dyDescent="0.2">
      <c r="A372" s="3">
        <v>45567</v>
      </c>
      <c r="B372" s="43">
        <v>31699</v>
      </c>
      <c r="C372" s="20" t="s">
        <v>29</v>
      </c>
      <c r="D372" s="18">
        <v>50000</v>
      </c>
      <c r="E372" s="19"/>
      <c r="F372" s="15">
        <f t="shared" si="6"/>
        <v>36174615.20000001</v>
      </c>
    </row>
    <row r="373" spans="1:6" x14ac:dyDescent="0.2">
      <c r="A373" s="3">
        <v>45567</v>
      </c>
      <c r="B373" s="43">
        <v>31697</v>
      </c>
      <c r="C373" s="20" t="s">
        <v>97</v>
      </c>
      <c r="D373" s="18">
        <v>50000</v>
      </c>
      <c r="E373" s="19"/>
      <c r="F373" s="15">
        <f t="shared" si="6"/>
        <v>36124615.20000001</v>
      </c>
    </row>
    <row r="374" spans="1:6" x14ac:dyDescent="0.2">
      <c r="A374" s="3">
        <v>45567</v>
      </c>
      <c r="B374" s="43">
        <v>31698</v>
      </c>
      <c r="C374" s="20" t="s">
        <v>30</v>
      </c>
      <c r="D374" s="18">
        <v>50000</v>
      </c>
      <c r="E374" s="19"/>
      <c r="F374" s="15">
        <f t="shared" si="6"/>
        <v>36074615.20000001</v>
      </c>
    </row>
    <row r="375" spans="1:6" x14ac:dyDescent="0.2">
      <c r="A375" s="3">
        <v>45567</v>
      </c>
      <c r="B375" s="43">
        <v>304850</v>
      </c>
      <c r="C375" s="20" t="s">
        <v>10</v>
      </c>
      <c r="D375" s="25"/>
      <c r="E375" s="25">
        <v>20000000</v>
      </c>
      <c r="F375" s="15">
        <f t="shared" si="6"/>
        <v>56074615.20000001</v>
      </c>
    </row>
    <row r="376" spans="1:6" x14ac:dyDescent="0.2">
      <c r="A376" s="3">
        <v>45567</v>
      </c>
      <c r="B376" s="43">
        <v>324956</v>
      </c>
      <c r="C376" s="20" t="s">
        <v>10</v>
      </c>
      <c r="D376" s="25"/>
      <c r="E376" s="25">
        <v>20000000</v>
      </c>
      <c r="F376" s="15">
        <f t="shared" si="6"/>
        <v>76074615.200000018</v>
      </c>
    </row>
    <row r="377" spans="1:6" x14ac:dyDescent="0.2">
      <c r="A377" s="3">
        <v>45567</v>
      </c>
      <c r="B377" s="43">
        <v>304911</v>
      </c>
      <c r="C377" s="20" t="s">
        <v>10</v>
      </c>
      <c r="D377" s="25"/>
      <c r="E377" s="25">
        <v>20000000</v>
      </c>
      <c r="F377" s="15">
        <f t="shared" si="6"/>
        <v>96074615.200000018</v>
      </c>
    </row>
    <row r="378" spans="1:6" x14ac:dyDescent="0.2">
      <c r="A378" s="3">
        <v>45567</v>
      </c>
      <c r="B378" s="43">
        <v>325007</v>
      </c>
      <c r="C378" s="20" t="s">
        <v>10</v>
      </c>
      <c r="D378" s="25"/>
      <c r="E378" s="25">
        <v>10000000</v>
      </c>
      <c r="F378" s="15">
        <f t="shared" si="6"/>
        <v>106074615.20000002</v>
      </c>
    </row>
    <row r="379" spans="1:6" x14ac:dyDescent="0.2">
      <c r="A379" s="3">
        <v>45567</v>
      </c>
      <c r="B379" s="45"/>
      <c r="C379" s="17" t="s">
        <v>34</v>
      </c>
      <c r="D379" s="18">
        <v>2400</v>
      </c>
      <c r="E379" s="19"/>
      <c r="F379" s="15">
        <f t="shared" si="6"/>
        <v>106072215.20000002</v>
      </c>
    </row>
    <row r="380" spans="1:6" x14ac:dyDescent="0.2">
      <c r="A380" s="3">
        <v>45567</v>
      </c>
      <c r="B380" s="45"/>
      <c r="C380" s="17" t="s">
        <v>16</v>
      </c>
      <c r="D380" s="18">
        <v>105421.08</v>
      </c>
      <c r="E380" s="19"/>
      <c r="F380" s="15">
        <f t="shared" si="6"/>
        <v>105966794.12000002</v>
      </c>
    </row>
    <row r="381" spans="1:6" x14ac:dyDescent="0.2">
      <c r="A381" s="3">
        <v>45567</v>
      </c>
      <c r="B381" s="45"/>
      <c r="C381" s="20" t="s">
        <v>103</v>
      </c>
      <c r="D381" s="18">
        <v>2000</v>
      </c>
      <c r="E381" s="19"/>
      <c r="F381" s="15">
        <f t="shared" si="6"/>
        <v>105964794.12000002</v>
      </c>
    </row>
    <row r="382" spans="1:6" x14ac:dyDescent="0.2">
      <c r="A382" s="3">
        <v>45567</v>
      </c>
      <c r="B382" s="45"/>
      <c r="C382" s="17" t="s">
        <v>8</v>
      </c>
      <c r="D382" s="18">
        <v>420</v>
      </c>
      <c r="E382" s="19"/>
      <c r="F382" s="15">
        <f t="shared" si="6"/>
        <v>105964374.12000002</v>
      </c>
    </row>
    <row r="383" spans="1:6" x14ac:dyDescent="0.2">
      <c r="A383" s="3">
        <v>45567</v>
      </c>
      <c r="B383" s="45"/>
      <c r="C383" s="17" t="s">
        <v>37</v>
      </c>
      <c r="D383" s="18">
        <v>60</v>
      </c>
      <c r="E383" s="19"/>
      <c r="F383" s="15">
        <f t="shared" si="6"/>
        <v>105964314.12000002</v>
      </c>
    </row>
    <row r="384" spans="1:6" x14ac:dyDescent="0.2">
      <c r="A384" s="3">
        <v>45568</v>
      </c>
      <c r="B384" s="45"/>
      <c r="C384" s="20" t="s">
        <v>35</v>
      </c>
      <c r="D384" s="18">
        <v>4000</v>
      </c>
      <c r="E384" s="19"/>
      <c r="F384" s="15">
        <f t="shared" si="6"/>
        <v>105960314.12000002</v>
      </c>
    </row>
    <row r="385" spans="1:6" x14ac:dyDescent="0.2">
      <c r="A385" s="3">
        <v>45568</v>
      </c>
      <c r="B385" s="45"/>
      <c r="C385" s="17" t="s">
        <v>36</v>
      </c>
      <c r="D385" s="18">
        <v>60</v>
      </c>
      <c r="E385" s="19"/>
      <c r="F385" s="15">
        <f t="shared" si="6"/>
        <v>105960254.12000002</v>
      </c>
    </row>
    <row r="386" spans="1:6" x14ac:dyDescent="0.2">
      <c r="A386" s="3">
        <v>45568</v>
      </c>
      <c r="B386" s="45"/>
      <c r="C386" s="17" t="s">
        <v>8</v>
      </c>
      <c r="D386" s="18">
        <v>840</v>
      </c>
      <c r="E386" s="19"/>
      <c r="F386" s="15">
        <f t="shared" si="6"/>
        <v>105959414.12000002</v>
      </c>
    </row>
    <row r="387" spans="1:6" x14ac:dyDescent="0.2">
      <c r="A387" s="3">
        <v>45568</v>
      </c>
      <c r="B387" s="45"/>
      <c r="C387" s="17" t="s">
        <v>37</v>
      </c>
      <c r="D387" s="18">
        <v>120</v>
      </c>
      <c r="E387" s="19"/>
      <c r="F387" s="15">
        <f t="shared" si="6"/>
        <v>105959294.12000002</v>
      </c>
    </row>
    <row r="388" spans="1:6" x14ac:dyDescent="0.2">
      <c r="A388" s="3">
        <v>45568</v>
      </c>
      <c r="B388" s="43">
        <v>23718</v>
      </c>
      <c r="C388" s="20" t="s">
        <v>11</v>
      </c>
      <c r="D388" s="18">
        <v>5788909</v>
      </c>
      <c r="E388" s="19"/>
      <c r="F388" s="15">
        <f t="shared" si="6"/>
        <v>100170385.12000002</v>
      </c>
    </row>
    <row r="389" spans="1:6" x14ac:dyDescent="0.2">
      <c r="A389" s="3">
        <v>45568</v>
      </c>
      <c r="B389" s="43">
        <v>31701</v>
      </c>
      <c r="C389" s="20" t="s">
        <v>98</v>
      </c>
      <c r="D389" s="18">
        <v>50000</v>
      </c>
      <c r="E389" s="19"/>
      <c r="F389" s="15">
        <f t="shared" si="6"/>
        <v>100120385.12000002</v>
      </c>
    </row>
    <row r="390" spans="1:6" x14ac:dyDescent="0.2">
      <c r="A390" s="3">
        <v>45568</v>
      </c>
      <c r="B390" s="43">
        <v>4238485</v>
      </c>
      <c r="C390" s="20" t="s">
        <v>19</v>
      </c>
      <c r="D390" s="18">
        <v>3311143.2</v>
      </c>
      <c r="E390" s="19"/>
      <c r="F390" s="15">
        <f t="shared" si="6"/>
        <v>96809241.920000017</v>
      </c>
    </row>
    <row r="391" spans="1:6" x14ac:dyDescent="0.2">
      <c r="A391" s="3">
        <v>45568</v>
      </c>
      <c r="B391" s="43">
        <v>4238486</v>
      </c>
      <c r="C391" s="20" t="s">
        <v>20</v>
      </c>
      <c r="D391" s="18">
        <v>1863000</v>
      </c>
      <c r="E391" s="19"/>
      <c r="F391" s="15">
        <f t="shared" si="6"/>
        <v>94946241.920000017</v>
      </c>
    </row>
    <row r="392" spans="1:6" x14ac:dyDescent="0.2">
      <c r="A392" s="3">
        <v>45568</v>
      </c>
      <c r="B392" s="43">
        <v>31432</v>
      </c>
      <c r="C392" s="17" t="s">
        <v>12</v>
      </c>
      <c r="D392" s="18">
        <v>4334614</v>
      </c>
      <c r="E392" s="19"/>
      <c r="F392" s="15">
        <f t="shared" si="6"/>
        <v>90611627.920000017</v>
      </c>
    </row>
    <row r="393" spans="1:6" x14ac:dyDescent="0.2">
      <c r="A393" s="3">
        <v>45568</v>
      </c>
      <c r="B393" s="46">
        <v>31434</v>
      </c>
      <c r="C393" s="47" t="s">
        <v>12</v>
      </c>
      <c r="D393" s="48">
        <v>6093103.3499999996</v>
      </c>
      <c r="E393" s="49"/>
      <c r="F393" s="15">
        <f t="shared" si="6"/>
        <v>84518524.570000023</v>
      </c>
    </row>
    <row r="394" spans="1:6" x14ac:dyDescent="0.2">
      <c r="A394" s="3">
        <v>45568</v>
      </c>
      <c r="B394" s="50"/>
      <c r="C394" s="22" t="s">
        <v>13</v>
      </c>
      <c r="D394" s="23">
        <v>72246488</v>
      </c>
      <c r="E394" s="24"/>
      <c r="F394" s="15">
        <f t="shared" si="6"/>
        <v>12272036.570000023</v>
      </c>
    </row>
    <row r="395" spans="1:6" x14ac:dyDescent="0.2">
      <c r="A395" s="3">
        <v>45568</v>
      </c>
      <c r="B395" s="45"/>
      <c r="C395" s="17" t="s">
        <v>14</v>
      </c>
      <c r="D395" s="18">
        <v>2026.13</v>
      </c>
      <c r="E395" s="19"/>
      <c r="F395" s="15">
        <f t="shared" si="6"/>
        <v>12270010.440000022</v>
      </c>
    </row>
    <row r="396" spans="1:6" x14ac:dyDescent="0.2">
      <c r="A396" s="3">
        <v>45568</v>
      </c>
      <c r="B396" s="45"/>
      <c r="C396" s="17" t="s">
        <v>15</v>
      </c>
      <c r="D396" s="18">
        <v>425.49</v>
      </c>
      <c r="E396" s="19"/>
      <c r="F396" s="15">
        <f t="shared" si="6"/>
        <v>12269584.950000022</v>
      </c>
    </row>
    <row r="397" spans="1:6" x14ac:dyDescent="0.2">
      <c r="A397" s="3">
        <v>45568</v>
      </c>
      <c r="B397" s="45"/>
      <c r="C397" s="17" t="s">
        <v>16</v>
      </c>
      <c r="D397" s="18">
        <v>562183.25</v>
      </c>
      <c r="E397" s="19"/>
      <c r="F397" s="15">
        <f t="shared" ref="F397:F460" si="7">+F396+E397-D397</f>
        <v>11707401.700000022</v>
      </c>
    </row>
    <row r="398" spans="1:6" x14ac:dyDescent="0.2">
      <c r="A398" s="3">
        <v>45569</v>
      </c>
      <c r="B398" s="43">
        <v>8189</v>
      </c>
      <c r="C398" s="17" t="s">
        <v>24</v>
      </c>
      <c r="D398" s="19"/>
      <c r="E398" s="18">
        <v>48140.800000000003</v>
      </c>
      <c r="F398" s="15">
        <f t="shared" si="7"/>
        <v>11755542.500000022</v>
      </c>
    </row>
    <row r="399" spans="1:6" x14ac:dyDescent="0.2">
      <c r="A399" s="3">
        <v>45569</v>
      </c>
      <c r="B399" s="43">
        <v>31693</v>
      </c>
      <c r="C399" s="17" t="s">
        <v>9</v>
      </c>
      <c r="D399" s="18">
        <v>544752.39</v>
      </c>
      <c r="E399" s="19"/>
      <c r="F399" s="15">
        <f t="shared" si="7"/>
        <v>11210790.110000022</v>
      </c>
    </row>
    <row r="400" spans="1:6" x14ac:dyDescent="0.2">
      <c r="A400" s="3">
        <v>45569</v>
      </c>
      <c r="B400" s="43">
        <v>206550</v>
      </c>
      <c r="C400" s="20" t="s">
        <v>26</v>
      </c>
      <c r="D400" s="18">
        <v>6000000</v>
      </c>
      <c r="E400" s="19"/>
      <c r="F400" s="15">
        <f t="shared" si="7"/>
        <v>5210790.1100000218</v>
      </c>
    </row>
    <row r="401" spans="1:6" x14ac:dyDescent="0.2">
      <c r="A401" s="3">
        <v>45569</v>
      </c>
      <c r="B401" s="43">
        <v>9754</v>
      </c>
      <c r="C401" s="20" t="s">
        <v>21</v>
      </c>
      <c r="D401" s="19"/>
      <c r="E401" s="18">
        <v>60736.6</v>
      </c>
      <c r="F401" s="15">
        <f t="shared" si="7"/>
        <v>5271526.7100000214</v>
      </c>
    </row>
    <row r="402" spans="1:6" x14ac:dyDescent="0.2">
      <c r="A402" s="3">
        <v>45569</v>
      </c>
      <c r="B402" s="43">
        <v>31740</v>
      </c>
      <c r="C402" s="17" t="s">
        <v>12</v>
      </c>
      <c r="D402" s="18">
        <v>211442.38</v>
      </c>
      <c r="E402" s="19"/>
      <c r="F402" s="15">
        <f t="shared" si="7"/>
        <v>5060084.3300000215</v>
      </c>
    </row>
    <row r="403" spans="1:6" x14ac:dyDescent="0.2">
      <c r="A403" s="3">
        <v>45569</v>
      </c>
      <c r="B403" s="45"/>
      <c r="C403" s="17" t="s">
        <v>22</v>
      </c>
      <c r="D403" s="18">
        <v>653.26</v>
      </c>
      <c r="E403" s="19"/>
      <c r="F403" s="15">
        <f t="shared" si="7"/>
        <v>5059431.0700000217</v>
      </c>
    </row>
    <row r="404" spans="1:6" x14ac:dyDescent="0.2">
      <c r="A404" s="3">
        <v>45569</v>
      </c>
      <c r="B404" s="45"/>
      <c r="C404" s="17" t="s">
        <v>16</v>
      </c>
      <c r="D404" s="18">
        <v>40537.160000000003</v>
      </c>
      <c r="E404" s="19"/>
      <c r="F404" s="15">
        <f t="shared" si="7"/>
        <v>5018893.9100000216</v>
      </c>
    </row>
    <row r="405" spans="1:6" x14ac:dyDescent="0.2">
      <c r="A405" s="3">
        <v>45569</v>
      </c>
      <c r="B405" s="45"/>
      <c r="C405" s="20" t="s">
        <v>104</v>
      </c>
      <c r="D405" s="18">
        <v>217.75</v>
      </c>
      <c r="E405" s="19"/>
      <c r="F405" s="15">
        <f t="shared" si="7"/>
        <v>5018676.1600000216</v>
      </c>
    </row>
    <row r="406" spans="1:6" x14ac:dyDescent="0.2">
      <c r="A406" s="3">
        <v>45572</v>
      </c>
      <c r="B406" s="43">
        <v>31678</v>
      </c>
      <c r="C406" s="17" t="s">
        <v>9</v>
      </c>
      <c r="D406" s="18">
        <v>349154.22</v>
      </c>
      <c r="E406" s="19"/>
      <c r="F406" s="15">
        <f t="shared" si="7"/>
        <v>4669521.9400000218</v>
      </c>
    </row>
    <row r="407" spans="1:6" x14ac:dyDescent="0.2">
      <c r="A407" s="3">
        <v>45572</v>
      </c>
      <c r="B407" s="43">
        <v>31751</v>
      </c>
      <c r="C407" s="17" t="s">
        <v>9</v>
      </c>
      <c r="D407" s="18">
        <v>5333094.25</v>
      </c>
      <c r="E407" s="19"/>
      <c r="F407" s="15">
        <f t="shared" si="7"/>
        <v>-663572.30999997817</v>
      </c>
    </row>
    <row r="408" spans="1:6" x14ac:dyDescent="0.2">
      <c r="A408" s="3">
        <v>45572</v>
      </c>
      <c r="B408" s="43">
        <v>7567764</v>
      </c>
      <c r="C408" s="20" t="s">
        <v>105</v>
      </c>
      <c r="D408" s="19"/>
      <c r="E408" s="18">
        <v>72022.16</v>
      </c>
      <c r="F408" s="15">
        <f t="shared" si="7"/>
        <v>-591550.14999997814</v>
      </c>
    </row>
    <row r="409" spans="1:6" x14ac:dyDescent="0.2">
      <c r="A409" s="3">
        <v>45572</v>
      </c>
      <c r="B409" s="43">
        <v>5359764</v>
      </c>
      <c r="C409" s="17" t="s">
        <v>106</v>
      </c>
      <c r="D409" s="25"/>
      <c r="E409" s="25">
        <v>3009322.84</v>
      </c>
      <c r="F409" s="15">
        <f t="shared" si="7"/>
        <v>2417772.6900000218</v>
      </c>
    </row>
    <row r="410" spans="1:6" x14ac:dyDescent="0.2">
      <c r="A410" s="3">
        <v>45572</v>
      </c>
      <c r="B410" s="43">
        <v>31511</v>
      </c>
      <c r="C410" s="17" t="s">
        <v>12</v>
      </c>
      <c r="D410" s="18">
        <v>2815596</v>
      </c>
      <c r="E410" s="19"/>
      <c r="F410" s="15">
        <f t="shared" si="7"/>
        <v>-397823.30999997817</v>
      </c>
    </row>
    <row r="411" spans="1:6" x14ac:dyDescent="0.2">
      <c r="A411" s="3">
        <v>45572</v>
      </c>
      <c r="B411" s="43">
        <v>31562</v>
      </c>
      <c r="C411" s="17" t="s">
        <v>12</v>
      </c>
      <c r="D411" s="18">
        <v>5272856</v>
      </c>
      <c r="E411" s="19"/>
      <c r="F411" s="15">
        <f t="shared" si="7"/>
        <v>-5670679.3099999782</v>
      </c>
    </row>
    <row r="412" spans="1:6" x14ac:dyDescent="0.2">
      <c r="A412" s="3">
        <v>45572</v>
      </c>
      <c r="B412" s="43">
        <v>31490</v>
      </c>
      <c r="C412" s="17" t="s">
        <v>12</v>
      </c>
      <c r="D412" s="18">
        <v>8426553</v>
      </c>
      <c r="E412" s="19"/>
      <c r="F412" s="15">
        <f t="shared" si="7"/>
        <v>-14097232.309999978</v>
      </c>
    </row>
    <row r="413" spans="1:6" x14ac:dyDescent="0.2">
      <c r="A413" s="3">
        <v>45572</v>
      </c>
      <c r="B413" s="45"/>
      <c r="C413" s="17" t="s">
        <v>22</v>
      </c>
      <c r="D413" s="18">
        <v>432.13</v>
      </c>
      <c r="E413" s="19"/>
      <c r="F413" s="15">
        <f t="shared" si="7"/>
        <v>-14097664.439999979</v>
      </c>
    </row>
    <row r="414" spans="1:6" x14ac:dyDescent="0.2">
      <c r="A414" s="3">
        <v>45572</v>
      </c>
      <c r="B414" s="45"/>
      <c r="C414" s="17" t="s">
        <v>16</v>
      </c>
      <c r="D414" s="18">
        <v>133184.85</v>
      </c>
      <c r="E414" s="19"/>
      <c r="F414" s="15">
        <f t="shared" si="7"/>
        <v>-14230849.289999979</v>
      </c>
    </row>
    <row r="415" spans="1:6" x14ac:dyDescent="0.2">
      <c r="A415" s="3">
        <v>45572</v>
      </c>
      <c r="B415" s="45"/>
      <c r="C415" s="20" t="s">
        <v>107</v>
      </c>
      <c r="D415" s="18">
        <v>144.04</v>
      </c>
      <c r="E415" s="19"/>
      <c r="F415" s="15">
        <f t="shared" si="7"/>
        <v>-14230993.329999978</v>
      </c>
    </row>
    <row r="416" spans="1:6" x14ac:dyDescent="0.2">
      <c r="A416" s="3">
        <v>45573</v>
      </c>
      <c r="B416" s="43">
        <v>41354424</v>
      </c>
      <c r="C416" s="17" t="s">
        <v>108</v>
      </c>
      <c r="D416" s="18">
        <v>42158.76</v>
      </c>
      <c r="E416" s="19"/>
      <c r="F416" s="15">
        <f t="shared" si="7"/>
        <v>-14273152.089999977</v>
      </c>
    </row>
    <row r="417" spans="1:6" x14ac:dyDescent="0.2">
      <c r="A417" s="3">
        <v>45573</v>
      </c>
      <c r="B417" s="43">
        <v>7817774</v>
      </c>
      <c r="C417" s="20" t="s">
        <v>109</v>
      </c>
      <c r="D417" s="19"/>
      <c r="E417" s="18">
        <v>17565</v>
      </c>
      <c r="F417" s="15">
        <f t="shared" si="7"/>
        <v>-14255587.089999977</v>
      </c>
    </row>
    <row r="418" spans="1:6" x14ac:dyDescent="0.2">
      <c r="A418" s="3">
        <v>45573</v>
      </c>
      <c r="B418" s="43">
        <v>5376895</v>
      </c>
      <c r="C418" s="17" t="s">
        <v>106</v>
      </c>
      <c r="D418" s="25"/>
      <c r="E418" s="25">
        <v>16018876.300000001</v>
      </c>
      <c r="F418" s="15">
        <f t="shared" si="7"/>
        <v>1763289.2100000232</v>
      </c>
    </row>
    <row r="419" spans="1:6" x14ac:dyDescent="0.2">
      <c r="A419" s="3">
        <v>45573</v>
      </c>
      <c r="B419" s="45"/>
      <c r="C419" s="17" t="s">
        <v>16</v>
      </c>
      <c r="D419" s="18">
        <v>253.81</v>
      </c>
      <c r="E419" s="19"/>
      <c r="F419" s="15">
        <f t="shared" si="7"/>
        <v>1763035.4000000232</v>
      </c>
    </row>
    <row r="420" spans="1:6" x14ac:dyDescent="0.2">
      <c r="A420" s="3">
        <v>45573</v>
      </c>
      <c r="B420" s="45"/>
      <c r="C420" s="17" t="s">
        <v>22</v>
      </c>
      <c r="D420" s="18">
        <v>105.39</v>
      </c>
      <c r="E420" s="19"/>
      <c r="F420" s="15">
        <f t="shared" si="7"/>
        <v>1762930.0100000233</v>
      </c>
    </row>
    <row r="421" spans="1:6" x14ac:dyDescent="0.2">
      <c r="A421" s="3">
        <v>45573</v>
      </c>
      <c r="B421" s="51"/>
      <c r="C421" s="9" t="s">
        <v>110</v>
      </c>
      <c r="D421" s="48">
        <v>35.130000000000003</v>
      </c>
      <c r="E421" s="49"/>
      <c r="F421" s="15">
        <f t="shared" si="7"/>
        <v>1762894.8800000234</v>
      </c>
    </row>
    <row r="422" spans="1:6" x14ac:dyDescent="0.2">
      <c r="A422" s="3">
        <v>45574</v>
      </c>
      <c r="B422" s="44">
        <v>31660</v>
      </c>
      <c r="C422" s="22" t="s">
        <v>9</v>
      </c>
      <c r="D422" s="23">
        <v>234000</v>
      </c>
      <c r="E422" s="24"/>
      <c r="F422" s="15">
        <f t="shared" si="7"/>
        <v>1528894.8800000234</v>
      </c>
    </row>
    <row r="423" spans="1:6" x14ac:dyDescent="0.2">
      <c r="A423" s="3">
        <v>45574</v>
      </c>
      <c r="B423" s="43">
        <v>19364785</v>
      </c>
      <c r="C423" s="20" t="s">
        <v>111</v>
      </c>
      <c r="D423" s="19"/>
      <c r="E423" s="18">
        <v>13700</v>
      </c>
      <c r="F423" s="15">
        <f t="shared" si="7"/>
        <v>1542594.8800000234</v>
      </c>
    </row>
    <row r="424" spans="1:6" x14ac:dyDescent="0.2">
      <c r="A424" s="3">
        <v>45574</v>
      </c>
      <c r="B424" s="45"/>
      <c r="C424" s="17" t="s">
        <v>16</v>
      </c>
      <c r="D424" s="18">
        <v>1404.21</v>
      </c>
      <c r="E424" s="19"/>
      <c r="F424" s="15">
        <f t="shared" si="7"/>
        <v>1541190.6700000234</v>
      </c>
    </row>
    <row r="425" spans="1:6" x14ac:dyDescent="0.2">
      <c r="A425" s="3">
        <v>45574</v>
      </c>
      <c r="B425" s="45"/>
      <c r="C425" s="17" t="s">
        <v>22</v>
      </c>
      <c r="D425" s="18">
        <v>82.2</v>
      </c>
      <c r="E425" s="19"/>
      <c r="F425" s="15">
        <f t="shared" si="7"/>
        <v>1541108.4700000235</v>
      </c>
    </row>
    <row r="426" spans="1:6" x14ac:dyDescent="0.2">
      <c r="A426" s="3">
        <v>45574</v>
      </c>
      <c r="B426" s="45"/>
      <c r="C426" s="20" t="s">
        <v>112</v>
      </c>
      <c r="D426" s="18">
        <v>27.4</v>
      </c>
      <c r="E426" s="19"/>
      <c r="F426" s="15">
        <f t="shared" si="7"/>
        <v>1541081.0700000236</v>
      </c>
    </row>
    <row r="427" spans="1:6" x14ac:dyDescent="0.2">
      <c r="A427" s="3">
        <v>45575</v>
      </c>
      <c r="B427" s="43">
        <v>31670</v>
      </c>
      <c r="C427" s="17" t="s">
        <v>9</v>
      </c>
      <c r="D427" s="18">
        <v>431150.94</v>
      </c>
      <c r="E427" s="19"/>
      <c r="F427" s="15">
        <f t="shared" si="7"/>
        <v>1109930.1300000236</v>
      </c>
    </row>
    <row r="428" spans="1:6" x14ac:dyDescent="0.2">
      <c r="A428" s="3">
        <v>45575</v>
      </c>
      <c r="B428" s="45"/>
      <c r="C428" s="17" t="s">
        <v>113</v>
      </c>
      <c r="D428" s="18">
        <v>432.13</v>
      </c>
      <c r="E428" s="19"/>
      <c r="F428" s="15">
        <f t="shared" si="7"/>
        <v>1109498.0000000237</v>
      </c>
    </row>
    <row r="429" spans="1:6" x14ac:dyDescent="0.2">
      <c r="A429" s="3">
        <v>45575</v>
      </c>
      <c r="B429" s="45"/>
      <c r="C429" s="17" t="s">
        <v>8</v>
      </c>
      <c r="D429" s="18">
        <v>90.75</v>
      </c>
      <c r="E429" s="19"/>
      <c r="F429" s="15">
        <f t="shared" si="7"/>
        <v>1109407.2500000237</v>
      </c>
    </row>
    <row r="430" spans="1:6" x14ac:dyDescent="0.2">
      <c r="A430" s="3">
        <v>45575</v>
      </c>
      <c r="B430" s="43">
        <v>31676</v>
      </c>
      <c r="C430" s="17" t="s">
        <v>12</v>
      </c>
      <c r="D430" s="18">
        <v>139984.20000000001</v>
      </c>
      <c r="E430" s="19"/>
      <c r="F430" s="15">
        <f t="shared" si="7"/>
        <v>969423.0500000238</v>
      </c>
    </row>
    <row r="431" spans="1:6" x14ac:dyDescent="0.2">
      <c r="A431" s="3">
        <v>45575</v>
      </c>
      <c r="B431" s="45"/>
      <c r="C431" s="17" t="s">
        <v>16</v>
      </c>
      <c r="D431" s="18">
        <v>3430.11</v>
      </c>
      <c r="E431" s="19"/>
      <c r="F431" s="15">
        <f t="shared" si="7"/>
        <v>965992.94000002381</v>
      </c>
    </row>
    <row r="432" spans="1:6" x14ac:dyDescent="0.2">
      <c r="A432" s="3">
        <v>45579</v>
      </c>
      <c r="B432" s="43">
        <v>31669</v>
      </c>
      <c r="C432" s="17" t="s">
        <v>9</v>
      </c>
      <c r="D432" s="18">
        <v>611553.15</v>
      </c>
      <c r="E432" s="19"/>
      <c r="F432" s="15">
        <f t="shared" si="7"/>
        <v>354439.79000002379</v>
      </c>
    </row>
    <row r="433" spans="1:6" x14ac:dyDescent="0.2">
      <c r="A433" s="3">
        <v>45579</v>
      </c>
      <c r="B433" s="43">
        <v>5421876</v>
      </c>
      <c r="C433" s="17" t="s">
        <v>106</v>
      </c>
      <c r="D433" s="25"/>
      <c r="E433" s="25">
        <v>2008737.29</v>
      </c>
      <c r="F433" s="15">
        <f t="shared" si="7"/>
        <v>2363177.0800000238</v>
      </c>
    </row>
    <row r="434" spans="1:6" x14ac:dyDescent="0.2">
      <c r="A434" s="3">
        <v>45579</v>
      </c>
      <c r="B434" s="45"/>
      <c r="C434" s="17" t="s">
        <v>16</v>
      </c>
      <c r="D434" s="18">
        <v>3669.32</v>
      </c>
      <c r="E434" s="19"/>
      <c r="F434" s="15">
        <f t="shared" si="7"/>
        <v>2359507.760000024</v>
      </c>
    </row>
    <row r="435" spans="1:6" x14ac:dyDescent="0.2">
      <c r="A435" s="3">
        <v>45580</v>
      </c>
      <c r="B435" s="43">
        <v>444804</v>
      </c>
      <c r="C435" s="20" t="s">
        <v>38</v>
      </c>
      <c r="D435" s="19"/>
      <c r="E435" s="18">
        <v>69804.899999999994</v>
      </c>
      <c r="F435" s="15">
        <f t="shared" si="7"/>
        <v>2429312.6600000239</v>
      </c>
    </row>
    <row r="436" spans="1:6" x14ac:dyDescent="0.2">
      <c r="A436" s="3">
        <v>45580</v>
      </c>
      <c r="B436" s="45"/>
      <c r="C436" s="17" t="s">
        <v>22</v>
      </c>
      <c r="D436" s="18">
        <v>418.83</v>
      </c>
      <c r="E436" s="19"/>
      <c r="F436" s="15">
        <f t="shared" si="7"/>
        <v>2428893.8300000238</v>
      </c>
    </row>
    <row r="437" spans="1:6" x14ac:dyDescent="0.2">
      <c r="A437" s="3">
        <v>45580</v>
      </c>
      <c r="B437" s="45"/>
      <c r="C437" s="20" t="s">
        <v>114</v>
      </c>
      <c r="D437" s="18">
        <v>139.61000000000001</v>
      </c>
      <c r="E437" s="19"/>
      <c r="F437" s="15">
        <f t="shared" si="7"/>
        <v>2428754.220000024</v>
      </c>
    </row>
    <row r="438" spans="1:6" x14ac:dyDescent="0.2">
      <c r="A438" s="3">
        <v>45581</v>
      </c>
      <c r="B438" s="43">
        <v>31614</v>
      </c>
      <c r="C438" s="17" t="s">
        <v>9</v>
      </c>
      <c r="D438" s="18">
        <v>126000</v>
      </c>
      <c r="E438" s="19"/>
      <c r="F438" s="15">
        <f t="shared" si="7"/>
        <v>2302754.220000024</v>
      </c>
    </row>
    <row r="439" spans="1:6" x14ac:dyDescent="0.2">
      <c r="A439" s="3">
        <v>45581</v>
      </c>
      <c r="B439" s="43">
        <v>31749</v>
      </c>
      <c r="C439" s="17" t="s">
        <v>9</v>
      </c>
      <c r="D439" s="18">
        <v>187500</v>
      </c>
      <c r="E439" s="19"/>
      <c r="F439" s="15">
        <f t="shared" si="7"/>
        <v>2115254.220000024</v>
      </c>
    </row>
    <row r="440" spans="1:6" x14ac:dyDescent="0.2">
      <c r="A440" s="3">
        <v>45581</v>
      </c>
      <c r="B440" s="43">
        <v>67931</v>
      </c>
      <c r="C440" s="20" t="s">
        <v>46</v>
      </c>
      <c r="D440" s="18">
        <v>46768.9</v>
      </c>
      <c r="E440" s="19"/>
      <c r="F440" s="15">
        <f t="shared" si="7"/>
        <v>2068485.320000024</v>
      </c>
    </row>
    <row r="441" spans="1:6" x14ac:dyDescent="0.2">
      <c r="A441" s="3">
        <v>45581</v>
      </c>
      <c r="B441" s="43">
        <v>67932</v>
      </c>
      <c r="C441" s="20" t="s">
        <v>46</v>
      </c>
      <c r="D441" s="18">
        <v>567067.54</v>
      </c>
      <c r="E441" s="19"/>
      <c r="F441" s="15">
        <f t="shared" si="7"/>
        <v>1501417.780000024</v>
      </c>
    </row>
    <row r="442" spans="1:6" x14ac:dyDescent="0.2">
      <c r="A442" s="3">
        <v>45581</v>
      </c>
      <c r="B442" s="43">
        <v>120659</v>
      </c>
      <c r="C442" s="20" t="s">
        <v>46</v>
      </c>
      <c r="D442" s="18">
        <v>293260.37</v>
      </c>
      <c r="E442" s="19"/>
      <c r="F442" s="15">
        <f t="shared" si="7"/>
        <v>1208157.4100000239</v>
      </c>
    </row>
    <row r="443" spans="1:6" x14ac:dyDescent="0.2">
      <c r="A443" s="3">
        <v>45581</v>
      </c>
      <c r="B443" s="43">
        <v>281104</v>
      </c>
      <c r="C443" s="20" t="s">
        <v>46</v>
      </c>
      <c r="D443" s="18">
        <v>531862.86</v>
      </c>
      <c r="E443" s="19"/>
      <c r="F443" s="15">
        <f t="shared" si="7"/>
        <v>676294.55000002391</v>
      </c>
    </row>
    <row r="444" spans="1:6" x14ac:dyDescent="0.2">
      <c r="A444" s="3">
        <v>45581</v>
      </c>
      <c r="B444" s="43">
        <v>542690</v>
      </c>
      <c r="C444" s="20" t="s">
        <v>10</v>
      </c>
      <c r="D444" s="25"/>
      <c r="E444" s="25">
        <v>20000000</v>
      </c>
      <c r="F444" s="15">
        <f t="shared" si="7"/>
        <v>20676294.550000023</v>
      </c>
    </row>
    <row r="445" spans="1:6" x14ac:dyDescent="0.2">
      <c r="A445" s="3">
        <v>45581</v>
      </c>
      <c r="B445" s="43">
        <v>475306</v>
      </c>
      <c r="C445" s="20" t="s">
        <v>10</v>
      </c>
      <c r="D445" s="25"/>
      <c r="E445" s="25">
        <v>20000000</v>
      </c>
      <c r="F445" s="15">
        <f t="shared" si="7"/>
        <v>40676294.550000027</v>
      </c>
    </row>
    <row r="446" spans="1:6" x14ac:dyDescent="0.2">
      <c r="A446" s="3">
        <v>45581</v>
      </c>
      <c r="B446" s="46">
        <v>456710</v>
      </c>
      <c r="C446" s="9" t="s">
        <v>10</v>
      </c>
      <c r="D446" s="52"/>
      <c r="E446" s="52">
        <v>20000000</v>
      </c>
      <c r="F446" s="15">
        <f t="shared" si="7"/>
        <v>60676294.550000027</v>
      </c>
    </row>
    <row r="447" spans="1:6" x14ac:dyDescent="0.2">
      <c r="A447" s="3">
        <v>45581</v>
      </c>
      <c r="B447" s="44">
        <v>456734</v>
      </c>
      <c r="C447" s="28" t="s">
        <v>10</v>
      </c>
      <c r="D447" s="53"/>
      <c r="E447" s="53">
        <v>20000000</v>
      </c>
      <c r="F447" s="15">
        <f t="shared" si="7"/>
        <v>80676294.550000027</v>
      </c>
    </row>
    <row r="448" spans="1:6" x14ac:dyDescent="0.2">
      <c r="A448" s="3">
        <v>45581</v>
      </c>
      <c r="B448" s="43">
        <v>4155548</v>
      </c>
      <c r="C448" s="20" t="s">
        <v>59</v>
      </c>
      <c r="D448" s="18">
        <v>1645636.49</v>
      </c>
      <c r="E448" s="19"/>
      <c r="F448" s="15">
        <f t="shared" si="7"/>
        <v>79030658.060000032</v>
      </c>
    </row>
    <row r="449" spans="1:6" x14ac:dyDescent="0.2">
      <c r="A449" s="3">
        <v>45581</v>
      </c>
      <c r="B449" s="43">
        <v>4155549</v>
      </c>
      <c r="C449" s="20" t="s">
        <v>115</v>
      </c>
      <c r="D449" s="18">
        <v>61494.39</v>
      </c>
      <c r="E449" s="19"/>
      <c r="F449" s="15">
        <f t="shared" si="7"/>
        <v>78969163.670000032</v>
      </c>
    </row>
    <row r="450" spans="1:6" x14ac:dyDescent="0.2">
      <c r="A450" s="3">
        <v>45581</v>
      </c>
      <c r="B450" s="43">
        <v>4155551</v>
      </c>
      <c r="C450" s="20" t="s">
        <v>116</v>
      </c>
      <c r="D450" s="18">
        <v>21780</v>
      </c>
      <c r="E450" s="19"/>
      <c r="F450" s="15">
        <f t="shared" si="7"/>
        <v>78947383.670000032</v>
      </c>
    </row>
    <row r="451" spans="1:6" x14ac:dyDescent="0.2">
      <c r="A451" s="3">
        <v>45581</v>
      </c>
      <c r="B451" s="43">
        <v>18575587</v>
      </c>
      <c r="C451" s="20" t="s">
        <v>53</v>
      </c>
      <c r="D451" s="18">
        <v>23606.55</v>
      </c>
      <c r="E451" s="19"/>
      <c r="F451" s="15">
        <f t="shared" si="7"/>
        <v>78923777.120000035</v>
      </c>
    </row>
    <row r="452" spans="1:6" x14ac:dyDescent="0.2">
      <c r="A452" s="3">
        <v>45581</v>
      </c>
      <c r="B452" s="43">
        <v>19645138</v>
      </c>
      <c r="C452" s="20" t="s">
        <v>65</v>
      </c>
      <c r="D452" s="18">
        <v>143518.04</v>
      </c>
      <c r="E452" s="19"/>
      <c r="F452" s="15">
        <f t="shared" si="7"/>
        <v>78780259.080000028</v>
      </c>
    </row>
    <row r="453" spans="1:6" x14ac:dyDescent="0.2">
      <c r="A453" s="3">
        <v>45581</v>
      </c>
      <c r="B453" s="43">
        <v>20857480</v>
      </c>
      <c r="C453" s="20" t="s">
        <v>66</v>
      </c>
      <c r="D453" s="18">
        <v>483419.63</v>
      </c>
      <c r="E453" s="19"/>
      <c r="F453" s="15">
        <f t="shared" si="7"/>
        <v>78296839.450000033</v>
      </c>
    </row>
    <row r="454" spans="1:6" x14ac:dyDescent="0.2">
      <c r="A454" s="3">
        <v>45581</v>
      </c>
      <c r="B454" s="43">
        <v>22120567</v>
      </c>
      <c r="C454" s="20" t="s">
        <v>64</v>
      </c>
      <c r="D454" s="18">
        <v>287906.45</v>
      </c>
      <c r="E454" s="19"/>
      <c r="F454" s="15">
        <f t="shared" si="7"/>
        <v>78008933.00000003</v>
      </c>
    </row>
    <row r="455" spans="1:6" x14ac:dyDescent="0.2">
      <c r="A455" s="3">
        <v>45581</v>
      </c>
      <c r="B455" s="43">
        <v>23329763</v>
      </c>
      <c r="C455" s="20" t="s">
        <v>55</v>
      </c>
      <c r="D455" s="18">
        <v>92882.86</v>
      </c>
      <c r="E455" s="19"/>
      <c r="F455" s="15">
        <f t="shared" si="7"/>
        <v>77916050.14000003</v>
      </c>
    </row>
    <row r="456" spans="1:6" x14ac:dyDescent="0.2">
      <c r="A456" s="3">
        <v>45581</v>
      </c>
      <c r="B456" s="43">
        <v>24427207</v>
      </c>
      <c r="C456" s="20" t="s">
        <v>56</v>
      </c>
      <c r="D456" s="18">
        <v>112831.4</v>
      </c>
      <c r="E456" s="19"/>
      <c r="F456" s="15">
        <f t="shared" si="7"/>
        <v>77803218.740000024</v>
      </c>
    </row>
    <row r="457" spans="1:6" x14ac:dyDescent="0.2">
      <c r="A457" s="3">
        <v>45581</v>
      </c>
      <c r="B457" s="43">
        <v>25724007</v>
      </c>
      <c r="C457" s="20" t="s">
        <v>57</v>
      </c>
      <c r="D457" s="18">
        <v>131798.70000000001</v>
      </c>
      <c r="E457" s="19"/>
      <c r="F457" s="15">
        <f t="shared" si="7"/>
        <v>77671420.040000021</v>
      </c>
    </row>
    <row r="458" spans="1:6" x14ac:dyDescent="0.2">
      <c r="A458" s="3">
        <v>45581</v>
      </c>
      <c r="B458" s="43">
        <v>26970697</v>
      </c>
      <c r="C458" s="20" t="s">
        <v>54</v>
      </c>
      <c r="D458" s="18">
        <v>69013.5</v>
      </c>
      <c r="E458" s="19"/>
      <c r="F458" s="15">
        <f t="shared" si="7"/>
        <v>77602406.540000021</v>
      </c>
    </row>
    <row r="459" spans="1:6" x14ac:dyDescent="0.2">
      <c r="A459" s="3">
        <v>45581</v>
      </c>
      <c r="B459" s="43">
        <v>54587026</v>
      </c>
      <c r="C459" s="20" t="s">
        <v>62</v>
      </c>
      <c r="D459" s="18">
        <v>5037.0200000000004</v>
      </c>
      <c r="E459" s="19"/>
      <c r="F459" s="15">
        <f t="shared" si="7"/>
        <v>77597369.520000026</v>
      </c>
    </row>
    <row r="460" spans="1:6" x14ac:dyDescent="0.2">
      <c r="A460" s="3">
        <v>45581</v>
      </c>
      <c r="B460" s="43">
        <v>55616741</v>
      </c>
      <c r="C460" s="20" t="s">
        <v>67</v>
      </c>
      <c r="D460" s="18">
        <v>21249.17</v>
      </c>
      <c r="E460" s="19"/>
      <c r="F460" s="15">
        <f t="shared" si="7"/>
        <v>77576120.350000024</v>
      </c>
    </row>
    <row r="461" spans="1:6" x14ac:dyDescent="0.2">
      <c r="A461" s="3">
        <v>45581</v>
      </c>
      <c r="B461" s="43">
        <v>56657325</v>
      </c>
      <c r="C461" s="20" t="s">
        <v>117</v>
      </c>
      <c r="D461" s="18">
        <v>27572.45</v>
      </c>
      <c r="E461" s="19"/>
      <c r="F461" s="15">
        <f t="shared" ref="F461:F524" si="8">+F460+E461-D461</f>
        <v>77548547.900000021</v>
      </c>
    </row>
    <row r="462" spans="1:6" x14ac:dyDescent="0.2">
      <c r="A462" s="3">
        <v>45581</v>
      </c>
      <c r="B462" s="43">
        <v>58767929</v>
      </c>
      <c r="C462" s="20" t="s">
        <v>68</v>
      </c>
      <c r="D462" s="18">
        <v>14698.52</v>
      </c>
      <c r="E462" s="19"/>
      <c r="F462" s="15">
        <f t="shared" si="8"/>
        <v>77533849.380000025</v>
      </c>
    </row>
    <row r="463" spans="1:6" x14ac:dyDescent="0.2">
      <c r="A463" s="3">
        <v>45581</v>
      </c>
      <c r="B463" s="43">
        <v>60097673</v>
      </c>
      <c r="C463" s="20" t="s">
        <v>69</v>
      </c>
      <c r="D463" s="18">
        <v>27777.77</v>
      </c>
      <c r="E463" s="19"/>
      <c r="F463" s="15">
        <f t="shared" si="8"/>
        <v>77506071.610000029</v>
      </c>
    </row>
    <row r="464" spans="1:6" x14ac:dyDescent="0.2">
      <c r="A464" s="3">
        <v>45581</v>
      </c>
      <c r="B464" s="43">
        <v>61299815</v>
      </c>
      <c r="C464" s="20" t="s">
        <v>71</v>
      </c>
      <c r="D464" s="18">
        <v>142251.69</v>
      </c>
      <c r="E464" s="19"/>
      <c r="F464" s="15">
        <f t="shared" si="8"/>
        <v>77363819.920000032</v>
      </c>
    </row>
    <row r="465" spans="1:6" x14ac:dyDescent="0.2">
      <c r="A465" s="3">
        <v>45581</v>
      </c>
      <c r="B465" s="43">
        <v>64104190</v>
      </c>
      <c r="C465" s="20" t="s">
        <v>70</v>
      </c>
      <c r="D465" s="18">
        <v>19869.75</v>
      </c>
      <c r="E465" s="19"/>
      <c r="F465" s="15">
        <f t="shared" si="8"/>
        <v>77343950.170000032</v>
      </c>
    </row>
    <row r="466" spans="1:6" x14ac:dyDescent="0.2">
      <c r="A466" s="3">
        <v>45581</v>
      </c>
      <c r="B466" s="43">
        <v>96725149</v>
      </c>
      <c r="C466" s="20" t="s">
        <v>61</v>
      </c>
      <c r="D466" s="18">
        <v>79154.95</v>
      </c>
      <c r="E466" s="19"/>
      <c r="F466" s="15">
        <f t="shared" si="8"/>
        <v>77264795.220000029</v>
      </c>
    </row>
    <row r="467" spans="1:6" x14ac:dyDescent="0.2">
      <c r="A467" s="3">
        <v>45581</v>
      </c>
      <c r="B467" s="43">
        <v>206373</v>
      </c>
      <c r="C467" s="20" t="s">
        <v>46</v>
      </c>
      <c r="D467" s="18">
        <v>3019184.6</v>
      </c>
      <c r="E467" s="19"/>
      <c r="F467" s="15">
        <f t="shared" si="8"/>
        <v>74245610.620000035</v>
      </c>
    </row>
    <row r="468" spans="1:6" x14ac:dyDescent="0.2">
      <c r="A468" s="3">
        <v>45581</v>
      </c>
      <c r="B468" s="43">
        <v>206374</v>
      </c>
      <c r="C468" s="20" t="s">
        <v>46</v>
      </c>
      <c r="D468" s="18">
        <v>2355869.35</v>
      </c>
      <c r="E468" s="19"/>
      <c r="F468" s="15">
        <f t="shared" si="8"/>
        <v>71889741.270000041</v>
      </c>
    </row>
    <row r="469" spans="1:6" x14ac:dyDescent="0.2">
      <c r="A469" s="3">
        <v>45581</v>
      </c>
      <c r="B469" s="43">
        <v>206375</v>
      </c>
      <c r="C469" s="20" t="s">
        <v>46</v>
      </c>
      <c r="D469" s="18">
        <v>2051744.02</v>
      </c>
      <c r="E469" s="19"/>
      <c r="F469" s="15">
        <f t="shared" si="8"/>
        <v>69837997.250000045</v>
      </c>
    </row>
    <row r="470" spans="1:6" x14ac:dyDescent="0.2">
      <c r="A470" s="3">
        <v>45581</v>
      </c>
      <c r="B470" s="46">
        <v>206376</v>
      </c>
      <c r="C470" s="9" t="s">
        <v>46</v>
      </c>
      <c r="D470" s="48">
        <v>3850125.79</v>
      </c>
      <c r="E470" s="49"/>
      <c r="F470" s="15">
        <f t="shared" si="8"/>
        <v>65987871.460000046</v>
      </c>
    </row>
    <row r="471" spans="1:6" x14ac:dyDescent="0.2">
      <c r="A471" s="3">
        <v>45581</v>
      </c>
      <c r="B471" s="44">
        <v>206377</v>
      </c>
      <c r="C471" s="28" t="s">
        <v>46</v>
      </c>
      <c r="D471" s="23">
        <v>2680479.87</v>
      </c>
      <c r="E471" s="24"/>
      <c r="F471" s="15">
        <f t="shared" si="8"/>
        <v>63307391.590000048</v>
      </c>
    </row>
    <row r="472" spans="1:6" x14ac:dyDescent="0.2">
      <c r="A472" s="3">
        <v>45581</v>
      </c>
      <c r="B472" s="43">
        <v>206378</v>
      </c>
      <c r="C472" s="20" t="s">
        <v>46</v>
      </c>
      <c r="D472" s="18">
        <v>2701040.94</v>
      </c>
      <c r="E472" s="19"/>
      <c r="F472" s="15">
        <f t="shared" si="8"/>
        <v>60606350.650000051</v>
      </c>
    </row>
    <row r="473" spans="1:6" x14ac:dyDescent="0.2">
      <c r="A473" s="3">
        <v>45581</v>
      </c>
      <c r="B473" s="45"/>
      <c r="C473" s="17" t="s">
        <v>16</v>
      </c>
      <c r="D473" s="18">
        <v>130935.28</v>
      </c>
      <c r="E473" s="19"/>
      <c r="F473" s="15">
        <f t="shared" si="8"/>
        <v>60475415.370000049</v>
      </c>
    </row>
    <row r="474" spans="1:6" x14ac:dyDescent="0.2">
      <c r="A474" s="3">
        <v>45581</v>
      </c>
      <c r="B474" s="43">
        <v>12474</v>
      </c>
      <c r="C474" s="20" t="s">
        <v>7</v>
      </c>
      <c r="D474" s="18">
        <v>315</v>
      </c>
      <c r="E474" s="19"/>
      <c r="F474" s="15">
        <f t="shared" si="8"/>
        <v>60475100.370000049</v>
      </c>
    </row>
    <row r="475" spans="1:6" x14ac:dyDescent="0.2">
      <c r="A475" s="3">
        <v>45581</v>
      </c>
      <c r="B475" s="43">
        <v>12474</v>
      </c>
      <c r="C475" s="17" t="s">
        <v>8</v>
      </c>
      <c r="D475" s="18">
        <v>66.150000000000006</v>
      </c>
      <c r="E475" s="19"/>
      <c r="F475" s="15">
        <f t="shared" si="8"/>
        <v>60475034.220000051</v>
      </c>
    </row>
    <row r="476" spans="1:6" x14ac:dyDescent="0.2">
      <c r="A476" s="3">
        <v>45581</v>
      </c>
      <c r="B476" s="43">
        <v>12475</v>
      </c>
      <c r="C476" s="20" t="s">
        <v>7</v>
      </c>
      <c r="D476" s="18">
        <v>720</v>
      </c>
      <c r="E476" s="19"/>
      <c r="F476" s="15">
        <f t="shared" si="8"/>
        <v>60474314.220000051</v>
      </c>
    </row>
    <row r="477" spans="1:6" x14ac:dyDescent="0.2">
      <c r="A477" s="3">
        <v>45581</v>
      </c>
      <c r="B477" s="43">
        <v>12475</v>
      </c>
      <c r="C477" s="17" t="s">
        <v>8</v>
      </c>
      <c r="D477" s="18">
        <v>151.19999999999999</v>
      </c>
      <c r="E477" s="19"/>
      <c r="F477" s="15">
        <f t="shared" si="8"/>
        <v>60474163.020000048</v>
      </c>
    </row>
    <row r="478" spans="1:6" x14ac:dyDescent="0.2">
      <c r="A478" s="3">
        <v>45581</v>
      </c>
      <c r="B478" s="43">
        <v>12476</v>
      </c>
      <c r="C478" s="20" t="s">
        <v>7</v>
      </c>
      <c r="D478" s="18">
        <v>1485</v>
      </c>
      <c r="E478" s="19"/>
      <c r="F478" s="15">
        <f t="shared" si="8"/>
        <v>60472678.020000048</v>
      </c>
    </row>
    <row r="479" spans="1:6" x14ac:dyDescent="0.2">
      <c r="A479" s="3">
        <v>45581</v>
      </c>
      <c r="B479" s="43">
        <v>12476</v>
      </c>
      <c r="C479" s="17" t="s">
        <v>8</v>
      </c>
      <c r="D479" s="18">
        <v>311.85000000000002</v>
      </c>
      <c r="E479" s="19"/>
      <c r="F479" s="15">
        <f t="shared" si="8"/>
        <v>60472366.170000046</v>
      </c>
    </row>
    <row r="480" spans="1:6" x14ac:dyDescent="0.2">
      <c r="A480" s="3">
        <v>45582</v>
      </c>
      <c r="B480" s="43">
        <v>38000004</v>
      </c>
      <c r="C480" s="17" t="s">
        <v>24</v>
      </c>
      <c r="D480" s="19"/>
      <c r="E480" s="18">
        <v>873887.2</v>
      </c>
      <c r="F480" s="15">
        <f t="shared" si="8"/>
        <v>61346253.370000049</v>
      </c>
    </row>
    <row r="481" spans="1:6" x14ac:dyDescent="0.2">
      <c r="A481" s="3">
        <v>45582</v>
      </c>
      <c r="B481" s="43">
        <v>9026910</v>
      </c>
      <c r="C481" s="20" t="s">
        <v>118</v>
      </c>
      <c r="D481" s="25"/>
      <c r="E481" s="25">
        <v>1114141.32</v>
      </c>
      <c r="F481" s="15">
        <f t="shared" si="8"/>
        <v>62460394.69000005</v>
      </c>
    </row>
    <row r="482" spans="1:6" x14ac:dyDescent="0.2">
      <c r="A482" s="3">
        <v>45582</v>
      </c>
      <c r="B482" s="43">
        <v>3233092</v>
      </c>
      <c r="C482" s="20" t="s">
        <v>119</v>
      </c>
      <c r="D482" s="19"/>
      <c r="E482" s="18">
        <v>9810</v>
      </c>
      <c r="F482" s="15">
        <f t="shared" si="8"/>
        <v>62470204.69000005</v>
      </c>
    </row>
    <row r="483" spans="1:6" x14ac:dyDescent="0.2">
      <c r="A483" s="3">
        <v>45582</v>
      </c>
      <c r="B483" s="43">
        <v>565322</v>
      </c>
      <c r="C483" s="20" t="s">
        <v>120</v>
      </c>
      <c r="D483" s="19"/>
      <c r="E483" s="18">
        <v>8262</v>
      </c>
      <c r="F483" s="15">
        <f t="shared" si="8"/>
        <v>62478466.69000005</v>
      </c>
    </row>
    <row r="484" spans="1:6" x14ac:dyDescent="0.2">
      <c r="A484" s="3">
        <v>45582</v>
      </c>
      <c r="B484" s="45"/>
      <c r="C484" s="17" t="s">
        <v>22</v>
      </c>
      <c r="D484" s="18">
        <v>12036.6</v>
      </c>
      <c r="E484" s="19"/>
      <c r="F484" s="15">
        <f t="shared" si="8"/>
        <v>62466430.090000048</v>
      </c>
    </row>
    <row r="485" spans="1:6" x14ac:dyDescent="0.2">
      <c r="A485" s="3">
        <v>45582</v>
      </c>
      <c r="B485" s="45"/>
      <c r="C485" s="17" t="s">
        <v>16</v>
      </c>
      <c r="D485" s="18">
        <v>18.3</v>
      </c>
      <c r="E485" s="19"/>
      <c r="F485" s="15">
        <f t="shared" si="8"/>
        <v>62466411.790000051</v>
      </c>
    </row>
    <row r="486" spans="1:6" x14ac:dyDescent="0.2">
      <c r="A486" s="3">
        <v>45582</v>
      </c>
      <c r="B486" s="45"/>
      <c r="C486" s="20" t="s">
        <v>121</v>
      </c>
      <c r="D486" s="18">
        <v>4012.19</v>
      </c>
      <c r="E486" s="19"/>
      <c r="F486" s="15">
        <f t="shared" si="8"/>
        <v>62462399.600000054</v>
      </c>
    </row>
    <row r="487" spans="1:6" x14ac:dyDescent="0.2">
      <c r="A487" s="3">
        <v>45583</v>
      </c>
      <c r="B487" s="43">
        <v>4288186</v>
      </c>
      <c r="C487" s="20" t="s">
        <v>122</v>
      </c>
      <c r="D487" s="18">
        <v>1340502.52</v>
      </c>
      <c r="E487" s="19"/>
      <c r="F487" s="15">
        <f t="shared" si="8"/>
        <v>61121897.08000005</v>
      </c>
    </row>
    <row r="488" spans="1:6" x14ac:dyDescent="0.2">
      <c r="A488" s="3">
        <v>45583</v>
      </c>
      <c r="B488" s="43">
        <v>4288191</v>
      </c>
      <c r="C488" s="20" t="s">
        <v>123</v>
      </c>
      <c r="D488" s="18">
        <v>733565.94</v>
      </c>
      <c r="E488" s="19"/>
      <c r="F488" s="15">
        <f t="shared" si="8"/>
        <v>60388331.140000053</v>
      </c>
    </row>
    <row r="489" spans="1:6" x14ac:dyDescent="0.2">
      <c r="A489" s="3">
        <v>45583</v>
      </c>
      <c r="B489" s="43">
        <v>4288192</v>
      </c>
      <c r="C489" s="20" t="s">
        <v>31</v>
      </c>
      <c r="D489" s="18">
        <v>251000</v>
      </c>
      <c r="E489" s="19"/>
      <c r="F489" s="15">
        <f t="shared" si="8"/>
        <v>60137331.140000053</v>
      </c>
    </row>
    <row r="490" spans="1:6" x14ac:dyDescent="0.2">
      <c r="A490" s="3">
        <v>45583</v>
      </c>
      <c r="B490" s="43">
        <v>12067530</v>
      </c>
      <c r="C490" s="20" t="s">
        <v>124</v>
      </c>
      <c r="D490" s="18">
        <v>63000.01</v>
      </c>
      <c r="E490" s="19"/>
      <c r="F490" s="15">
        <f t="shared" si="8"/>
        <v>60074331.130000055</v>
      </c>
    </row>
    <row r="491" spans="1:6" x14ac:dyDescent="0.2">
      <c r="A491" s="3">
        <v>45583</v>
      </c>
      <c r="B491" s="43">
        <v>4288195</v>
      </c>
      <c r="C491" s="20" t="s">
        <v>125</v>
      </c>
      <c r="D491" s="18">
        <v>918952</v>
      </c>
      <c r="E491" s="19"/>
      <c r="F491" s="15">
        <f t="shared" si="8"/>
        <v>59155379.130000055</v>
      </c>
    </row>
    <row r="492" spans="1:6" x14ac:dyDescent="0.2">
      <c r="A492" s="3">
        <v>45583</v>
      </c>
      <c r="B492" s="43">
        <v>73637</v>
      </c>
      <c r="C492" s="20" t="s">
        <v>11</v>
      </c>
      <c r="D492" s="18">
        <v>926841</v>
      </c>
      <c r="E492" s="19"/>
      <c r="F492" s="15">
        <f t="shared" si="8"/>
        <v>58228538.130000055</v>
      </c>
    </row>
    <row r="493" spans="1:6" x14ac:dyDescent="0.2">
      <c r="A493" s="3">
        <v>45583</v>
      </c>
      <c r="B493" s="43">
        <v>13253</v>
      </c>
      <c r="C493" s="20" t="s">
        <v>126</v>
      </c>
      <c r="D493" s="19"/>
      <c r="E493" s="18">
        <v>40272.9</v>
      </c>
      <c r="F493" s="15">
        <f t="shared" si="8"/>
        <v>58268811.030000053</v>
      </c>
    </row>
    <row r="494" spans="1:6" x14ac:dyDescent="0.2">
      <c r="A494" s="3">
        <v>45583</v>
      </c>
      <c r="B494" s="45"/>
      <c r="C494" s="17" t="s">
        <v>13</v>
      </c>
      <c r="D494" s="18">
        <v>18901200</v>
      </c>
      <c r="E494" s="19"/>
      <c r="F494" s="15">
        <f t="shared" si="8"/>
        <v>39367611.030000053</v>
      </c>
    </row>
    <row r="495" spans="1:6" x14ac:dyDescent="0.2">
      <c r="A495" s="3">
        <v>45583</v>
      </c>
      <c r="B495" s="45"/>
      <c r="C495" s="17" t="s">
        <v>15</v>
      </c>
      <c r="D495" s="18">
        <v>68.13</v>
      </c>
      <c r="E495" s="19"/>
      <c r="F495" s="15">
        <f t="shared" si="8"/>
        <v>39367542.900000051</v>
      </c>
    </row>
    <row r="496" spans="1:6" x14ac:dyDescent="0.2">
      <c r="A496" s="3">
        <v>45583</v>
      </c>
      <c r="B496" s="51"/>
      <c r="C496" s="47" t="s">
        <v>14</v>
      </c>
      <c r="D496" s="48">
        <v>324.39999999999998</v>
      </c>
      <c r="E496" s="49"/>
      <c r="F496" s="15">
        <f t="shared" si="8"/>
        <v>39367218.500000052</v>
      </c>
    </row>
    <row r="497" spans="1:6" x14ac:dyDescent="0.2">
      <c r="A497" s="3">
        <v>45583</v>
      </c>
      <c r="B497" s="50"/>
      <c r="C497" s="22" t="s">
        <v>22</v>
      </c>
      <c r="D497" s="23">
        <v>241.64</v>
      </c>
      <c r="E497" s="24"/>
      <c r="F497" s="15">
        <f t="shared" si="8"/>
        <v>39366976.860000052</v>
      </c>
    </row>
    <row r="498" spans="1:6" x14ac:dyDescent="0.2">
      <c r="A498" s="3">
        <v>45583</v>
      </c>
      <c r="B498" s="45"/>
      <c r="C498" s="17" t="s">
        <v>16</v>
      </c>
      <c r="D498" s="18">
        <v>138836.81</v>
      </c>
      <c r="E498" s="19"/>
      <c r="F498" s="15">
        <f t="shared" si="8"/>
        <v>39228140.050000049</v>
      </c>
    </row>
    <row r="499" spans="1:6" x14ac:dyDescent="0.2">
      <c r="A499" s="3">
        <v>45583</v>
      </c>
      <c r="B499" s="43">
        <v>17574</v>
      </c>
      <c r="C499" s="20" t="s">
        <v>7</v>
      </c>
      <c r="D499" s="18">
        <v>720</v>
      </c>
      <c r="E499" s="19"/>
      <c r="F499" s="15">
        <f t="shared" si="8"/>
        <v>39227420.050000049</v>
      </c>
    </row>
    <row r="500" spans="1:6" x14ac:dyDescent="0.2">
      <c r="A500" s="3">
        <v>45583</v>
      </c>
      <c r="B500" s="43">
        <v>17574</v>
      </c>
      <c r="C500" s="17" t="s">
        <v>8</v>
      </c>
      <c r="D500" s="18">
        <v>151.19999999999999</v>
      </c>
      <c r="E500" s="19"/>
      <c r="F500" s="15">
        <f t="shared" si="8"/>
        <v>39227268.850000046</v>
      </c>
    </row>
    <row r="501" spans="1:6" x14ac:dyDescent="0.2">
      <c r="A501" s="3">
        <v>45583</v>
      </c>
      <c r="B501" s="43">
        <v>17575</v>
      </c>
      <c r="C501" s="20" t="s">
        <v>7</v>
      </c>
      <c r="D501" s="18">
        <v>1485</v>
      </c>
      <c r="E501" s="19"/>
      <c r="F501" s="15">
        <f t="shared" si="8"/>
        <v>39225783.850000046</v>
      </c>
    </row>
    <row r="502" spans="1:6" x14ac:dyDescent="0.2">
      <c r="A502" s="3">
        <v>45583</v>
      </c>
      <c r="B502" s="43">
        <v>17575</v>
      </c>
      <c r="C502" s="17" t="s">
        <v>8</v>
      </c>
      <c r="D502" s="18">
        <v>311.85000000000002</v>
      </c>
      <c r="E502" s="19"/>
      <c r="F502" s="15">
        <f t="shared" si="8"/>
        <v>39225472.000000045</v>
      </c>
    </row>
    <row r="503" spans="1:6" x14ac:dyDescent="0.2">
      <c r="A503" s="3">
        <v>45583</v>
      </c>
      <c r="B503" s="43">
        <v>17576</v>
      </c>
      <c r="C503" s="20" t="s">
        <v>7</v>
      </c>
      <c r="D503" s="18">
        <v>1485</v>
      </c>
      <c r="E503" s="19"/>
      <c r="F503" s="15">
        <f t="shared" si="8"/>
        <v>39223987.000000045</v>
      </c>
    </row>
    <row r="504" spans="1:6" x14ac:dyDescent="0.2">
      <c r="A504" s="3">
        <v>45583</v>
      </c>
      <c r="B504" s="43">
        <v>17576</v>
      </c>
      <c r="C504" s="17" t="s">
        <v>8</v>
      </c>
      <c r="D504" s="18">
        <v>311.85000000000002</v>
      </c>
      <c r="E504" s="19"/>
      <c r="F504" s="15">
        <f t="shared" si="8"/>
        <v>39223675.150000043</v>
      </c>
    </row>
    <row r="505" spans="1:6" x14ac:dyDescent="0.2">
      <c r="A505" s="3">
        <v>45583</v>
      </c>
      <c r="B505" s="43">
        <v>17577</v>
      </c>
      <c r="C505" s="20" t="s">
        <v>7</v>
      </c>
      <c r="D505" s="18">
        <v>1485</v>
      </c>
      <c r="E505" s="19"/>
      <c r="F505" s="15">
        <f t="shared" si="8"/>
        <v>39222190.150000043</v>
      </c>
    </row>
    <row r="506" spans="1:6" x14ac:dyDescent="0.2">
      <c r="A506" s="3">
        <v>45583</v>
      </c>
      <c r="B506" s="43">
        <v>17577</v>
      </c>
      <c r="C506" s="17" t="s">
        <v>8</v>
      </c>
      <c r="D506" s="18">
        <v>311.85000000000002</v>
      </c>
      <c r="E506" s="19"/>
      <c r="F506" s="15">
        <f t="shared" si="8"/>
        <v>39221878.300000042</v>
      </c>
    </row>
    <row r="507" spans="1:6" x14ac:dyDescent="0.2">
      <c r="A507" s="3">
        <v>45583</v>
      </c>
      <c r="B507" s="45"/>
      <c r="C507" s="20" t="s">
        <v>127</v>
      </c>
      <c r="D507" s="18">
        <v>80.55</v>
      </c>
      <c r="E507" s="19"/>
      <c r="F507" s="15">
        <f t="shared" si="8"/>
        <v>39221797.750000045</v>
      </c>
    </row>
    <row r="508" spans="1:6" x14ac:dyDescent="0.2">
      <c r="A508" s="3">
        <v>45586</v>
      </c>
      <c r="B508" s="43">
        <v>5623</v>
      </c>
      <c r="C508" s="20" t="s">
        <v>76</v>
      </c>
      <c r="D508" s="18">
        <v>600701</v>
      </c>
      <c r="E508" s="19"/>
      <c r="F508" s="15">
        <f t="shared" si="8"/>
        <v>38621096.750000045</v>
      </c>
    </row>
    <row r="509" spans="1:6" x14ac:dyDescent="0.2">
      <c r="A509" s="3">
        <v>45586</v>
      </c>
      <c r="B509" s="43">
        <v>70949374</v>
      </c>
      <c r="C509" s="20" t="s">
        <v>44</v>
      </c>
      <c r="D509" s="18">
        <v>380000</v>
      </c>
      <c r="E509" s="19"/>
      <c r="F509" s="15">
        <f t="shared" si="8"/>
        <v>38241096.750000045</v>
      </c>
    </row>
    <row r="510" spans="1:6" x14ac:dyDescent="0.2">
      <c r="A510" s="3">
        <v>45586</v>
      </c>
      <c r="B510" s="45"/>
      <c r="C510" s="17" t="s">
        <v>16</v>
      </c>
      <c r="D510" s="18">
        <v>5922.26</v>
      </c>
      <c r="E510" s="19"/>
      <c r="F510" s="15">
        <f t="shared" si="8"/>
        <v>38235174.490000047</v>
      </c>
    </row>
    <row r="511" spans="1:6" x14ac:dyDescent="0.2">
      <c r="A511" s="3">
        <v>45587</v>
      </c>
      <c r="B511" s="43">
        <v>31752</v>
      </c>
      <c r="C511" s="17" t="s">
        <v>9</v>
      </c>
      <c r="D511" s="18">
        <v>5333094.25</v>
      </c>
      <c r="E511" s="19"/>
      <c r="F511" s="15">
        <f t="shared" si="8"/>
        <v>32902080.240000047</v>
      </c>
    </row>
    <row r="512" spans="1:6" x14ac:dyDescent="0.2">
      <c r="A512" s="3">
        <v>45587</v>
      </c>
      <c r="B512" s="45"/>
      <c r="C512" s="17" t="s">
        <v>16</v>
      </c>
      <c r="D512" s="18">
        <v>31998.57</v>
      </c>
      <c r="E512" s="19"/>
      <c r="F512" s="15">
        <f t="shared" si="8"/>
        <v>32870081.670000046</v>
      </c>
    </row>
    <row r="513" spans="1:6" x14ac:dyDescent="0.2">
      <c r="A513" s="3">
        <v>45588</v>
      </c>
      <c r="B513" s="43">
        <v>31790</v>
      </c>
      <c r="C513" s="17" t="s">
        <v>9</v>
      </c>
      <c r="D513" s="18">
        <v>2549000</v>
      </c>
      <c r="E513" s="19"/>
      <c r="F513" s="15">
        <f t="shared" si="8"/>
        <v>30321081.670000046</v>
      </c>
    </row>
    <row r="514" spans="1:6" x14ac:dyDescent="0.2">
      <c r="A514" s="3">
        <v>45588</v>
      </c>
      <c r="B514" s="43">
        <v>31791</v>
      </c>
      <c r="C514" s="17" t="s">
        <v>9</v>
      </c>
      <c r="D514" s="18">
        <v>2969000</v>
      </c>
      <c r="E514" s="19"/>
      <c r="F514" s="15">
        <f t="shared" si="8"/>
        <v>27352081.670000046</v>
      </c>
    </row>
    <row r="515" spans="1:6" x14ac:dyDescent="0.2">
      <c r="A515" s="3">
        <v>45588</v>
      </c>
      <c r="B515" s="43">
        <v>8724</v>
      </c>
      <c r="C515" s="17" t="s">
        <v>12</v>
      </c>
      <c r="D515" s="18">
        <v>463474.51</v>
      </c>
      <c r="E515" s="19"/>
      <c r="F515" s="15">
        <f t="shared" si="8"/>
        <v>26888607.160000045</v>
      </c>
    </row>
    <row r="516" spans="1:6" x14ac:dyDescent="0.2">
      <c r="A516" s="3">
        <v>45588</v>
      </c>
      <c r="B516" s="45"/>
      <c r="C516" s="17" t="s">
        <v>16</v>
      </c>
      <c r="D516" s="18">
        <v>35888.85</v>
      </c>
      <c r="E516" s="19"/>
      <c r="F516" s="15">
        <f t="shared" si="8"/>
        <v>26852718.310000043</v>
      </c>
    </row>
    <row r="517" spans="1:6" x14ac:dyDescent="0.2">
      <c r="A517" s="3">
        <v>45589</v>
      </c>
      <c r="B517" s="43">
        <v>216415</v>
      </c>
      <c r="C517" s="20" t="s">
        <v>128</v>
      </c>
      <c r="D517" s="19"/>
      <c r="E517" s="18">
        <v>36809.78</v>
      </c>
      <c r="F517" s="15">
        <f t="shared" si="8"/>
        <v>26889528.090000045</v>
      </c>
    </row>
    <row r="518" spans="1:6" x14ac:dyDescent="0.2">
      <c r="A518" s="3">
        <v>45589</v>
      </c>
      <c r="B518" s="43">
        <v>5064069</v>
      </c>
      <c r="C518" s="20" t="s">
        <v>129</v>
      </c>
      <c r="D518" s="19"/>
      <c r="E518" s="18">
        <v>121217</v>
      </c>
      <c r="F518" s="15">
        <f t="shared" si="8"/>
        <v>27010745.090000045</v>
      </c>
    </row>
    <row r="519" spans="1:6" x14ac:dyDescent="0.2">
      <c r="A519" s="3">
        <v>45589</v>
      </c>
      <c r="B519" s="43">
        <v>5064225</v>
      </c>
      <c r="C519" s="20" t="s">
        <v>130</v>
      </c>
      <c r="D519" s="19"/>
      <c r="E519" s="18">
        <v>81496.67</v>
      </c>
      <c r="F519" s="15">
        <f t="shared" si="8"/>
        <v>27092241.760000046</v>
      </c>
    </row>
    <row r="520" spans="1:6" x14ac:dyDescent="0.2">
      <c r="A520" s="3">
        <v>45589</v>
      </c>
      <c r="B520" s="43">
        <v>3147303</v>
      </c>
      <c r="C520" s="20" t="s">
        <v>131</v>
      </c>
      <c r="D520" s="19"/>
      <c r="E520" s="18">
        <v>6021.55</v>
      </c>
      <c r="F520" s="15">
        <f t="shared" si="8"/>
        <v>27098263.310000047</v>
      </c>
    </row>
    <row r="521" spans="1:6" x14ac:dyDescent="0.2">
      <c r="A521" s="3">
        <v>45589</v>
      </c>
      <c r="B521" s="45"/>
      <c r="C521" s="17" t="s">
        <v>22</v>
      </c>
      <c r="D521" s="18">
        <v>1473.27</v>
      </c>
      <c r="E521" s="19"/>
      <c r="F521" s="15">
        <f t="shared" si="8"/>
        <v>27096790.040000048</v>
      </c>
    </row>
    <row r="522" spans="1:6" x14ac:dyDescent="0.2">
      <c r="A522" s="3">
        <v>45589</v>
      </c>
      <c r="B522" s="45"/>
      <c r="C522" s="20" t="s">
        <v>132</v>
      </c>
      <c r="D522" s="18">
        <v>491.08</v>
      </c>
      <c r="E522" s="19"/>
      <c r="F522" s="15">
        <f t="shared" si="8"/>
        <v>27096298.960000049</v>
      </c>
    </row>
    <row r="523" spans="1:6" x14ac:dyDescent="0.2">
      <c r="A523" s="3">
        <v>45590</v>
      </c>
      <c r="B523" s="46">
        <v>31750</v>
      </c>
      <c r="C523" s="47" t="s">
        <v>9</v>
      </c>
      <c r="D523" s="48">
        <v>1042387.5</v>
      </c>
      <c r="E523" s="49"/>
      <c r="F523" s="15">
        <f t="shared" si="8"/>
        <v>26053911.460000049</v>
      </c>
    </row>
    <row r="524" spans="1:6" x14ac:dyDescent="0.2">
      <c r="A524" s="3">
        <v>45590</v>
      </c>
      <c r="B524" s="44">
        <v>31767</v>
      </c>
      <c r="C524" s="22" t="s">
        <v>12</v>
      </c>
      <c r="D524" s="31">
        <v>42406.94</v>
      </c>
      <c r="E524" s="24"/>
      <c r="F524" s="15">
        <f t="shared" si="8"/>
        <v>26011504.520000048</v>
      </c>
    </row>
    <row r="525" spans="1:6" x14ac:dyDescent="0.2">
      <c r="A525" s="3">
        <v>45590</v>
      </c>
      <c r="B525" s="45"/>
      <c r="C525" s="17" t="s">
        <v>16</v>
      </c>
      <c r="D525" s="18">
        <v>6511.72</v>
      </c>
      <c r="E525" s="19"/>
      <c r="F525" s="15">
        <f t="shared" ref="F525:F588" si="9">+F524+E525-D525</f>
        <v>26004992.800000049</v>
      </c>
    </row>
    <row r="526" spans="1:6" x14ac:dyDescent="0.2">
      <c r="A526" s="3">
        <v>45593</v>
      </c>
      <c r="B526" s="43">
        <v>8723</v>
      </c>
      <c r="C526" s="17" t="s">
        <v>9</v>
      </c>
      <c r="D526" s="18">
        <v>482724.3</v>
      </c>
      <c r="E526" s="19"/>
      <c r="F526" s="15">
        <f t="shared" si="9"/>
        <v>25522268.500000048</v>
      </c>
    </row>
    <row r="527" spans="1:6" x14ac:dyDescent="0.2">
      <c r="A527" s="3">
        <v>45593</v>
      </c>
      <c r="B527" s="43">
        <v>659643</v>
      </c>
      <c r="C527" s="20" t="s">
        <v>10</v>
      </c>
      <c r="D527" s="25"/>
      <c r="E527" s="25">
        <v>20000000</v>
      </c>
      <c r="F527" s="15">
        <f t="shared" si="9"/>
        <v>45522268.500000045</v>
      </c>
    </row>
    <row r="528" spans="1:6" x14ac:dyDescent="0.2">
      <c r="A528" s="3">
        <v>45593</v>
      </c>
      <c r="B528" s="43">
        <v>659787</v>
      </c>
      <c r="C528" s="20" t="s">
        <v>10</v>
      </c>
      <c r="D528" s="25"/>
      <c r="E528" s="25">
        <v>20000000</v>
      </c>
      <c r="F528" s="15">
        <f t="shared" si="9"/>
        <v>65522268.500000045</v>
      </c>
    </row>
    <row r="529" spans="1:6" x14ac:dyDescent="0.2">
      <c r="A529" s="3">
        <v>45593</v>
      </c>
      <c r="B529" s="43">
        <v>659837</v>
      </c>
      <c r="C529" s="20" t="s">
        <v>10</v>
      </c>
      <c r="D529" s="25"/>
      <c r="E529" s="25">
        <v>20000000</v>
      </c>
      <c r="F529" s="15">
        <f t="shared" si="9"/>
        <v>85522268.500000045</v>
      </c>
    </row>
    <row r="530" spans="1:6" x14ac:dyDescent="0.2">
      <c r="A530" s="3">
        <v>45593</v>
      </c>
      <c r="B530" s="43">
        <v>598459</v>
      </c>
      <c r="C530" s="20" t="s">
        <v>10</v>
      </c>
      <c r="D530" s="25"/>
      <c r="E530" s="25">
        <v>20000000</v>
      </c>
      <c r="F530" s="15">
        <f t="shared" si="9"/>
        <v>105522268.50000004</v>
      </c>
    </row>
    <row r="531" spans="1:6" x14ac:dyDescent="0.2">
      <c r="A531" s="3">
        <v>45593</v>
      </c>
      <c r="B531" s="43">
        <v>572515</v>
      </c>
      <c r="C531" s="20" t="s">
        <v>10</v>
      </c>
      <c r="D531" s="25"/>
      <c r="E531" s="25">
        <v>20000000</v>
      </c>
      <c r="F531" s="15">
        <f t="shared" si="9"/>
        <v>125522268.50000004</v>
      </c>
    </row>
    <row r="532" spans="1:6" x14ac:dyDescent="0.2">
      <c r="A532" s="3">
        <v>45593</v>
      </c>
      <c r="B532" s="43">
        <v>13432798</v>
      </c>
      <c r="C532" s="20" t="s">
        <v>84</v>
      </c>
      <c r="D532" s="18">
        <v>2976800</v>
      </c>
      <c r="E532" s="19"/>
      <c r="F532" s="15">
        <f t="shared" si="9"/>
        <v>122545468.50000004</v>
      </c>
    </row>
    <row r="533" spans="1:6" x14ac:dyDescent="0.2">
      <c r="A533" s="3">
        <v>45593</v>
      </c>
      <c r="B533" s="43">
        <v>13432799</v>
      </c>
      <c r="C533" s="20" t="s">
        <v>84</v>
      </c>
      <c r="D533" s="18">
        <v>1900000</v>
      </c>
      <c r="E533" s="19"/>
      <c r="F533" s="15">
        <f t="shared" si="9"/>
        <v>120645468.50000004</v>
      </c>
    </row>
    <row r="534" spans="1:6" x14ac:dyDescent="0.2">
      <c r="A534" s="3">
        <v>45593</v>
      </c>
      <c r="B534" s="43">
        <v>13432800</v>
      </c>
      <c r="C534" s="20" t="s">
        <v>84</v>
      </c>
      <c r="D534" s="18">
        <v>510690</v>
      </c>
      <c r="E534" s="19"/>
      <c r="F534" s="15">
        <f t="shared" si="9"/>
        <v>120134778.50000004</v>
      </c>
    </row>
    <row r="535" spans="1:6" x14ac:dyDescent="0.2">
      <c r="A535" s="3">
        <v>45593</v>
      </c>
      <c r="B535" s="43">
        <v>13432801</v>
      </c>
      <c r="C535" s="20" t="s">
        <v>84</v>
      </c>
      <c r="D535" s="18">
        <v>2555010</v>
      </c>
      <c r="E535" s="19"/>
      <c r="F535" s="15">
        <f t="shared" si="9"/>
        <v>117579768.50000004</v>
      </c>
    </row>
    <row r="536" spans="1:6" x14ac:dyDescent="0.2">
      <c r="A536" s="3">
        <v>45593</v>
      </c>
      <c r="B536" s="43">
        <v>13432802</v>
      </c>
      <c r="C536" s="20" t="s">
        <v>84</v>
      </c>
      <c r="D536" s="18">
        <v>1628100</v>
      </c>
      <c r="E536" s="19"/>
      <c r="F536" s="15">
        <f t="shared" si="9"/>
        <v>115951668.50000004</v>
      </c>
    </row>
    <row r="537" spans="1:6" x14ac:dyDescent="0.2">
      <c r="A537" s="3">
        <v>45593</v>
      </c>
      <c r="B537" s="43">
        <v>13432803</v>
      </c>
      <c r="C537" s="20" t="s">
        <v>84</v>
      </c>
      <c r="D537" s="18">
        <v>480090</v>
      </c>
      <c r="E537" s="19"/>
      <c r="F537" s="15">
        <f t="shared" si="9"/>
        <v>115471578.50000004</v>
      </c>
    </row>
    <row r="538" spans="1:6" x14ac:dyDescent="0.2">
      <c r="A538" s="3">
        <v>45593</v>
      </c>
      <c r="B538" s="43">
        <v>13432804</v>
      </c>
      <c r="C538" s="20" t="s">
        <v>84</v>
      </c>
      <c r="D538" s="18">
        <v>200000</v>
      </c>
      <c r="E538" s="19"/>
      <c r="F538" s="15">
        <f t="shared" si="9"/>
        <v>115271578.50000004</v>
      </c>
    </row>
    <row r="539" spans="1:6" x14ac:dyDescent="0.2">
      <c r="A539" s="3">
        <v>45593</v>
      </c>
      <c r="B539" s="43">
        <v>13432805</v>
      </c>
      <c r="C539" s="20" t="s">
        <v>84</v>
      </c>
      <c r="D539" s="18">
        <v>4015100</v>
      </c>
      <c r="E539" s="19"/>
      <c r="F539" s="15">
        <f t="shared" si="9"/>
        <v>111256478.50000004</v>
      </c>
    </row>
    <row r="540" spans="1:6" x14ac:dyDescent="0.2">
      <c r="A540" s="3">
        <v>45593</v>
      </c>
      <c r="B540" s="43">
        <v>13432806</v>
      </c>
      <c r="C540" s="20" t="s">
        <v>84</v>
      </c>
      <c r="D540" s="18">
        <v>187500</v>
      </c>
      <c r="E540" s="19"/>
      <c r="F540" s="15">
        <f t="shared" si="9"/>
        <v>111068978.50000004</v>
      </c>
    </row>
    <row r="541" spans="1:6" x14ac:dyDescent="0.2">
      <c r="A541" s="3">
        <v>45593</v>
      </c>
      <c r="B541" s="43">
        <v>13432807</v>
      </c>
      <c r="C541" s="20" t="s">
        <v>84</v>
      </c>
      <c r="D541" s="18">
        <v>627750</v>
      </c>
      <c r="E541" s="19"/>
      <c r="F541" s="15">
        <f t="shared" si="9"/>
        <v>110441228.50000004</v>
      </c>
    </row>
    <row r="542" spans="1:6" x14ac:dyDescent="0.2">
      <c r="A542" s="3">
        <v>45593</v>
      </c>
      <c r="B542" s="43">
        <v>13432808</v>
      </c>
      <c r="C542" s="20" t="s">
        <v>84</v>
      </c>
      <c r="D542" s="18">
        <v>1085713.2</v>
      </c>
      <c r="E542" s="19"/>
      <c r="F542" s="15">
        <f t="shared" si="9"/>
        <v>109355515.30000004</v>
      </c>
    </row>
    <row r="543" spans="1:6" x14ac:dyDescent="0.2">
      <c r="A543" s="3">
        <v>45593</v>
      </c>
      <c r="B543" s="43">
        <v>13432809</v>
      </c>
      <c r="C543" s="20" t="s">
        <v>84</v>
      </c>
      <c r="D543" s="18">
        <v>777062</v>
      </c>
      <c r="E543" s="19"/>
      <c r="F543" s="15">
        <f t="shared" si="9"/>
        <v>108578453.30000004</v>
      </c>
    </row>
    <row r="544" spans="1:6" x14ac:dyDescent="0.2">
      <c r="A544" s="3">
        <v>45593</v>
      </c>
      <c r="B544" s="43">
        <v>13432810</v>
      </c>
      <c r="C544" s="20" t="s">
        <v>84</v>
      </c>
      <c r="D544" s="18">
        <v>1860000</v>
      </c>
      <c r="E544" s="19"/>
      <c r="F544" s="15">
        <f t="shared" si="9"/>
        <v>106718453.30000004</v>
      </c>
    </row>
    <row r="545" spans="1:6" x14ac:dyDescent="0.2">
      <c r="A545" s="3">
        <v>45593</v>
      </c>
      <c r="B545" s="43">
        <v>13432811</v>
      </c>
      <c r="C545" s="20" t="s">
        <v>84</v>
      </c>
      <c r="D545" s="18">
        <v>132000</v>
      </c>
      <c r="E545" s="19"/>
      <c r="F545" s="15">
        <f t="shared" si="9"/>
        <v>106586453.30000004</v>
      </c>
    </row>
    <row r="546" spans="1:6" x14ac:dyDescent="0.2">
      <c r="A546" s="3">
        <v>45593</v>
      </c>
      <c r="B546" s="46">
        <v>13432812</v>
      </c>
      <c r="C546" s="9" t="s">
        <v>84</v>
      </c>
      <c r="D546" s="48">
        <v>120000</v>
      </c>
      <c r="E546" s="49"/>
      <c r="F546" s="15">
        <f t="shared" si="9"/>
        <v>106466453.30000004</v>
      </c>
    </row>
    <row r="547" spans="1:6" x14ac:dyDescent="0.2">
      <c r="A547" s="3">
        <v>45593</v>
      </c>
      <c r="B547" s="44">
        <v>13432813</v>
      </c>
      <c r="C547" s="28" t="s">
        <v>84</v>
      </c>
      <c r="D547" s="23">
        <v>521914.8</v>
      </c>
      <c r="E547" s="24"/>
      <c r="F547" s="15">
        <f t="shared" si="9"/>
        <v>105944538.50000004</v>
      </c>
    </row>
    <row r="548" spans="1:6" x14ac:dyDescent="0.2">
      <c r="A548" s="3">
        <v>45593</v>
      </c>
      <c r="B548" s="43">
        <v>13432814</v>
      </c>
      <c r="C548" s="20" t="s">
        <v>84</v>
      </c>
      <c r="D548" s="18">
        <v>63536</v>
      </c>
      <c r="E548" s="19"/>
      <c r="F548" s="15">
        <f t="shared" si="9"/>
        <v>105881002.50000004</v>
      </c>
    </row>
    <row r="549" spans="1:6" x14ac:dyDescent="0.2">
      <c r="A549" s="3">
        <v>45593</v>
      </c>
      <c r="B549" s="43">
        <v>13432815</v>
      </c>
      <c r="C549" s="20" t="s">
        <v>84</v>
      </c>
      <c r="D549" s="18">
        <v>562580.04</v>
      </c>
      <c r="E549" s="19"/>
      <c r="F549" s="15">
        <f t="shared" si="9"/>
        <v>105318422.46000004</v>
      </c>
    </row>
    <row r="550" spans="1:6" x14ac:dyDescent="0.2">
      <c r="A550" s="3">
        <v>45593</v>
      </c>
      <c r="B550" s="43">
        <v>13432816</v>
      </c>
      <c r="C550" s="20" t="s">
        <v>84</v>
      </c>
      <c r="D550" s="18">
        <v>618974.4</v>
      </c>
      <c r="E550" s="19"/>
      <c r="F550" s="15">
        <f t="shared" si="9"/>
        <v>104699448.06000003</v>
      </c>
    </row>
    <row r="551" spans="1:6" x14ac:dyDescent="0.2">
      <c r="A551" s="3">
        <v>45593</v>
      </c>
      <c r="B551" s="43">
        <v>13432817</v>
      </c>
      <c r="C551" s="20" t="s">
        <v>84</v>
      </c>
      <c r="D551" s="18">
        <v>547096</v>
      </c>
      <c r="E551" s="19"/>
      <c r="F551" s="15">
        <f t="shared" si="9"/>
        <v>104152352.06000003</v>
      </c>
    </row>
    <row r="552" spans="1:6" x14ac:dyDescent="0.2">
      <c r="A552" s="3">
        <v>45593</v>
      </c>
      <c r="B552" s="43">
        <v>13432818</v>
      </c>
      <c r="C552" s="20" t="s">
        <v>84</v>
      </c>
      <c r="D552" s="18">
        <v>256500</v>
      </c>
      <c r="E552" s="19"/>
      <c r="F552" s="15">
        <f t="shared" si="9"/>
        <v>103895852.06000003</v>
      </c>
    </row>
    <row r="553" spans="1:6" x14ac:dyDescent="0.2">
      <c r="A553" s="3">
        <v>45593</v>
      </c>
      <c r="B553" s="43">
        <v>13432819</v>
      </c>
      <c r="C553" s="20" t="s">
        <v>84</v>
      </c>
      <c r="D553" s="18">
        <v>113696</v>
      </c>
      <c r="E553" s="19"/>
      <c r="F553" s="15">
        <f t="shared" si="9"/>
        <v>103782156.06000003</v>
      </c>
    </row>
    <row r="554" spans="1:6" x14ac:dyDescent="0.2">
      <c r="A554" s="3">
        <v>45593</v>
      </c>
      <c r="B554" s="43">
        <v>13432820</v>
      </c>
      <c r="C554" s="20" t="s">
        <v>84</v>
      </c>
      <c r="D554" s="18">
        <v>657267</v>
      </c>
      <c r="E554" s="19"/>
      <c r="F554" s="15">
        <f t="shared" si="9"/>
        <v>103124889.06000003</v>
      </c>
    </row>
    <row r="555" spans="1:6" x14ac:dyDescent="0.2">
      <c r="A555" s="3">
        <v>45593</v>
      </c>
      <c r="B555" s="43">
        <v>13432821</v>
      </c>
      <c r="C555" s="20" t="s">
        <v>84</v>
      </c>
      <c r="D555" s="18">
        <v>28500</v>
      </c>
      <c r="E555" s="19"/>
      <c r="F555" s="15">
        <f t="shared" si="9"/>
        <v>103096389.06000003</v>
      </c>
    </row>
    <row r="556" spans="1:6" x14ac:dyDescent="0.2">
      <c r="A556" s="3">
        <v>45593</v>
      </c>
      <c r="B556" s="43">
        <v>13432822</v>
      </c>
      <c r="C556" s="20" t="s">
        <v>84</v>
      </c>
      <c r="D556" s="18">
        <v>77880</v>
      </c>
      <c r="E556" s="19"/>
      <c r="F556" s="15">
        <f t="shared" si="9"/>
        <v>103018509.06000003</v>
      </c>
    </row>
    <row r="557" spans="1:6" x14ac:dyDescent="0.2">
      <c r="A557" s="3">
        <v>45593</v>
      </c>
      <c r="B557" s="43">
        <v>13432823</v>
      </c>
      <c r="C557" s="20" t="s">
        <v>84</v>
      </c>
      <c r="D557" s="18">
        <v>1210000</v>
      </c>
      <c r="E557" s="19"/>
      <c r="F557" s="15">
        <f t="shared" si="9"/>
        <v>101808509.06000003</v>
      </c>
    </row>
    <row r="558" spans="1:6" x14ac:dyDescent="0.2">
      <c r="A558" s="3">
        <v>45593</v>
      </c>
      <c r="B558" s="43">
        <v>13432824</v>
      </c>
      <c r="C558" s="20" t="s">
        <v>84</v>
      </c>
      <c r="D558" s="18">
        <v>71104</v>
      </c>
      <c r="E558" s="19"/>
      <c r="F558" s="15">
        <f t="shared" si="9"/>
        <v>101737405.06000003</v>
      </c>
    </row>
    <row r="559" spans="1:6" x14ac:dyDescent="0.2">
      <c r="A559" s="3">
        <v>45593</v>
      </c>
      <c r="B559" s="43">
        <v>13432825</v>
      </c>
      <c r="C559" s="20" t="s">
        <v>84</v>
      </c>
      <c r="D559" s="18">
        <v>640000</v>
      </c>
      <c r="E559" s="19"/>
      <c r="F559" s="15">
        <f t="shared" si="9"/>
        <v>101097405.06000003</v>
      </c>
    </row>
    <row r="560" spans="1:6" x14ac:dyDescent="0.2">
      <c r="A560" s="3">
        <v>45593</v>
      </c>
      <c r="B560" s="43">
        <v>13432826</v>
      </c>
      <c r="C560" s="20" t="s">
        <v>84</v>
      </c>
      <c r="D560" s="18">
        <v>1967500</v>
      </c>
      <c r="E560" s="19"/>
      <c r="F560" s="15">
        <f t="shared" si="9"/>
        <v>99129905.060000032</v>
      </c>
    </row>
    <row r="561" spans="1:6" x14ac:dyDescent="0.2">
      <c r="A561" s="3">
        <v>45593</v>
      </c>
      <c r="B561" s="43">
        <v>13432827</v>
      </c>
      <c r="C561" s="20" t="s">
        <v>84</v>
      </c>
      <c r="D561" s="18">
        <v>300000</v>
      </c>
      <c r="E561" s="19"/>
      <c r="F561" s="15">
        <f t="shared" si="9"/>
        <v>98829905.060000032</v>
      </c>
    </row>
    <row r="562" spans="1:6" x14ac:dyDescent="0.2">
      <c r="A562" s="3">
        <v>45593</v>
      </c>
      <c r="B562" s="43">
        <v>13432828</v>
      </c>
      <c r="C562" s="20" t="s">
        <v>84</v>
      </c>
      <c r="D562" s="18">
        <v>1342274</v>
      </c>
      <c r="E562" s="19"/>
      <c r="F562" s="15">
        <f t="shared" si="9"/>
        <v>97487631.060000032</v>
      </c>
    </row>
    <row r="563" spans="1:6" x14ac:dyDescent="0.2">
      <c r="A563" s="3">
        <v>45593</v>
      </c>
      <c r="B563" s="43">
        <v>13432829</v>
      </c>
      <c r="C563" s="20" t="s">
        <v>84</v>
      </c>
      <c r="D563" s="18">
        <v>429520</v>
      </c>
      <c r="E563" s="19"/>
      <c r="F563" s="15">
        <f t="shared" si="9"/>
        <v>97058111.060000032</v>
      </c>
    </row>
    <row r="564" spans="1:6" x14ac:dyDescent="0.2">
      <c r="A564" s="3">
        <v>45593</v>
      </c>
      <c r="B564" s="43">
        <v>13432830</v>
      </c>
      <c r="C564" s="20" t="s">
        <v>84</v>
      </c>
      <c r="D564" s="18">
        <v>2164300</v>
      </c>
      <c r="E564" s="19"/>
      <c r="F564" s="15">
        <f t="shared" si="9"/>
        <v>94893811.060000032</v>
      </c>
    </row>
    <row r="565" spans="1:6" x14ac:dyDescent="0.2">
      <c r="A565" s="3">
        <v>45593</v>
      </c>
      <c r="B565" s="43">
        <v>13432831</v>
      </c>
      <c r="C565" s="20" t="s">
        <v>84</v>
      </c>
      <c r="D565" s="18">
        <v>1528500</v>
      </c>
      <c r="E565" s="19"/>
      <c r="F565" s="15">
        <f t="shared" si="9"/>
        <v>93365311.060000032</v>
      </c>
    </row>
    <row r="566" spans="1:6" x14ac:dyDescent="0.2">
      <c r="A566" s="3">
        <v>45593</v>
      </c>
      <c r="B566" s="43">
        <v>13432832</v>
      </c>
      <c r="C566" s="20" t="s">
        <v>84</v>
      </c>
      <c r="D566" s="18">
        <v>2591600</v>
      </c>
      <c r="E566" s="19"/>
      <c r="F566" s="15">
        <f t="shared" si="9"/>
        <v>90773711.060000032</v>
      </c>
    </row>
    <row r="567" spans="1:6" x14ac:dyDescent="0.2">
      <c r="A567" s="3">
        <v>45593</v>
      </c>
      <c r="B567" s="43">
        <v>13432833</v>
      </c>
      <c r="C567" s="20" t="s">
        <v>84</v>
      </c>
      <c r="D567" s="18">
        <v>1571500</v>
      </c>
      <c r="E567" s="19"/>
      <c r="F567" s="15">
        <f t="shared" si="9"/>
        <v>89202211.060000032</v>
      </c>
    </row>
    <row r="568" spans="1:6" x14ac:dyDescent="0.2">
      <c r="A568" s="3">
        <v>45593</v>
      </c>
      <c r="B568" s="43">
        <v>13432834</v>
      </c>
      <c r="C568" s="20" t="s">
        <v>84</v>
      </c>
      <c r="D568" s="18">
        <v>600000</v>
      </c>
      <c r="E568" s="19"/>
      <c r="F568" s="15">
        <f t="shared" si="9"/>
        <v>88602211.060000032</v>
      </c>
    </row>
    <row r="569" spans="1:6" x14ac:dyDescent="0.2">
      <c r="A569" s="3">
        <v>45593</v>
      </c>
      <c r="B569" s="46">
        <v>13432835</v>
      </c>
      <c r="C569" s="9" t="s">
        <v>84</v>
      </c>
      <c r="D569" s="48">
        <v>941838.8</v>
      </c>
      <c r="E569" s="49"/>
      <c r="F569" s="15">
        <f t="shared" si="9"/>
        <v>87660372.260000035</v>
      </c>
    </row>
    <row r="570" spans="1:6" x14ac:dyDescent="0.2">
      <c r="A570" s="3">
        <v>45593</v>
      </c>
      <c r="B570" s="44">
        <v>13432836</v>
      </c>
      <c r="C570" s="28" t="s">
        <v>84</v>
      </c>
      <c r="D570" s="23">
        <v>206448</v>
      </c>
      <c r="E570" s="24"/>
      <c r="F570" s="15">
        <f t="shared" si="9"/>
        <v>87453924.260000035</v>
      </c>
    </row>
    <row r="571" spans="1:6" x14ac:dyDescent="0.2">
      <c r="A571" s="3">
        <v>45593</v>
      </c>
      <c r="B571" s="43">
        <v>13432837</v>
      </c>
      <c r="C571" s="20" t="s">
        <v>84</v>
      </c>
      <c r="D571" s="18">
        <v>188576</v>
      </c>
      <c r="E571" s="19"/>
      <c r="F571" s="15">
        <f t="shared" si="9"/>
        <v>87265348.260000035</v>
      </c>
    </row>
    <row r="572" spans="1:6" x14ac:dyDescent="0.2">
      <c r="A572" s="3">
        <v>45593</v>
      </c>
      <c r="B572" s="43">
        <v>13432838</v>
      </c>
      <c r="C572" s="20" t="s">
        <v>84</v>
      </c>
      <c r="D572" s="18">
        <v>46816</v>
      </c>
      <c r="E572" s="19"/>
      <c r="F572" s="15">
        <f t="shared" si="9"/>
        <v>87218532.260000035</v>
      </c>
    </row>
    <row r="573" spans="1:6" x14ac:dyDescent="0.2">
      <c r="A573" s="3">
        <v>45593</v>
      </c>
      <c r="B573" s="43">
        <v>13432839</v>
      </c>
      <c r="C573" s="20" t="s">
        <v>84</v>
      </c>
      <c r="D573" s="18">
        <v>16203</v>
      </c>
      <c r="E573" s="19"/>
      <c r="F573" s="15">
        <f t="shared" si="9"/>
        <v>87202329.260000035</v>
      </c>
    </row>
    <row r="574" spans="1:6" x14ac:dyDescent="0.2">
      <c r="A574" s="3">
        <v>45593</v>
      </c>
      <c r="B574" s="43">
        <v>13432840</v>
      </c>
      <c r="C574" s="20" t="s">
        <v>84</v>
      </c>
      <c r="D574" s="18">
        <v>243276</v>
      </c>
      <c r="E574" s="19"/>
      <c r="F574" s="15">
        <f t="shared" si="9"/>
        <v>86959053.260000035</v>
      </c>
    </row>
    <row r="575" spans="1:6" x14ac:dyDescent="0.2">
      <c r="A575" s="3">
        <v>45593</v>
      </c>
      <c r="B575" s="43">
        <v>13432841</v>
      </c>
      <c r="C575" s="20" t="s">
        <v>84</v>
      </c>
      <c r="D575" s="18">
        <v>300000</v>
      </c>
      <c r="E575" s="19"/>
      <c r="F575" s="15">
        <f t="shared" si="9"/>
        <v>86659053.260000035</v>
      </c>
    </row>
    <row r="576" spans="1:6" x14ac:dyDescent="0.2">
      <c r="A576" s="3">
        <v>45593</v>
      </c>
      <c r="B576" s="43">
        <v>13432842</v>
      </c>
      <c r="C576" s="20" t="s">
        <v>84</v>
      </c>
      <c r="D576" s="18">
        <v>1449200</v>
      </c>
      <c r="E576" s="19"/>
      <c r="F576" s="15">
        <f t="shared" si="9"/>
        <v>85209853.260000035</v>
      </c>
    </row>
    <row r="577" spans="1:6" x14ac:dyDescent="0.2">
      <c r="A577" s="3">
        <v>45593</v>
      </c>
      <c r="B577" s="43">
        <v>13432843</v>
      </c>
      <c r="C577" s="20" t="s">
        <v>84</v>
      </c>
      <c r="D577" s="18">
        <v>1421200</v>
      </c>
      <c r="E577" s="19"/>
      <c r="F577" s="15">
        <f t="shared" si="9"/>
        <v>83788653.260000035</v>
      </c>
    </row>
    <row r="578" spans="1:6" x14ac:dyDescent="0.2">
      <c r="A578" s="3">
        <v>45593</v>
      </c>
      <c r="B578" s="43">
        <v>13432844</v>
      </c>
      <c r="C578" s="20" t="s">
        <v>84</v>
      </c>
      <c r="D578" s="18">
        <v>32604</v>
      </c>
      <c r="E578" s="19"/>
      <c r="F578" s="15">
        <f t="shared" si="9"/>
        <v>83756049.260000035</v>
      </c>
    </row>
    <row r="579" spans="1:6" x14ac:dyDescent="0.2">
      <c r="A579" s="3">
        <v>45593</v>
      </c>
      <c r="B579" s="43">
        <v>13432845</v>
      </c>
      <c r="C579" s="20" t="s">
        <v>84</v>
      </c>
      <c r="D579" s="18">
        <v>242000</v>
      </c>
      <c r="E579" s="19"/>
      <c r="F579" s="15">
        <f t="shared" si="9"/>
        <v>83514049.260000035</v>
      </c>
    </row>
    <row r="580" spans="1:6" x14ac:dyDescent="0.2">
      <c r="A580" s="3">
        <v>45593</v>
      </c>
      <c r="B580" s="43">
        <v>13432846</v>
      </c>
      <c r="C580" s="20" t="s">
        <v>84</v>
      </c>
      <c r="D580" s="18">
        <v>645772</v>
      </c>
      <c r="E580" s="19"/>
      <c r="F580" s="15">
        <f t="shared" si="9"/>
        <v>82868277.260000035</v>
      </c>
    </row>
    <row r="581" spans="1:6" x14ac:dyDescent="0.2">
      <c r="A581" s="3">
        <v>45593</v>
      </c>
      <c r="B581" s="43">
        <v>13432847</v>
      </c>
      <c r="C581" s="20" t="s">
        <v>84</v>
      </c>
      <c r="D581" s="18">
        <v>396000</v>
      </c>
      <c r="E581" s="19"/>
      <c r="F581" s="15">
        <f t="shared" si="9"/>
        <v>82472277.260000035</v>
      </c>
    </row>
    <row r="582" spans="1:6" x14ac:dyDescent="0.2">
      <c r="A582" s="3">
        <v>45593</v>
      </c>
      <c r="B582" s="43">
        <v>13432848</v>
      </c>
      <c r="C582" s="20" t="s">
        <v>84</v>
      </c>
      <c r="D582" s="18">
        <v>1430016</v>
      </c>
      <c r="E582" s="19"/>
      <c r="F582" s="15">
        <f t="shared" si="9"/>
        <v>81042261.260000035</v>
      </c>
    </row>
    <row r="583" spans="1:6" x14ac:dyDescent="0.2">
      <c r="A583" s="3">
        <v>45593</v>
      </c>
      <c r="B583" s="43">
        <v>13432849</v>
      </c>
      <c r="C583" s="20" t="s">
        <v>84</v>
      </c>
      <c r="D583" s="18">
        <v>120000</v>
      </c>
      <c r="E583" s="19"/>
      <c r="F583" s="15">
        <f t="shared" si="9"/>
        <v>80922261.260000035</v>
      </c>
    </row>
    <row r="584" spans="1:6" x14ac:dyDescent="0.2">
      <c r="A584" s="3">
        <v>45593</v>
      </c>
      <c r="B584" s="43">
        <v>13432850</v>
      </c>
      <c r="C584" s="20" t="s">
        <v>84</v>
      </c>
      <c r="D584" s="18">
        <v>600000</v>
      </c>
      <c r="E584" s="19"/>
      <c r="F584" s="15">
        <f t="shared" si="9"/>
        <v>80322261.260000035</v>
      </c>
    </row>
    <row r="585" spans="1:6" x14ac:dyDescent="0.2">
      <c r="A585" s="3">
        <v>45593</v>
      </c>
      <c r="B585" s="43">
        <v>13432851</v>
      </c>
      <c r="C585" s="20" t="s">
        <v>84</v>
      </c>
      <c r="D585" s="18">
        <v>85500</v>
      </c>
      <c r="E585" s="19"/>
      <c r="F585" s="15">
        <f t="shared" si="9"/>
        <v>80236761.260000035</v>
      </c>
    </row>
    <row r="586" spans="1:6" x14ac:dyDescent="0.2">
      <c r="A586" s="3">
        <v>45593</v>
      </c>
      <c r="B586" s="43">
        <v>13432852</v>
      </c>
      <c r="C586" s="20" t="s">
        <v>84</v>
      </c>
      <c r="D586" s="18">
        <v>242000</v>
      </c>
      <c r="E586" s="19"/>
      <c r="F586" s="15">
        <f t="shared" si="9"/>
        <v>79994761.260000035</v>
      </c>
    </row>
    <row r="587" spans="1:6" x14ac:dyDescent="0.2">
      <c r="A587" s="3">
        <v>45593</v>
      </c>
      <c r="B587" s="43">
        <v>13432853</v>
      </c>
      <c r="C587" s="20" t="s">
        <v>84</v>
      </c>
      <c r="D587" s="18">
        <v>174400</v>
      </c>
      <c r="E587" s="19"/>
      <c r="F587" s="15">
        <f t="shared" si="9"/>
        <v>79820361.260000035</v>
      </c>
    </row>
    <row r="588" spans="1:6" x14ac:dyDescent="0.2">
      <c r="A588" s="3">
        <v>45593</v>
      </c>
      <c r="B588" s="43">
        <v>13432854</v>
      </c>
      <c r="C588" s="20" t="s">
        <v>84</v>
      </c>
      <c r="D588" s="18">
        <v>665000</v>
      </c>
      <c r="E588" s="19"/>
      <c r="F588" s="15">
        <f t="shared" si="9"/>
        <v>79155361.260000035</v>
      </c>
    </row>
    <row r="589" spans="1:6" x14ac:dyDescent="0.2">
      <c r="A589" s="3">
        <v>45593</v>
      </c>
      <c r="B589" s="43">
        <v>13432855</v>
      </c>
      <c r="C589" s="20" t="s">
        <v>84</v>
      </c>
      <c r="D589" s="18">
        <v>133800</v>
      </c>
      <c r="E589" s="19"/>
      <c r="F589" s="15">
        <f t="shared" ref="F589:F652" si="10">+F588+E589-D589</f>
        <v>79021561.260000035</v>
      </c>
    </row>
    <row r="590" spans="1:6" x14ac:dyDescent="0.2">
      <c r="A590" s="3">
        <v>45593</v>
      </c>
      <c r="B590" s="43">
        <v>13432856</v>
      </c>
      <c r="C590" s="20" t="s">
        <v>84</v>
      </c>
      <c r="D590" s="18">
        <v>475200</v>
      </c>
      <c r="E590" s="19"/>
      <c r="F590" s="15">
        <f t="shared" si="10"/>
        <v>78546361.260000035</v>
      </c>
    </row>
    <row r="591" spans="1:6" x14ac:dyDescent="0.2">
      <c r="A591" s="3">
        <v>45593</v>
      </c>
      <c r="B591" s="43">
        <v>31627</v>
      </c>
      <c r="C591" s="17" t="s">
        <v>12</v>
      </c>
      <c r="D591" s="18">
        <v>271645</v>
      </c>
      <c r="E591" s="19"/>
      <c r="F591" s="15">
        <f t="shared" si="10"/>
        <v>78274716.260000035</v>
      </c>
    </row>
    <row r="592" spans="1:6" x14ac:dyDescent="0.2">
      <c r="A592" s="3">
        <v>45593</v>
      </c>
      <c r="B592" s="43">
        <v>31677</v>
      </c>
      <c r="C592" s="17" t="s">
        <v>12</v>
      </c>
      <c r="D592" s="18">
        <v>2487286.7200000002</v>
      </c>
      <c r="E592" s="19"/>
      <c r="F592" s="15">
        <f t="shared" si="10"/>
        <v>75787429.540000036</v>
      </c>
    </row>
    <row r="593" spans="1:6" x14ac:dyDescent="0.2">
      <c r="A593" s="3">
        <v>45593</v>
      </c>
      <c r="B593" s="43">
        <v>31582</v>
      </c>
      <c r="C593" s="17" t="s">
        <v>12</v>
      </c>
      <c r="D593" s="18">
        <v>5104908.8</v>
      </c>
      <c r="E593" s="19"/>
      <c r="F593" s="15">
        <f t="shared" si="10"/>
        <v>70682520.740000039</v>
      </c>
    </row>
    <row r="594" spans="1:6" x14ac:dyDescent="0.2">
      <c r="A594" s="3">
        <v>45593</v>
      </c>
      <c r="B594" s="46">
        <v>31408</v>
      </c>
      <c r="C594" s="47" t="s">
        <v>12</v>
      </c>
      <c r="D594" s="48">
        <v>5219940.5199999996</v>
      </c>
      <c r="E594" s="49"/>
      <c r="F594" s="15">
        <f t="shared" si="10"/>
        <v>65462580.220000044</v>
      </c>
    </row>
    <row r="595" spans="1:6" x14ac:dyDescent="0.2">
      <c r="A595" s="3">
        <v>45593</v>
      </c>
      <c r="B595" s="50"/>
      <c r="C595" s="22" t="s">
        <v>88</v>
      </c>
      <c r="D595" s="23">
        <v>25106407.399999999</v>
      </c>
      <c r="E595" s="24"/>
      <c r="F595" s="15">
        <f t="shared" si="10"/>
        <v>40356172.820000045</v>
      </c>
    </row>
    <row r="596" spans="1:6" x14ac:dyDescent="0.2">
      <c r="A596" s="3">
        <v>45593</v>
      </c>
      <c r="B596" s="45"/>
      <c r="C596" s="17" t="s">
        <v>16</v>
      </c>
      <c r="D596" s="18">
        <v>513892.93</v>
      </c>
      <c r="E596" s="19"/>
      <c r="F596" s="15">
        <f t="shared" si="10"/>
        <v>39842279.890000045</v>
      </c>
    </row>
    <row r="597" spans="1:6" x14ac:dyDescent="0.2">
      <c r="A597" s="3">
        <v>45594</v>
      </c>
      <c r="B597" s="43">
        <v>31672</v>
      </c>
      <c r="C597" s="17" t="s">
        <v>9</v>
      </c>
      <c r="D597" s="18">
        <v>34931.74</v>
      </c>
      <c r="E597" s="19"/>
      <c r="F597" s="15">
        <f t="shared" si="10"/>
        <v>39807348.150000043</v>
      </c>
    </row>
    <row r="598" spans="1:6" x14ac:dyDescent="0.2">
      <c r="A598" s="3">
        <v>45594</v>
      </c>
      <c r="B598" s="43">
        <v>31742</v>
      </c>
      <c r="C598" s="17" t="s">
        <v>9</v>
      </c>
      <c r="D598" s="18">
        <v>311451.40000000002</v>
      </c>
      <c r="E598" s="19"/>
      <c r="F598" s="15">
        <f t="shared" si="10"/>
        <v>39495896.750000045</v>
      </c>
    </row>
    <row r="599" spans="1:6" x14ac:dyDescent="0.2">
      <c r="A599" s="3">
        <v>45594</v>
      </c>
      <c r="B599" s="43">
        <v>31586</v>
      </c>
      <c r="C599" s="17" t="s">
        <v>9</v>
      </c>
      <c r="D599" s="18">
        <v>2681249.25</v>
      </c>
      <c r="E599" s="19"/>
      <c r="F599" s="15">
        <f t="shared" si="10"/>
        <v>36814647.500000045</v>
      </c>
    </row>
    <row r="600" spans="1:6" x14ac:dyDescent="0.2">
      <c r="A600" s="3">
        <v>45594</v>
      </c>
      <c r="B600" s="43">
        <v>4229518</v>
      </c>
      <c r="C600" s="20" t="s">
        <v>85</v>
      </c>
      <c r="D600" s="18">
        <v>2000000</v>
      </c>
      <c r="E600" s="19"/>
      <c r="F600" s="15">
        <f t="shared" si="10"/>
        <v>34814647.500000045</v>
      </c>
    </row>
    <row r="601" spans="1:6" x14ac:dyDescent="0.2">
      <c r="A601" s="3">
        <v>45594</v>
      </c>
      <c r="B601" s="43">
        <v>4229519</v>
      </c>
      <c r="C601" s="20" t="s">
        <v>86</v>
      </c>
      <c r="D601" s="18">
        <v>247104</v>
      </c>
      <c r="E601" s="19"/>
      <c r="F601" s="15">
        <f t="shared" si="10"/>
        <v>34567543.500000045</v>
      </c>
    </row>
    <row r="602" spans="1:6" x14ac:dyDescent="0.2">
      <c r="A602" s="3">
        <v>45594</v>
      </c>
      <c r="B602" s="43">
        <v>4229522</v>
      </c>
      <c r="C602" s="20" t="s">
        <v>78</v>
      </c>
      <c r="D602" s="18">
        <v>195000</v>
      </c>
      <c r="E602" s="19"/>
      <c r="F602" s="15">
        <f t="shared" si="10"/>
        <v>34372543.500000045</v>
      </c>
    </row>
    <row r="603" spans="1:6" x14ac:dyDescent="0.2">
      <c r="A603" s="3">
        <v>45594</v>
      </c>
      <c r="B603" s="43">
        <v>4229524</v>
      </c>
      <c r="C603" s="20" t="s">
        <v>133</v>
      </c>
      <c r="D603" s="18">
        <v>161000</v>
      </c>
      <c r="E603" s="19"/>
      <c r="F603" s="15">
        <f t="shared" si="10"/>
        <v>34211543.500000045</v>
      </c>
    </row>
    <row r="604" spans="1:6" x14ac:dyDescent="0.2">
      <c r="A604" s="3">
        <v>45594</v>
      </c>
      <c r="B604" s="43">
        <v>4229526</v>
      </c>
      <c r="C604" s="20" t="s">
        <v>134</v>
      </c>
      <c r="D604" s="18">
        <v>240000</v>
      </c>
      <c r="E604" s="19"/>
      <c r="F604" s="15">
        <f t="shared" si="10"/>
        <v>33971543.500000045</v>
      </c>
    </row>
    <row r="605" spans="1:6" x14ac:dyDescent="0.2">
      <c r="A605" s="3">
        <v>45594</v>
      </c>
      <c r="B605" s="43">
        <v>14234524</v>
      </c>
      <c r="C605" s="20" t="s">
        <v>135</v>
      </c>
      <c r="D605" s="19"/>
      <c r="E605" s="18">
        <v>20041.2</v>
      </c>
      <c r="F605" s="15">
        <f t="shared" si="10"/>
        <v>33991584.700000048</v>
      </c>
    </row>
    <row r="606" spans="1:6" x14ac:dyDescent="0.2">
      <c r="A606" s="3">
        <v>45594</v>
      </c>
      <c r="B606" s="43">
        <v>31715</v>
      </c>
      <c r="C606" s="17" t="s">
        <v>12</v>
      </c>
      <c r="D606" s="18">
        <v>7320</v>
      </c>
      <c r="E606" s="19"/>
      <c r="F606" s="15">
        <f t="shared" si="10"/>
        <v>33984264.700000048</v>
      </c>
    </row>
    <row r="607" spans="1:6" x14ac:dyDescent="0.2">
      <c r="A607" s="3">
        <v>45594</v>
      </c>
      <c r="B607" s="43">
        <v>31632</v>
      </c>
      <c r="C607" s="17" t="s">
        <v>12</v>
      </c>
      <c r="D607" s="18">
        <v>2007585</v>
      </c>
      <c r="E607" s="19"/>
      <c r="F607" s="15">
        <f t="shared" si="10"/>
        <v>31976679.700000048</v>
      </c>
    </row>
    <row r="608" spans="1:6" x14ac:dyDescent="0.2">
      <c r="A608" s="3">
        <v>45594</v>
      </c>
      <c r="B608" s="43">
        <v>31588</v>
      </c>
      <c r="C608" s="17" t="s">
        <v>12</v>
      </c>
      <c r="D608" s="18">
        <v>6197811</v>
      </c>
      <c r="E608" s="19"/>
      <c r="F608" s="15">
        <f t="shared" si="10"/>
        <v>25778868.700000048</v>
      </c>
    </row>
    <row r="609" spans="1:6" x14ac:dyDescent="0.2">
      <c r="A609" s="3">
        <v>45594</v>
      </c>
      <c r="B609" s="43">
        <v>31619</v>
      </c>
      <c r="C609" s="17" t="s">
        <v>12</v>
      </c>
      <c r="D609" s="18">
        <v>7356013</v>
      </c>
      <c r="E609" s="19"/>
      <c r="F609" s="15">
        <f t="shared" si="10"/>
        <v>18422855.700000048</v>
      </c>
    </row>
    <row r="610" spans="1:6" x14ac:dyDescent="0.2">
      <c r="A610" s="3">
        <v>45594</v>
      </c>
      <c r="B610" s="45"/>
      <c r="C610" s="17" t="s">
        <v>22</v>
      </c>
      <c r="D610" s="18">
        <v>120.25</v>
      </c>
      <c r="E610" s="19"/>
      <c r="F610" s="15">
        <f t="shared" si="10"/>
        <v>18422735.450000048</v>
      </c>
    </row>
    <row r="611" spans="1:6" x14ac:dyDescent="0.2">
      <c r="A611" s="3">
        <v>45594</v>
      </c>
      <c r="B611" s="45"/>
      <c r="C611" s="17" t="s">
        <v>16</v>
      </c>
      <c r="D611" s="18">
        <v>128636.8</v>
      </c>
      <c r="E611" s="19"/>
      <c r="F611" s="15">
        <f t="shared" si="10"/>
        <v>18294098.650000047</v>
      </c>
    </row>
    <row r="612" spans="1:6" x14ac:dyDescent="0.2">
      <c r="A612" s="3">
        <v>45594</v>
      </c>
      <c r="B612" s="43">
        <v>12957</v>
      </c>
      <c r="C612" s="20" t="s">
        <v>7</v>
      </c>
      <c r="D612" s="18">
        <v>720</v>
      </c>
      <c r="E612" s="19"/>
      <c r="F612" s="15">
        <f t="shared" si="10"/>
        <v>18293378.650000047</v>
      </c>
    </row>
    <row r="613" spans="1:6" x14ac:dyDescent="0.2">
      <c r="A613" s="3">
        <v>45594</v>
      </c>
      <c r="B613" s="43">
        <v>12957</v>
      </c>
      <c r="C613" s="17" t="s">
        <v>8</v>
      </c>
      <c r="D613" s="18">
        <v>151.19999999999999</v>
      </c>
      <c r="E613" s="19"/>
      <c r="F613" s="15">
        <f t="shared" si="10"/>
        <v>18293227.450000048</v>
      </c>
    </row>
    <row r="614" spans="1:6" x14ac:dyDescent="0.2">
      <c r="A614" s="3">
        <v>45594</v>
      </c>
      <c r="B614" s="43">
        <v>12958</v>
      </c>
      <c r="C614" s="20" t="s">
        <v>7</v>
      </c>
      <c r="D614" s="18">
        <v>720</v>
      </c>
      <c r="E614" s="19"/>
      <c r="F614" s="15">
        <f t="shared" si="10"/>
        <v>18292507.450000048</v>
      </c>
    </row>
    <row r="615" spans="1:6" x14ac:dyDescent="0.2">
      <c r="A615" s="3">
        <v>45594</v>
      </c>
      <c r="B615" s="43">
        <v>12958</v>
      </c>
      <c r="C615" s="17" t="s">
        <v>8</v>
      </c>
      <c r="D615" s="18">
        <v>151.19999999999999</v>
      </c>
      <c r="E615" s="19"/>
      <c r="F615" s="15">
        <f t="shared" si="10"/>
        <v>18292356.250000048</v>
      </c>
    </row>
    <row r="616" spans="1:6" x14ac:dyDescent="0.2">
      <c r="A616" s="3">
        <v>45594</v>
      </c>
      <c r="B616" s="43">
        <v>12959</v>
      </c>
      <c r="C616" s="20" t="s">
        <v>7</v>
      </c>
      <c r="D616" s="18">
        <v>720</v>
      </c>
      <c r="E616" s="19"/>
      <c r="F616" s="15">
        <f t="shared" si="10"/>
        <v>18291636.250000048</v>
      </c>
    </row>
    <row r="617" spans="1:6" x14ac:dyDescent="0.2">
      <c r="A617" s="3">
        <v>45594</v>
      </c>
      <c r="B617" s="43">
        <v>12959</v>
      </c>
      <c r="C617" s="17" t="s">
        <v>8</v>
      </c>
      <c r="D617" s="18">
        <v>151.19999999999999</v>
      </c>
      <c r="E617" s="19"/>
      <c r="F617" s="15">
        <f t="shared" si="10"/>
        <v>18291485.050000049</v>
      </c>
    </row>
    <row r="618" spans="1:6" x14ac:dyDescent="0.2">
      <c r="A618" s="3">
        <v>45594</v>
      </c>
      <c r="B618" s="43">
        <v>12960</v>
      </c>
      <c r="C618" s="20" t="s">
        <v>7</v>
      </c>
      <c r="D618" s="18">
        <v>720</v>
      </c>
      <c r="E618" s="19"/>
      <c r="F618" s="15">
        <f t="shared" si="10"/>
        <v>18290765.050000049</v>
      </c>
    </row>
    <row r="619" spans="1:6" x14ac:dyDescent="0.2">
      <c r="A619" s="3">
        <v>45594</v>
      </c>
      <c r="B619" s="43">
        <v>12960</v>
      </c>
      <c r="C619" s="17" t="s">
        <v>8</v>
      </c>
      <c r="D619" s="18">
        <v>151.19999999999999</v>
      </c>
      <c r="E619" s="19"/>
      <c r="F619" s="15">
        <f t="shared" si="10"/>
        <v>18290613.85000005</v>
      </c>
    </row>
    <row r="620" spans="1:6" x14ac:dyDescent="0.2">
      <c r="A620" s="3">
        <v>45594</v>
      </c>
      <c r="B620" s="43">
        <v>12961</v>
      </c>
      <c r="C620" s="20" t="s">
        <v>7</v>
      </c>
      <c r="D620" s="18">
        <v>1485</v>
      </c>
      <c r="E620" s="19"/>
      <c r="F620" s="15">
        <f t="shared" si="10"/>
        <v>18289128.85000005</v>
      </c>
    </row>
    <row r="621" spans="1:6" x14ac:dyDescent="0.2">
      <c r="A621" s="3">
        <v>45594</v>
      </c>
      <c r="B621" s="46">
        <v>12961</v>
      </c>
      <c r="C621" s="47" t="s">
        <v>8</v>
      </c>
      <c r="D621" s="48">
        <v>311.85000000000002</v>
      </c>
      <c r="E621" s="49"/>
      <c r="F621" s="15">
        <f t="shared" si="10"/>
        <v>18288817.000000048</v>
      </c>
    </row>
    <row r="622" spans="1:6" x14ac:dyDescent="0.2">
      <c r="A622" s="3">
        <v>45594</v>
      </c>
      <c r="B622" s="50"/>
      <c r="C622" s="28" t="s">
        <v>136</v>
      </c>
      <c r="D622" s="23">
        <v>40.08</v>
      </c>
      <c r="E622" s="24"/>
      <c r="F622" s="15">
        <f t="shared" si="10"/>
        <v>18288776.92000005</v>
      </c>
    </row>
    <row r="623" spans="1:6" x14ac:dyDescent="0.2">
      <c r="A623" s="3">
        <v>45595</v>
      </c>
      <c r="B623" s="43">
        <v>31771</v>
      </c>
      <c r="C623" s="17" t="s">
        <v>9</v>
      </c>
      <c r="D623" s="18">
        <v>439495.31</v>
      </c>
      <c r="E623" s="19"/>
      <c r="F623" s="15">
        <f t="shared" si="10"/>
        <v>17849281.610000052</v>
      </c>
    </row>
    <row r="624" spans="1:6" x14ac:dyDescent="0.2">
      <c r="A624" s="3">
        <v>45595</v>
      </c>
      <c r="B624" s="43">
        <v>31616</v>
      </c>
      <c r="C624" s="17" t="s">
        <v>9</v>
      </c>
      <c r="D624" s="18">
        <v>459294.05</v>
      </c>
      <c r="E624" s="19"/>
      <c r="F624" s="15">
        <f t="shared" si="10"/>
        <v>17389987.560000051</v>
      </c>
    </row>
    <row r="625" spans="1:6" x14ac:dyDescent="0.2">
      <c r="A625" s="3">
        <v>45595</v>
      </c>
      <c r="B625" s="43">
        <v>31618</v>
      </c>
      <c r="C625" s="17" t="s">
        <v>9</v>
      </c>
      <c r="D625" s="18">
        <v>662378.19999999995</v>
      </c>
      <c r="E625" s="19"/>
      <c r="F625" s="15">
        <f t="shared" si="10"/>
        <v>16727609.360000052</v>
      </c>
    </row>
    <row r="626" spans="1:6" x14ac:dyDescent="0.2">
      <c r="A626" s="3">
        <v>45595</v>
      </c>
      <c r="B626" s="43">
        <v>31579</v>
      </c>
      <c r="C626" s="17" t="s">
        <v>9</v>
      </c>
      <c r="D626" s="18">
        <v>758000</v>
      </c>
      <c r="E626" s="19"/>
      <c r="F626" s="15">
        <f t="shared" si="10"/>
        <v>15969609.360000052</v>
      </c>
    </row>
    <row r="627" spans="1:6" x14ac:dyDescent="0.2">
      <c r="A627" s="3">
        <v>45595</v>
      </c>
      <c r="B627" s="43">
        <v>31622</v>
      </c>
      <c r="C627" s="17" t="s">
        <v>9</v>
      </c>
      <c r="D627" s="18">
        <v>1627027.5</v>
      </c>
      <c r="E627" s="19"/>
      <c r="F627" s="15">
        <f t="shared" si="10"/>
        <v>14342581.860000052</v>
      </c>
    </row>
    <row r="628" spans="1:6" x14ac:dyDescent="0.2">
      <c r="A628" s="3">
        <v>45595</v>
      </c>
      <c r="B628" s="43">
        <v>31634</v>
      </c>
      <c r="C628" s="17" t="s">
        <v>9</v>
      </c>
      <c r="D628" s="18">
        <v>1846243</v>
      </c>
      <c r="E628" s="19"/>
      <c r="F628" s="15">
        <f t="shared" si="10"/>
        <v>12496338.860000052</v>
      </c>
    </row>
    <row r="629" spans="1:6" x14ac:dyDescent="0.2">
      <c r="A629" s="3">
        <v>45595</v>
      </c>
      <c r="B629" s="43">
        <v>31694</v>
      </c>
      <c r="C629" s="17" t="s">
        <v>9</v>
      </c>
      <c r="D629" s="18">
        <v>2190033.2599999998</v>
      </c>
      <c r="E629" s="19"/>
      <c r="F629" s="15">
        <f t="shared" si="10"/>
        <v>10306305.600000052</v>
      </c>
    </row>
    <row r="630" spans="1:6" x14ac:dyDescent="0.2">
      <c r="A630" s="3">
        <v>45595</v>
      </c>
      <c r="B630" s="43">
        <v>31661</v>
      </c>
      <c r="C630" s="17" t="s">
        <v>9</v>
      </c>
      <c r="D630" s="18">
        <v>7533956</v>
      </c>
      <c r="E630" s="19"/>
      <c r="F630" s="15">
        <f t="shared" si="10"/>
        <v>2772349.6000000518</v>
      </c>
    </row>
    <row r="631" spans="1:6" x14ac:dyDescent="0.2">
      <c r="A631" s="3">
        <v>45595</v>
      </c>
      <c r="B631" s="45"/>
      <c r="C631" s="17" t="s">
        <v>92</v>
      </c>
      <c r="D631" s="18">
        <v>33300</v>
      </c>
      <c r="E631" s="19"/>
      <c r="F631" s="15">
        <f t="shared" si="10"/>
        <v>2739049.6000000518</v>
      </c>
    </row>
    <row r="632" spans="1:6" x14ac:dyDescent="0.2">
      <c r="A632" s="3">
        <v>45595</v>
      </c>
      <c r="B632" s="45"/>
      <c r="C632" s="17" t="s">
        <v>36</v>
      </c>
      <c r="D632" s="18">
        <v>499.5</v>
      </c>
      <c r="E632" s="19"/>
      <c r="F632" s="15">
        <f t="shared" si="10"/>
        <v>2738550.1000000518</v>
      </c>
    </row>
    <row r="633" spans="1:6" x14ac:dyDescent="0.2">
      <c r="A633" s="3">
        <v>45595</v>
      </c>
      <c r="B633" s="45"/>
      <c r="C633" s="17" t="s">
        <v>8</v>
      </c>
      <c r="D633" s="18">
        <v>6993</v>
      </c>
      <c r="E633" s="19"/>
      <c r="F633" s="15">
        <f t="shared" si="10"/>
        <v>2731557.1000000518</v>
      </c>
    </row>
    <row r="634" spans="1:6" x14ac:dyDescent="0.2">
      <c r="A634" s="3">
        <v>45595</v>
      </c>
      <c r="B634" s="45"/>
      <c r="C634" s="17" t="s">
        <v>37</v>
      </c>
      <c r="D634" s="18">
        <v>999</v>
      </c>
      <c r="E634" s="19"/>
      <c r="F634" s="15">
        <f t="shared" si="10"/>
        <v>2730558.1000000518</v>
      </c>
    </row>
    <row r="635" spans="1:6" x14ac:dyDescent="0.2">
      <c r="A635" s="3">
        <v>45595</v>
      </c>
      <c r="B635" s="45"/>
      <c r="C635" s="17" t="s">
        <v>93</v>
      </c>
      <c r="D635" s="18">
        <v>42210</v>
      </c>
      <c r="E635" s="19"/>
      <c r="F635" s="15">
        <f t="shared" si="10"/>
        <v>2688348.1000000518</v>
      </c>
    </row>
    <row r="636" spans="1:6" x14ac:dyDescent="0.2">
      <c r="A636" s="3">
        <v>45595</v>
      </c>
      <c r="B636" s="45"/>
      <c r="C636" s="17" t="s">
        <v>36</v>
      </c>
      <c r="D636" s="18">
        <v>633.15</v>
      </c>
      <c r="E636" s="19"/>
      <c r="F636" s="15">
        <f t="shared" si="10"/>
        <v>2687714.9500000519</v>
      </c>
    </row>
    <row r="637" spans="1:6" x14ac:dyDescent="0.2">
      <c r="A637" s="3">
        <v>45595</v>
      </c>
      <c r="B637" s="45"/>
      <c r="C637" s="17" t="s">
        <v>8</v>
      </c>
      <c r="D637" s="18">
        <v>8864.1</v>
      </c>
      <c r="E637" s="19"/>
      <c r="F637" s="15">
        <f t="shared" si="10"/>
        <v>2678850.8500000518</v>
      </c>
    </row>
    <row r="638" spans="1:6" x14ac:dyDescent="0.2">
      <c r="A638" s="3">
        <v>45595</v>
      </c>
      <c r="B638" s="45"/>
      <c r="C638" s="17" t="s">
        <v>37</v>
      </c>
      <c r="D638" s="18">
        <v>1266.3</v>
      </c>
      <c r="E638" s="19"/>
      <c r="F638" s="15">
        <f t="shared" si="10"/>
        <v>2677584.550000052</v>
      </c>
    </row>
    <row r="639" spans="1:6" x14ac:dyDescent="0.2">
      <c r="A639" s="3">
        <v>45595</v>
      </c>
      <c r="B639" s="43">
        <v>9457293</v>
      </c>
      <c r="C639" s="20" t="s">
        <v>137</v>
      </c>
      <c r="D639" s="19"/>
      <c r="E639" s="18">
        <v>11450</v>
      </c>
      <c r="F639" s="15">
        <f t="shared" si="10"/>
        <v>2689034.550000052</v>
      </c>
    </row>
    <row r="640" spans="1:6" x14ac:dyDescent="0.2">
      <c r="A640" s="3">
        <v>45595</v>
      </c>
      <c r="B640" s="43">
        <v>71180113</v>
      </c>
      <c r="C640" s="20" t="s">
        <v>138</v>
      </c>
      <c r="D640" s="19"/>
      <c r="E640" s="18">
        <v>13700</v>
      </c>
      <c r="F640" s="15">
        <f t="shared" si="10"/>
        <v>2702734.550000052</v>
      </c>
    </row>
    <row r="641" spans="1:6" x14ac:dyDescent="0.2">
      <c r="A641" s="3">
        <v>45595</v>
      </c>
      <c r="B641" s="43">
        <v>678707</v>
      </c>
      <c r="C641" s="20" t="s">
        <v>10</v>
      </c>
      <c r="D641" s="25"/>
      <c r="E641" s="25">
        <v>20000000</v>
      </c>
      <c r="F641" s="15">
        <f t="shared" si="10"/>
        <v>22702734.550000053</v>
      </c>
    </row>
    <row r="642" spans="1:6" x14ac:dyDescent="0.2">
      <c r="A642" s="3">
        <v>45595</v>
      </c>
      <c r="B642" s="43">
        <v>610868</v>
      </c>
      <c r="C642" s="20" t="s">
        <v>10</v>
      </c>
      <c r="D642" s="25"/>
      <c r="E642" s="25">
        <v>20000000</v>
      </c>
      <c r="F642" s="15">
        <f t="shared" si="10"/>
        <v>42702734.550000057</v>
      </c>
    </row>
    <row r="643" spans="1:6" x14ac:dyDescent="0.2">
      <c r="A643" s="3">
        <v>45595</v>
      </c>
      <c r="B643" s="43">
        <v>610884</v>
      </c>
      <c r="C643" s="20" t="s">
        <v>10</v>
      </c>
      <c r="D643" s="25"/>
      <c r="E643" s="25">
        <v>20000000</v>
      </c>
      <c r="F643" s="15">
        <f t="shared" si="10"/>
        <v>62702734.550000057</v>
      </c>
    </row>
    <row r="644" spans="1:6" x14ac:dyDescent="0.2">
      <c r="A644" s="3">
        <v>45595</v>
      </c>
      <c r="B644" s="43">
        <v>678754</v>
      </c>
      <c r="C644" s="20" t="s">
        <v>10</v>
      </c>
      <c r="D644" s="25"/>
      <c r="E644" s="25">
        <v>20000000</v>
      </c>
      <c r="F644" s="15">
        <f t="shared" si="10"/>
        <v>82702734.550000057</v>
      </c>
    </row>
    <row r="645" spans="1:6" x14ac:dyDescent="0.2">
      <c r="A645" s="3">
        <v>45595</v>
      </c>
      <c r="B645" s="43">
        <v>610903</v>
      </c>
      <c r="C645" s="20" t="s">
        <v>10</v>
      </c>
      <c r="D645" s="25"/>
      <c r="E645" s="25">
        <v>20000000</v>
      </c>
      <c r="F645" s="15">
        <f t="shared" si="10"/>
        <v>102702734.55000006</v>
      </c>
    </row>
    <row r="646" spans="1:6" x14ac:dyDescent="0.2">
      <c r="A646" s="3">
        <v>45595</v>
      </c>
      <c r="B646" s="43">
        <v>31804</v>
      </c>
      <c r="C646" s="20" t="s">
        <v>28</v>
      </c>
      <c r="D646" s="18">
        <v>50000</v>
      </c>
      <c r="E646" s="19"/>
      <c r="F646" s="15">
        <f t="shared" si="10"/>
        <v>102652734.55000006</v>
      </c>
    </row>
    <row r="647" spans="1:6" x14ac:dyDescent="0.2">
      <c r="A647" s="3">
        <v>45595</v>
      </c>
      <c r="B647" s="43">
        <v>31803</v>
      </c>
      <c r="C647" s="20" t="s">
        <v>29</v>
      </c>
      <c r="D647" s="18">
        <v>50000</v>
      </c>
      <c r="E647" s="19"/>
      <c r="F647" s="15">
        <f t="shared" si="10"/>
        <v>102602734.55000006</v>
      </c>
    </row>
    <row r="648" spans="1:6" x14ac:dyDescent="0.2">
      <c r="A648" s="3">
        <v>45595</v>
      </c>
      <c r="B648" s="46">
        <v>31805</v>
      </c>
      <c r="C648" s="9" t="s">
        <v>30</v>
      </c>
      <c r="D648" s="48">
        <v>50000</v>
      </c>
      <c r="E648" s="49"/>
      <c r="F648" s="15">
        <f t="shared" si="10"/>
        <v>102552734.55000006</v>
      </c>
    </row>
    <row r="649" spans="1:6" x14ac:dyDescent="0.2">
      <c r="A649" s="3">
        <v>45595</v>
      </c>
      <c r="B649" s="44">
        <v>31802</v>
      </c>
      <c r="C649" s="28" t="s">
        <v>97</v>
      </c>
      <c r="D649" s="31">
        <v>50000</v>
      </c>
      <c r="E649" s="24"/>
      <c r="F649" s="15">
        <f t="shared" si="10"/>
        <v>102502734.55000006</v>
      </c>
    </row>
    <row r="650" spans="1:6" x14ac:dyDescent="0.2">
      <c r="A650" s="3">
        <v>45595</v>
      </c>
      <c r="B650" s="43">
        <v>328758</v>
      </c>
      <c r="C650" s="20" t="s">
        <v>89</v>
      </c>
      <c r="D650" s="25"/>
      <c r="E650" s="25">
        <v>2432839.06</v>
      </c>
      <c r="F650" s="15">
        <f t="shared" si="10"/>
        <v>104935573.61000006</v>
      </c>
    </row>
    <row r="651" spans="1:6" x14ac:dyDescent="0.2">
      <c r="A651" s="3">
        <v>45595</v>
      </c>
      <c r="B651" s="43">
        <v>47257</v>
      </c>
      <c r="C651" s="20" t="s">
        <v>94</v>
      </c>
      <c r="D651" s="19"/>
      <c r="E651" s="18">
        <v>974295.93</v>
      </c>
      <c r="F651" s="15">
        <f t="shared" si="10"/>
        <v>105909869.54000007</v>
      </c>
    </row>
    <row r="652" spans="1:6" x14ac:dyDescent="0.2">
      <c r="A652" s="3">
        <v>45595</v>
      </c>
      <c r="B652" s="43">
        <v>4024448</v>
      </c>
      <c r="C652" s="20" t="s">
        <v>59</v>
      </c>
      <c r="D652" s="18">
        <v>861857.6</v>
      </c>
      <c r="E652" s="19"/>
      <c r="F652" s="15">
        <f t="shared" si="10"/>
        <v>105048011.94000007</v>
      </c>
    </row>
    <row r="653" spans="1:6" x14ac:dyDescent="0.2">
      <c r="A653" s="3">
        <v>45595</v>
      </c>
      <c r="B653" s="43">
        <v>4024449</v>
      </c>
      <c r="C653" s="20" t="s">
        <v>139</v>
      </c>
      <c r="D653" s="18">
        <v>880077.58</v>
      </c>
      <c r="E653" s="19"/>
      <c r="F653" s="15">
        <f t="shared" ref="F653:F690" si="11">+F652+E653-D653</f>
        <v>104167934.36000007</v>
      </c>
    </row>
    <row r="654" spans="1:6" x14ac:dyDescent="0.2">
      <c r="A654" s="3">
        <v>45595</v>
      </c>
      <c r="B654" s="43">
        <v>31585</v>
      </c>
      <c r="C654" s="17" t="s">
        <v>12</v>
      </c>
      <c r="D654" s="18">
        <v>1809963.32</v>
      </c>
      <c r="E654" s="19"/>
      <c r="F654" s="15">
        <f t="shared" si="11"/>
        <v>102357971.04000008</v>
      </c>
    </row>
    <row r="655" spans="1:6" x14ac:dyDescent="0.2">
      <c r="A655" s="3">
        <v>45595</v>
      </c>
      <c r="B655" s="43">
        <v>31623</v>
      </c>
      <c r="C655" s="17" t="s">
        <v>12</v>
      </c>
      <c r="D655" s="18">
        <v>2647959.88</v>
      </c>
      <c r="E655" s="19"/>
      <c r="F655" s="15">
        <f t="shared" si="11"/>
        <v>99710011.160000086</v>
      </c>
    </row>
    <row r="656" spans="1:6" x14ac:dyDescent="0.2">
      <c r="A656" s="3">
        <v>45595</v>
      </c>
      <c r="B656" s="45"/>
      <c r="C656" s="17" t="s">
        <v>34</v>
      </c>
      <c r="D656" s="18">
        <v>2400</v>
      </c>
      <c r="E656" s="19"/>
      <c r="F656" s="15">
        <f t="shared" si="11"/>
        <v>99707611.160000086</v>
      </c>
    </row>
    <row r="657" spans="1:6" x14ac:dyDescent="0.2">
      <c r="A657" s="3">
        <v>45595</v>
      </c>
      <c r="B657" s="45"/>
      <c r="C657" s="17" t="s">
        <v>16</v>
      </c>
      <c r="D657" s="18">
        <v>130898.26</v>
      </c>
      <c r="E657" s="19"/>
      <c r="F657" s="15">
        <f t="shared" si="11"/>
        <v>99576712.90000008</v>
      </c>
    </row>
    <row r="658" spans="1:6" x14ac:dyDescent="0.2">
      <c r="A658" s="3">
        <v>45595</v>
      </c>
      <c r="B658" s="45"/>
      <c r="C658" s="17" t="s">
        <v>22</v>
      </c>
      <c r="D658" s="18">
        <v>20593.71</v>
      </c>
      <c r="E658" s="19"/>
      <c r="F658" s="15">
        <f t="shared" si="11"/>
        <v>99556119.190000087</v>
      </c>
    </row>
    <row r="659" spans="1:6" x14ac:dyDescent="0.2">
      <c r="A659" s="3">
        <v>45595</v>
      </c>
      <c r="B659" s="43">
        <v>12428</v>
      </c>
      <c r="C659" s="20" t="s">
        <v>7</v>
      </c>
      <c r="D659" s="18">
        <v>1485</v>
      </c>
      <c r="E659" s="19"/>
      <c r="F659" s="15">
        <f t="shared" si="11"/>
        <v>99554634.190000087</v>
      </c>
    </row>
    <row r="660" spans="1:6" x14ac:dyDescent="0.2">
      <c r="A660" s="3">
        <v>45595</v>
      </c>
      <c r="B660" s="43">
        <v>12428</v>
      </c>
      <c r="C660" s="17" t="s">
        <v>8</v>
      </c>
      <c r="D660" s="18">
        <v>311.85000000000002</v>
      </c>
      <c r="E660" s="19"/>
      <c r="F660" s="15">
        <f t="shared" si="11"/>
        <v>99554322.340000093</v>
      </c>
    </row>
    <row r="661" spans="1:6" x14ac:dyDescent="0.2">
      <c r="A661" s="3">
        <v>45595</v>
      </c>
      <c r="B661" s="43">
        <v>12429</v>
      </c>
      <c r="C661" s="20" t="s">
        <v>7</v>
      </c>
      <c r="D661" s="18">
        <v>1485</v>
      </c>
      <c r="E661" s="19"/>
      <c r="F661" s="15">
        <f t="shared" si="11"/>
        <v>99552837.340000093</v>
      </c>
    </row>
    <row r="662" spans="1:6" x14ac:dyDescent="0.2">
      <c r="A662" s="3">
        <v>45595</v>
      </c>
      <c r="B662" s="43">
        <v>12429</v>
      </c>
      <c r="C662" s="17" t="s">
        <v>8</v>
      </c>
      <c r="D662" s="18">
        <v>311.85000000000002</v>
      </c>
      <c r="E662" s="19"/>
      <c r="F662" s="15">
        <f t="shared" si="11"/>
        <v>99552525.490000099</v>
      </c>
    </row>
    <row r="663" spans="1:6" x14ac:dyDescent="0.2">
      <c r="A663" s="3">
        <v>45595</v>
      </c>
      <c r="B663" s="45"/>
      <c r="C663" s="20" t="s">
        <v>140</v>
      </c>
      <c r="D663" s="18">
        <v>6864.57</v>
      </c>
      <c r="E663" s="19"/>
      <c r="F663" s="15">
        <f t="shared" si="11"/>
        <v>99545660.920000106</v>
      </c>
    </row>
    <row r="664" spans="1:6" x14ac:dyDescent="0.2">
      <c r="A664" s="3">
        <v>45596</v>
      </c>
      <c r="B664" s="43">
        <v>5000006</v>
      </c>
      <c r="C664" s="17" t="s">
        <v>24</v>
      </c>
      <c r="D664" s="19"/>
      <c r="E664" s="18">
        <v>260491.13</v>
      </c>
      <c r="F664" s="15">
        <f t="shared" si="11"/>
        <v>99806152.050000101</v>
      </c>
    </row>
    <row r="665" spans="1:6" x14ac:dyDescent="0.2">
      <c r="A665" s="3">
        <v>45596</v>
      </c>
      <c r="B665" s="43">
        <v>31726</v>
      </c>
      <c r="C665" s="17" t="s">
        <v>9</v>
      </c>
      <c r="D665" s="18">
        <v>56000.01</v>
      </c>
      <c r="E665" s="19"/>
      <c r="F665" s="15">
        <f t="shared" si="11"/>
        <v>99750152.040000096</v>
      </c>
    </row>
    <row r="666" spans="1:6" x14ac:dyDescent="0.2">
      <c r="A666" s="3">
        <v>45596</v>
      </c>
      <c r="B666" s="43">
        <v>31732</v>
      </c>
      <c r="C666" s="17" t="s">
        <v>9</v>
      </c>
      <c r="D666" s="18">
        <v>114270</v>
      </c>
      <c r="E666" s="19"/>
      <c r="F666" s="15">
        <f t="shared" si="11"/>
        <v>99635882.040000096</v>
      </c>
    </row>
    <row r="667" spans="1:6" x14ac:dyDescent="0.2">
      <c r="A667" s="3">
        <v>45596</v>
      </c>
      <c r="B667" s="43">
        <v>31626</v>
      </c>
      <c r="C667" s="17" t="s">
        <v>9</v>
      </c>
      <c r="D667" s="18">
        <v>211992</v>
      </c>
      <c r="E667" s="19"/>
      <c r="F667" s="15">
        <f t="shared" si="11"/>
        <v>99423890.040000096</v>
      </c>
    </row>
    <row r="668" spans="1:6" x14ac:dyDescent="0.2">
      <c r="A668" s="3">
        <v>45596</v>
      </c>
      <c r="B668" s="43">
        <v>31739</v>
      </c>
      <c r="C668" s="17" t="s">
        <v>9</v>
      </c>
      <c r="D668" s="18">
        <v>214665.18</v>
      </c>
      <c r="E668" s="19"/>
      <c r="F668" s="15">
        <f t="shared" si="11"/>
        <v>99209224.860000089</v>
      </c>
    </row>
    <row r="669" spans="1:6" x14ac:dyDescent="0.2">
      <c r="A669" s="3">
        <v>45596</v>
      </c>
      <c r="B669" s="43">
        <v>31741</v>
      </c>
      <c r="C669" s="17" t="s">
        <v>9</v>
      </c>
      <c r="D669" s="18">
        <v>256520</v>
      </c>
      <c r="E669" s="19"/>
      <c r="F669" s="15">
        <f t="shared" si="11"/>
        <v>98952704.860000089</v>
      </c>
    </row>
    <row r="670" spans="1:6" x14ac:dyDescent="0.2">
      <c r="A670" s="3">
        <v>45596</v>
      </c>
      <c r="B670" s="43">
        <v>31745</v>
      </c>
      <c r="C670" s="17" t="s">
        <v>9</v>
      </c>
      <c r="D670" s="18">
        <v>260954.31</v>
      </c>
      <c r="E670" s="19"/>
      <c r="F670" s="15">
        <f t="shared" si="11"/>
        <v>98691750.550000086</v>
      </c>
    </row>
    <row r="671" spans="1:6" x14ac:dyDescent="0.2">
      <c r="A671" s="3">
        <v>45596</v>
      </c>
      <c r="B671" s="43">
        <v>31624</v>
      </c>
      <c r="C671" s="17" t="s">
        <v>9</v>
      </c>
      <c r="D671" s="18">
        <v>367677</v>
      </c>
      <c r="E671" s="19"/>
      <c r="F671" s="15">
        <f t="shared" si="11"/>
        <v>98324073.550000086</v>
      </c>
    </row>
    <row r="672" spans="1:6" x14ac:dyDescent="0.2">
      <c r="A672" s="3">
        <v>45596</v>
      </c>
      <c r="B672" s="43">
        <v>31641</v>
      </c>
      <c r="C672" s="17" t="s">
        <v>9</v>
      </c>
      <c r="D672" s="18">
        <v>399391.12</v>
      </c>
      <c r="E672" s="19"/>
      <c r="F672" s="15">
        <f t="shared" si="11"/>
        <v>97924682.430000082</v>
      </c>
    </row>
    <row r="673" spans="1:6" x14ac:dyDescent="0.2">
      <c r="A673" s="3">
        <v>45596</v>
      </c>
      <c r="B673" s="43">
        <v>31721</v>
      </c>
      <c r="C673" s="17" t="s">
        <v>9</v>
      </c>
      <c r="D673" s="18">
        <v>658361</v>
      </c>
      <c r="E673" s="19"/>
      <c r="F673" s="15">
        <f t="shared" si="11"/>
        <v>97266321.430000082</v>
      </c>
    </row>
    <row r="674" spans="1:6" x14ac:dyDescent="0.2">
      <c r="A674" s="3">
        <v>45596</v>
      </c>
      <c r="B674" s="43">
        <v>31617</v>
      </c>
      <c r="C674" s="17" t="s">
        <v>9</v>
      </c>
      <c r="D674" s="18">
        <v>994018.34</v>
      </c>
      <c r="E674" s="19"/>
      <c r="F674" s="15">
        <f t="shared" si="11"/>
        <v>96272303.090000078</v>
      </c>
    </row>
    <row r="675" spans="1:6" x14ac:dyDescent="0.2">
      <c r="A675" s="3">
        <v>45596</v>
      </c>
      <c r="B675" s="43">
        <v>31636</v>
      </c>
      <c r="C675" s="17" t="s">
        <v>9</v>
      </c>
      <c r="D675" s="18">
        <v>1577276.34</v>
      </c>
      <c r="E675" s="19"/>
      <c r="F675" s="15">
        <f t="shared" si="11"/>
        <v>94695026.750000075</v>
      </c>
    </row>
    <row r="676" spans="1:6" x14ac:dyDescent="0.2">
      <c r="A676" s="3">
        <v>45596</v>
      </c>
      <c r="B676" s="46">
        <v>31711</v>
      </c>
      <c r="C676" s="47" t="s">
        <v>9</v>
      </c>
      <c r="D676" s="48">
        <v>2383156.0499999998</v>
      </c>
      <c r="E676" s="49"/>
      <c r="F676" s="15">
        <f t="shared" si="11"/>
        <v>92311870.700000077</v>
      </c>
    </row>
    <row r="677" spans="1:6" x14ac:dyDescent="0.2">
      <c r="A677" s="3">
        <v>45596</v>
      </c>
      <c r="B677" s="44">
        <v>31784</v>
      </c>
      <c r="C677" s="22" t="s">
        <v>9</v>
      </c>
      <c r="D677" s="53">
        <v>3723663.4</v>
      </c>
      <c r="E677" s="24"/>
      <c r="F677" s="15">
        <f t="shared" si="11"/>
        <v>88588207.300000072</v>
      </c>
    </row>
    <row r="678" spans="1:6" x14ac:dyDescent="0.2">
      <c r="A678" s="3">
        <v>45596</v>
      </c>
      <c r="B678" s="43">
        <v>31713</v>
      </c>
      <c r="C678" s="17" t="s">
        <v>9</v>
      </c>
      <c r="D678" s="25">
        <v>7414189.5599999996</v>
      </c>
      <c r="E678" s="19"/>
      <c r="F678" s="15">
        <f t="shared" si="11"/>
        <v>81174017.740000069</v>
      </c>
    </row>
    <row r="679" spans="1:6" x14ac:dyDescent="0.2">
      <c r="A679" s="3">
        <v>45596</v>
      </c>
      <c r="B679" s="43">
        <v>31600</v>
      </c>
      <c r="C679" s="17" t="s">
        <v>9</v>
      </c>
      <c r="D679" s="25">
        <v>8019968.4800000004</v>
      </c>
      <c r="E679" s="19"/>
      <c r="F679" s="15">
        <f t="shared" si="11"/>
        <v>73154049.260000065</v>
      </c>
    </row>
    <row r="680" spans="1:6" x14ac:dyDescent="0.2">
      <c r="A680" s="3">
        <v>45596</v>
      </c>
      <c r="B680" s="45"/>
      <c r="C680" s="20" t="s">
        <v>35</v>
      </c>
      <c r="D680" s="25">
        <v>4000</v>
      </c>
      <c r="E680" s="19"/>
      <c r="F680" s="15">
        <f t="shared" si="11"/>
        <v>73150049.260000065</v>
      </c>
    </row>
    <row r="681" spans="1:6" x14ac:dyDescent="0.2">
      <c r="A681" s="3">
        <v>45596</v>
      </c>
      <c r="B681" s="45"/>
      <c r="C681" s="17" t="s">
        <v>36</v>
      </c>
      <c r="D681" s="25">
        <v>60</v>
      </c>
      <c r="E681" s="19"/>
      <c r="F681" s="15">
        <f t="shared" si="11"/>
        <v>73149989.260000065</v>
      </c>
    </row>
    <row r="682" spans="1:6" x14ac:dyDescent="0.2">
      <c r="A682" s="3">
        <v>45596</v>
      </c>
      <c r="B682" s="45"/>
      <c r="C682" s="17" t="s">
        <v>8</v>
      </c>
      <c r="D682" s="25">
        <v>840</v>
      </c>
      <c r="E682" s="19"/>
      <c r="F682" s="15">
        <f t="shared" si="11"/>
        <v>73149149.260000065</v>
      </c>
    </row>
    <row r="683" spans="1:6" x14ac:dyDescent="0.2">
      <c r="A683" s="3">
        <v>45596</v>
      </c>
      <c r="B683" s="45"/>
      <c r="C683" s="17" t="s">
        <v>37</v>
      </c>
      <c r="D683" s="25">
        <v>120</v>
      </c>
      <c r="E683" s="19"/>
      <c r="F683" s="15">
        <f t="shared" si="11"/>
        <v>73149029.260000065</v>
      </c>
    </row>
    <row r="684" spans="1:6" x14ac:dyDescent="0.2">
      <c r="A684" s="3">
        <v>45596</v>
      </c>
      <c r="B684" s="43">
        <v>6212187</v>
      </c>
      <c r="C684" s="20" t="s">
        <v>141</v>
      </c>
      <c r="D684" s="25">
        <v>11275346</v>
      </c>
      <c r="E684" s="19"/>
      <c r="F684" s="15">
        <f t="shared" si="11"/>
        <v>61873683.260000065</v>
      </c>
    </row>
    <row r="685" spans="1:6" x14ac:dyDescent="0.2">
      <c r="A685" s="3">
        <v>45596</v>
      </c>
      <c r="B685" s="43">
        <v>632005</v>
      </c>
      <c r="C685" s="20" t="s">
        <v>72</v>
      </c>
      <c r="D685" s="19"/>
      <c r="E685" s="18">
        <v>11972.94</v>
      </c>
      <c r="F685" s="15">
        <f t="shared" si="11"/>
        <v>61885656.200000063</v>
      </c>
    </row>
    <row r="686" spans="1:6" x14ac:dyDescent="0.2">
      <c r="A686" s="3">
        <v>45596</v>
      </c>
      <c r="B686" s="43">
        <v>31712</v>
      </c>
      <c r="C686" s="17" t="s">
        <v>12</v>
      </c>
      <c r="D686" s="25">
        <v>334000</v>
      </c>
      <c r="E686" s="19"/>
      <c r="F686" s="15">
        <f t="shared" si="11"/>
        <v>61551656.200000063</v>
      </c>
    </row>
    <row r="687" spans="1:6" x14ac:dyDescent="0.2">
      <c r="A687" s="3">
        <v>45596</v>
      </c>
      <c r="B687" s="45"/>
      <c r="C687" s="17" t="s">
        <v>15</v>
      </c>
      <c r="D687" s="25">
        <v>483.21</v>
      </c>
      <c r="E687" s="19"/>
      <c r="F687" s="15">
        <f t="shared" si="11"/>
        <v>61551172.990000062</v>
      </c>
    </row>
    <row r="688" spans="1:6" x14ac:dyDescent="0.2">
      <c r="A688" s="3">
        <v>45596</v>
      </c>
      <c r="B688" s="45"/>
      <c r="C688" s="17" t="s">
        <v>95</v>
      </c>
      <c r="D688" s="25">
        <v>2301</v>
      </c>
      <c r="E688" s="19"/>
      <c r="F688" s="15">
        <f t="shared" si="11"/>
        <v>61548871.990000062</v>
      </c>
    </row>
    <row r="689" spans="1:6" x14ac:dyDescent="0.2">
      <c r="A689" s="3">
        <v>45596</v>
      </c>
      <c r="B689" s="45"/>
      <c r="C689" s="17" t="s">
        <v>22</v>
      </c>
      <c r="D689" s="25">
        <v>1634.79</v>
      </c>
      <c r="E689" s="19"/>
      <c r="F689" s="15">
        <f t="shared" si="11"/>
        <v>61547237.200000063</v>
      </c>
    </row>
    <row r="690" spans="1:6" x14ac:dyDescent="0.2">
      <c r="A690" s="3">
        <v>45596</v>
      </c>
      <c r="B690" s="54"/>
      <c r="C690" s="33" t="s">
        <v>16</v>
      </c>
      <c r="D690" s="34">
        <v>229678.29</v>
      </c>
      <c r="E690" s="35"/>
      <c r="F690" s="15">
        <f t="shared" si="11"/>
        <v>61317558.910000063</v>
      </c>
    </row>
    <row r="692" spans="1:6" x14ac:dyDescent="0.2">
      <c r="A692" s="1" t="s">
        <v>0</v>
      </c>
      <c r="B692" s="1" t="s">
        <v>1</v>
      </c>
      <c r="C692" s="1" t="s">
        <v>2</v>
      </c>
      <c r="D692" s="1" t="s">
        <v>3</v>
      </c>
      <c r="E692" s="1" t="s">
        <v>4</v>
      </c>
      <c r="F692" s="1" t="s">
        <v>5</v>
      </c>
    </row>
    <row r="693" spans="1:6" x14ac:dyDescent="0.2">
      <c r="A693" s="3">
        <v>45597</v>
      </c>
      <c r="B693" s="41"/>
      <c r="C693" s="55" t="s">
        <v>6</v>
      </c>
      <c r="D693" s="6"/>
      <c r="E693" s="7"/>
      <c r="F693" s="8">
        <v>61317558.909999996</v>
      </c>
    </row>
    <row r="694" spans="1:6" x14ac:dyDescent="0.2">
      <c r="A694" s="3">
        <v>45596</v>
      </c>
      <c r="B694" s="42"/>
      <c r="C694" s="12" t="s">
        <v>142</v>
      </c>
      <c r="D694" s="13">
        <v>544.92999999999995</v>
      </c>
      <c r="E694" s="14"/>
      <c r="F694" s="15">
        <f t="shared" ref="F694:F757" si="12">+F693+E694-D694</f>
        <v>61317013.979999997</v>
      </c>
    </row>
    <row r="695" spans="1:6" x14ac:dyDescent="0.2">
      <c r="A695" s="3">
        <v>45597</v>
      </c>
      <c r="B695" s="43">
        <v>31685</v>
      </c>
      <c r="C695" s="17" t="s">
        <v>9</v>
      </c>
      <c r="D695" s="18">
        <v>225517.38</v>
      </c>
      <c r="E695" s="19"/>
      <c r="F695" s="15">
        <f t="shared" si="12"/>
        <v>61091496.599999994</v>
      </c>
    </row>
    <row r="696" spans="1:6" x14ac:dyDescent="0.2">
      <c r="A696" s="3">
        <v>45597</v>
      </c>
      <c r="B696" s="45"/>
      <c r="C696" s="17" t="s">
        <v>143</v>
      </c>
      <c r="D696" s="18">
        <v>360</v>
      </c>
      <c r="E696" s="19"/>
      <c r="F696" s="15">
        <f t="shared" si="12"/>
        <v>61091136.599999994</v>
      </c>
    </row>
    <row r="697" spans="1:6" x14ac:dyDescent="0.2">
      <c r="A697" s="3">
        <v>45597</v>
      </c>
      <c r="B697" s="45"/>
      <c r="C697" s="17" t="s">
        <v>8</v>
      </c>
      <c r="D697" s="18">
        <v>75.599999999999994</v>
      </c>
      <c r="E697" s="19"/>
      <c r="F697" s="15">
        <f t="shared" si="12"/>
        <v>61091060.999999993</v>
      </c>
    </row>
    <row r="698" spans="1:6" x14ac:dyDescent="0.2">
      <c r="A698" s="3">
        <v>45597</v>
      </c>
      <c r="B698" s="43">
        <v>31512</v>
      </c>
      <c r="C698" s="17" t="s">
        <v>12</v>
      </c>
      <c r="D698" s="18">
        <v>2815597.15</v>
      </c>
      <c r="E698" s="19"/>
      <c r="F698" s="15">
        <f t="shared" si="12"/>
        <v>58275463.849999994</v>
      </c>
    </row>
    <row r="699" spans="1:6" x14ac:dyDescent="0.2">
      <c r="A699" s="3">
        <v>45597</v>
      </c>
      <c r="B699" s="43">
        <v>31563</v>
      </c>
      <c r="C699" s="17" t="s">
        <v>12</v>
      </c>
      <c r="D699" s="18">
        <v>5272856.8</v>
      </c>
      <c r="E699" s="19"/>
      <c r="F699" s="15">
        <f t="shared" si="12"/>
        <v>53002607.049999997</v>
      </c>
    </row>
    <row r="700" spans="1:6" x14ac:dyDescent="0.2">
      <c r="A700" s="3">
        <v>45597</v>
      </c>
      <c r="B700" s="43">
        <v>31630</v>
      </c>
      <c r="C700" s="17" t="s">
        <v>12</v>
      </c>
      <c r="D700" s="18">
        <v>7273650</v>
      </c>
      <c r="E700" s="19"/>
      <c r="F700" s="15">
        <f t="shared" si="12"/>
        <v>45728957.049999997</v>
      </c>
    </row>
    <row r="701" spans="1:6" x14ac:dyDescent="0.2">
      <c r="A701" s="3">
        <v>45597</v>
      </c>
      <c r="B701" s="43">
        <v>31544</v>
      </c>
      <c r="C701" s="17" t="s">
        <v>12</v>
      </c>
      <c r="D701" s="18">
        <v>7463415.3499999996</v>
      </c>
      <c r="E701" s="19"/>
      <c r="F701" s="15">
        <f t="shared" si="12"/>
        <v>38265541.699999996</v>
      </c>
    </row>
    <row r="702" spans="1:6" x14ac:dyDescent="0.2">
      <c r="A702" s="3">
        <v>45597</v>
      </c>
      <c r="B702" s="43">
        <v>31491</v>
      </c>
      <c r="C702" s="17" t="s">
        <v>12</v>
      </c>
      <c r="D702" s="18">
        <v>8426553.0299999993</v>
      </c>
      <c r="E702" s="19"/>
      <c r="F702" s="15">
        <f t="shared" si="12"/>
        <v>29838988.669999994</v>
      </c>
    </row>
    <row r="703" spans="1:6" x14ac:dyDescent="0.2">
      <c r="A703" s="3">
        <v>45597</v>
      </c>
      <c r="B703" s="45"/>
      <c r="C703" s="17" t="s">
        <v>16</v>
      </c>
      <c r="D703" s="18">
        <v>188871.41</v>
      </c>
      <c r="E703" s="19"/>
      <c r="F703" s="15">
        <f t="shared" si="12"/>
        <v>29650117.259999994</v>
      </c>
    </row>
    <row r="704" spans="1:6" x14ac:dyDescent="0.2">
      <c r="A704" s="3">
        <v>45600</v>
      </c>
      <c r="B704" s="43">
        <v>31680</v>
      </c>
      <c r="C704" s="17" t="s">
        <v>9</v>
      </c>
      <c r="D704" s="18">
        <v>201007.84</v>
      </c>
      <c r="E704" s="19"/>
      <c r="F704" s="15">
        <f t="shared" si="12"/>
        <v>29449109.419999994</v>
      </c>
    </row>
    <row r="705" spans="1:6" x14ac:dyDescent="0.2">
      <c r="A705" s="3">
        <v>45600</v>
      </c>
      <c r="B705" s="43">
        <v>31738</v>
      </c>
      <c r="C705" s="17" t="s">
        <v>9</v>
      </c>
      <c r="D705" s="18">
        <v>337680</v>
      </c>
      <c r="E705" s="19"/>
      <c r="F705" s="15">
        <f t="shared" si="12"/>
        <v>29111429.419999994</v>
      </c>
    </row>
    <row r="706" spans="1:6" x14ac:dyDescent="0.2">
      <c r="A706" s="3">
        <v>45600</v>
      </c>
      <c r="B706" s="43">
        <v>31792</v>
      </c>
      <c r="C706" s="17" t="s">
        <v>9</v>
      </c>
      <c r="D706" s="18">
        <v>5537166.0199999996</v>
      </c>
      <c r="E706" s="19"/>
      <c r="F706" s="15">
        <f t="shared" si="12"/>
        <v>23574263.399999995</v>
      </c>
    </row>
    <row r="707" spans="1:6" x14ac:dyDescent="0.2">
      <c r="A707" s="3">
        <v>45600</v>
      </c>
      <c r="B707" s="43">
        <v>725887</v>
      </c>
      <c r="C707" s="20" t="s">
        <v>10</v>
      </c>
      <c r="D707" s="25"/>
      <c r="E707" s="25">
        <v>20000000</v>
      </c>
      <c r="F707" s="15">
        <f t="shared" si="12"/>
        <v>43574263.399999991</v>
      </c>
    </row>
    <row r="708" spans="1:6" x14ac:dyDescent="0.2">
      <c r="A708" s="3">
        <v>45600</v>
      </c>
      <c r="B708" s="43">
        <v>725914</v>
      </c>
      <c r="C708" s="20" t="s">
        <v>10</v>
      </c>
      <c r="D708" s="25"/>
      <c r="E708" s="25">
        <v>20000000</v>
      </c>
      <c r="F708" s="15">
        <f t="shared" si="12"/>
        <v>63574263.399999991</v>
      </c>
    </row>
    <row r="709" spans="1:6" x14ac:dyDescent="0.2">
      <c r="A709" s="3">
        <v>45600</v>
      </c>
      <c r="B709" s="43">
        <v>665950</v>
      </c>
      <c r="C709" s="20" t="s">
        <v>10</v>
      </c>
      <c r="D709" s="25"/>
      <c r="E709" s="25">
        <v>20000000</v>
      </c>
      <c r="F709" s="15">
        <f t="shared" si="12"/>
        <v>83574263.399999991</v>
      </c>
    </row>
    <row r="710" spans="1:6" x14ac:dyDescent="0.2">
      <c r="A710" s="3">
        <v>45600</v>
      </c>
      <c r="B710" s="43">
        <v>725962</v>
      </c>
      <c r="C710" s="20" t="s">
        <v>10</v>
      </c>
      <c r="D710" s="25"/>
      <c r="E710" s="25">
        <v>20000000</v>
      </c>
      <c r="F710" s="15">
        <f t="shared" si="12"/>
        <v>103574263.39999999</v>
      </c>
    </row>
    <row r="711" spans="1:6" x14ac:dyDescent="0.2">
      <c r="A711" s="3">
        <v>45600</v>
      </c>
      <c r="B711" s="43">
        <v>725971</v>
      </c>
      <c r="C711" s="20" t="s">
        <v>10</v>
      </c>
      <c r="D711" s="25"/>
      <c r="E711" s="25">
        <v>3000000</v>
      </c>
      <c r="F711" s="15">
        <f t="shared" si="12"/>
        <v>106574263.39999999</v>
      </c>
    </row>
    <row r="712" spans="1:6" x14ac:dyDescent="0.2">
      <c r="A712" s="3">
        <v>45600</v>
      </c>
      <c r="B712" s="46">
        <v>4035217</v>
      </c>
      <c r="C712" s="56" t="s">
        <v>20</v>
      </c>
      <c r="D712" s="48">
        <v>1863000</v>
      </c>
      <c r="E712" s="49"/>
      <c r="F712" s="15">
        <f t="shared" si="12"/>
        <v>104711263.39999999</v>
      </c>
    </row>
    <row r="713" spans="1:6" x14ac:dyDescent="0.2">
      <c r="A713" s="3">
        <v>45600</v>
      </c>
      <c r="B713" s="44">
        <v>41088</v>
      </c>
      <c r="C713" s="57" t="s">
        <v>11</v>
      </c>
      <c r="D713" s="23">
        <v>6124481</v>
      </c>
      <c r="E713" s="24"/>
      <c r="F713" s="15">
        <f t="shared" si="12"/>
        <v>98586782.399999991</v>
      </c>
    </row>
    <row r="714" spans="1:6" x14ac:dyDescent="0.2">
      <c r="A714" s="3">
        <v>45600</v>
      </c>
      <c r="B714" s="45"/>
      <c r="C714" s="17" t="s">
        <v>13</v>
      </c>
      <c r="D714" s="18">
        <v>71510151</v>
      </c>
      <c r="E714" s="19"/>
      <c r="F714" s="15">
        <f t="shared" si="12"/>
        <v>27076631.399999991</v>
      </c>
    </row>
    <row r="715" spans="1:6" x14ac:dyDescent="0.2">
      <c r="A715" s="3">
        <v>45600</v>
      </c>
      <c r="B715" s="45"/>
      <c r="C715" s="17" t="s">
        <v>14</v>
      </c>
      <c r="D715" s="18">
        <v>2143.58</v>
      </c>
      <c r="E715" s="19"/>
      <c r="F715" s="15">
        <f t="shared" si="12"/>
        <v>27074487.819999993</v>
      </c>
    </row>
    <row r="716" spans="1:6" x14ac:dyDescent="0.2">
      <c r="A716" s="3">
        <v>45600</v>
      </c>
      <c r="B716" s="45"/>
      <c r="C716" s="17" t="s">
        <v>15</v>
      </c>
      <c r="D716" s="18">
        <v>450.14</v>
      </c>
      <c r="E716" s="19"/>
      <c r="F716" s="15">
        <f t="shared" si="12"/>
        <v>27074037.679999992</v>
      </c>
    </row>
    <row r="717" spans="1:6" x14ac:dyDescent="0.2">
      <c r="A717" s="3">
        <v>45600</v>
      </c>
      <c r="B717" s="45"/>
      <c r="C717" s="17" t="s">
        <v>16</v>
      </c>
      <c r="D717" s="18">
        <v>513456.49</v>
      </c>
      <c r="E717" s="19"/>
      <c r="F717" s="15">
        <f t="shared" si="12"/>
        <v>26560581.189999994</v>
      </c>
    </row>
    <row r="718" spans="1:6" x14ac:dyDescent="0.2">
      <c r="A718" s="3">
        <v>45601</v>
      </c>
      <c r="B718" s="43">
        <v>41354424</v>
      </c>
      <c r="C718" s="17" t="s">
        <v>144</v>
      </c>
      <c r="D718" s="18">
        <v>44861.96</v>
      </c>
      <c r="E718" s="19"/>
      <c r="F718" s="15">
        <f t="shared" si="12"/>
        <v>26515719.229999993</v>
      </c>
    </row>
    <row r="719" spans="1:6" x14ac:dyDescent="0.2">
      <c r="A719" s="3">
        <v>45601</v>
      </c>
      <c r="B719" s="43">
        <v>69148</v>
      </c>
      <c r="C719" s="20" t="s">
        <v>145</v>
      </c>
      <c r="D719" s="19"/>
      <c r="E719" s="18">
        <v>4000</v>
      </c>
      <c r="F719" s="15">
        <f t="shared" si="12"/>
        <v>26519719.229999993</v>
      </c>
    </row>
    <row r="720" spans="1:6" x14ac:dyDescent="0.2">
      <c r="A720" s="3">
        <v>45601</v>
      </c>
      <c r="B720" s="43">
        <v>4194064</v>
      </c>
      <c r="C720" s="20" t="s">
        <v>146</v>
      </c>
      <c r="D720" s="18">
        <v>3544817.76</v>
      </c>
      <c r="E720" s="19"/>
      <c r="F720" s="15">
        <f t="shared" si="12"/>
        <v>22974901.469999991</v>
      </c>
    </row>
    <row r="721" spans="1:6" x14ac:dyDescent="0.2">
      <c r="A721" s="3">
        <v>45601</v>
      </c>
      <c r="B721" s="43">
        <v>4194065</v>
      </c>
      <c r="C721" s="20" t="s">
        <v>147</v>
      </c>
      <c r="D721" s="18">
        <v>522000</v>
      </c>
      <c r="E721" s="19"/>
      <c r="F721" s="15">
        <f t="shared" si="12"/>
        <v>22452901.469999991</v>
      </c>
    </row>
    <row r="722" spans="1:6" x14ac:dyDescent="0.2">
      <c r="A722" s="3">
        <v>45601</v>
      </c>
      <c r="B722" s="45"/>
      <c r="C722" s="17" t="s">
        <v>22</v>
      </c>
      <c r="D722" s="18">
        <v>24</v>
      </c>
      <c r="E722" s="19"/>
      <c r="F722" s="15">
        <f t="shared" si="12"/>
        <v>22452877.469999991</v>
      </c>
    </row>
    <row r="723" spans="1:6" x14ac:dyDescent="0.2">
      <c r="A723" s="3">
        <v>45601</v>
      </c>
      <c r="B723" s="45"/>
      <c r="C723" s="17" t="s">
        <v>16</v>
      </c>
      <c r="D723" s="18">
        <v>24670.080000000002</v>
      </c>
      <c r="E723" s="19"/>
      <c r="F723" s="15">
        <f t="shared" si="12"/>
        <v>22428207.389999993</v>
      </c>
    </row>
    <row r="724" spans="1:6" x14ac:dyDescent="0.2">
      <c r="A724" s="3">
        <v>45603</v>
      </c>
      <c r="B724" s="43">
        <v>31794</v>
      </c>
      <c r="C724" s="17" t="s">
        <v>9</v>
      </c>
      <c r="D724" s="18">
        <v>99716.06</v>
      </c>
      <c r="E724" s="19"/>
      <c r="F724" s="15">
        <f t="shared" si="12"/>
        <v>22328491.329999994</v>
      </c>
    </row>
    <row r="725" spans="1:6" x14ac:dyDescent="0.2">
      <c r="A725" s="3">
        <v>45603</v>
      </c>
      <c r="B725" s="43">
        <v>31679</v>
      </c>
      <c r="C725" s="17" t="s">
        <v>9</v>
      </c>
      <c r="D725" s="18">
        <v>480321.49</v>
      </c>
      <c r="E725" s="19"/>
      <c r="F725" s="15">
        <f t="shared" si="12"/>
        <v>21848169.839999996</v>
      </c>
    </row>
    <row r="726" spans="1:6" x14ac:dyDescent="0.2">
      <c r="A726" s="3">
        <v>45603</v>
      </c>
      <c r="B726" s="43">
        <v>31744</v>
      </c>
      <c r="C726" s="17" t="s">
        <v>9</v>
      </c>
      <c r="D726" s="18">
        <v>962749.17</v>
      </c>
      <c r="E726" s="19"/>
      <c r="F726" s="15">
        <f t="shared" si="12"/>
        <v>20885420.669999994</v>
      </c>
    </row>
    <row r="727" spans="1:6" x14ac:dyDescent="0.2">
      <c r="A727" s="3">
        <v>45603</v>
      </c>
      <c r="B727" s="43">
        <v>31765</v>
      </c>
      <c r="C727" s="17" t="s">
        <v>9</v>
      </c>
      <c r="D727" s="18">
        <v>2411213</v>
      </c>
      <c r="E727" s="19"/>
      <c r="F727" s="15">
        <f t="shared" si="12"/>
        <v>18474207.669999994</v>
      </c>
    </row>
    <row r="728" spans="1:6" x14ac:dyDescent="0.2">
      <c r="A728" s="3">
        <v>45603</v>
      </c>
      <c r="B728" s="43">
        <v>38724253</v>
      </c>
      <c r="C728" s="20" t="s">
        <v>148</v>
      </c>
      <c r="D728" s="19"/>
      <c r="E728" s="18">
        <v>16950</v>
      </c>
      <c r="F728" s="15">
        <f t="shared" si="12"/>
        <v>18491157.669999994</v>
      </c>
    </row>
    <row r="729" spans="1:6" x14ac:dyDescent="0.2">
      <c r="A729" s="3">
        <v>45603</v>
      </c>
      <c r="B729" s="43">
        <v>7072260</v>
      </c>
      <c r="C729" s="20" t="s">
        <v>149</v>
      </c>
      <c r="D729" s="19"/>
      <c r="E729" s="18">
        <v>11432.86</v>
      </c>
      <c r="F729" s="15">
        <f t="shared" si="12"/>
        <v>18502590.529999994</v>
      </c>
    </row>
    <row r="730" spans="1:6" x14ac:dyDescent="0.2">
      <c r="A730" s="3">
        <v>45603</v>
      </c>
      <c r="B730" s="43">
        <v>16551</v>
      </c>
      <c r="C730" s="20" t="s">
        <v>21</v>
      </c>
      <c r="D730" s="19"/>
      <c r="E730" s="18">
        <v>107067.54</v>
      </c>
      <c r="F730" s="15">
        <f t="shared" si="12"/>
        <v>18609658.069999993</v>
      </c>
    </row>
    <row r="731" spans="1:6" x14ac:dyDescent="0.2">
      <c r="A731" s="3">
        <v>45603</v>
      </c>
      <c r="B731" s="43">
        <v>20000007</v>
      </c>
      <c r="C731" s="17" t="s">
        <v>150</v>
      </c>
      <c r="D731" s="19"/>
      <c r="E731" s="18">
        <v>73029</v>
      </c>
      <c r="F731" s="15">
        <f t="shared" si="12"/>
        <v>18682687.069999993</v>
      </c>
    </row>
    <row r="732" spans="1:6" x14ac:dyDescent="0.2">
      <c r="A732" s="3">
        <v>45603</v>
      </c>
      <c r="B732" s="43">
        <v>31759</v>
      </c>
      <c r="C732" s="17" t="s">
        <v>12</v>
      </c>
      <c r="D732" s="18">
        <v>49370</v>
      </c>
      <c r="E732" s="19"/>
      <c r="F732" s="15">
        <f t="shared" si="12"/>
        <v>18633317.069999993</v>
      </c>
    </row>
    <row r="733" spans="1:6" x14ac:dyDescent="0.2">
      <c r="A733" s="3">
        <v>45603</v>
      </c>
      <c r="B733" s="43">
        <v>31724</v>
      </c>
      <c r="C733" s="17" t="s">
        <v>12</v>
      </c>
      <c r="D733" s="18">
        <v>272291.84000000003</v>
      </c>
      <c r="E733" s="19"/>
      <c r="F733" s="15">
        <f t="shared" si="12"/>
        <v>18361025.229999993</v>
      </c>
    </row>
    <row r="734" spans="1:6" x14ac:dyDescent="0.2">
      <c r="A734" s="3">
        <v>45603</v>
      </c>
      <c r="B734" s="45"/>
      <c r="C734" s="17" t="s">
        <v>16</v>
      </c>
      <c r="D734" s="18">
        <v>25653.98</v>
      </c>
      <c r="E734" s="19"/>
      <c r="F734" s="15">
        <f t="shared" si="12"/>
        <v>18335371.249999993</v>
      </c>
    </row>
    <row r="735" spans="1:6" x14ac:dyDescent="0.2">
      <c r="A735" s="3">
        <v>45603</v>
      </c>
      <c r="B735" s="45"/>
      <c r="C735" s="17" t="s">
        <v>22</v>
      </c>
      <c r="D735" s="18">
        <v>1250.8800000000001</v>
      </c>
      <c r="E735" s="19"/>
      <c r="F735" s="15">
        <f t="shared" si="12"/>
        <v>18334120.369999994</v>
      </c>
    </row>
    <row r="736" spans="1:6" x14ac:dyDescent="0.2">
      <c r="A736" s="3">
        <v>45604</v>
      </c>
      <c r="B736" s="43">
        <v>20000007</v>
      </c>
      <c r="C736" s="17" t="s">
        <v>24</v>
      </c>
      <c r="D736" s="19"/>
      <c r="E736" s="18">
        <v>27680</v>
      </c>
      <c r="F736" s="15">
        <f t="shared" si="12"/>
        <v>18361800.369999994</v>
      </c>
    </row>
    <row r="737" spans="1:6" x14ac:dyDescent="0.2">
      <c r="A737" s="3">
        <v>45604</v>
      </c>
      <c r="B737" s="43">
        <v>31731</v>
      </c>
      <c r="C737" s="17" t="s">
        <v>9</v>
      </c>
      <c r="D737" s="18">
        <v>295904.09999999998</v>
      </c>
      <c r="E737" s="19"/>
      <c r="F737" s="15">
        <f t="shared" si="12"/>
        <v>18065896.269999992</v>
      </c>
    </row>
    <row r="738" spans="1:6" x14ac:dyDescent="0.2">
      <c r="A738" s="3">
        <v>45604</v>
      </c>
      <c r="B738" s="45"/>
      <c r="C738" s="20" t="s">
        <v>151</v>
      </c>
      <c r="D738" s="18">
        <v>37039.57</v>
      </c>
      <c r="E738" s="19"/>
      <c r="F738" s="15">
        <f t="shared" si="12"/>
        <v>18028856.699999992</v>
      </c>
    </row>
    <row r="739" spans="1:6" x14ac:dyDescent="0.2">
      <c r="A739" s="3">
        <v>45604</v>
      </c>
      <c r="B739" s="45"/>
      <c r="C739" s="17" t="s">
        <v>36</v>
      </c>
      <c r="D739" s="18">
        <v>555.59</v>
      </c>
      <c r="E739" s="19"/>
      <c r="F739" s="15">
        <f t="shared" si="12"/>
        <v>18028301.109999992</v>
      </c>
    </row>
    <row r="740" spans="1:6" x14ac:dyDescent="0.2">
      <c r="A740" s="3">
        <v>45604</v>
      </c>
      <c r="B740" s="45"/>
      <c r="C740" s="17" t="s">
        <v>152</v>
      </c>
      <c r="D740" s="18">
        <v>3889.15</v>
      </c>
      <c r="E740" s="19"/>
      <c r="F740" s="15">
        <f t="shared" si="12"/>
        <v>18024411.959999993</v>
      </c>
    </row>
    <row r="741" spans="1:6" x14ac:dyDescent="0.2">
      <c r="A741" s="3">
        <v>45604</v>
      </c>
      <c r="B741" s="45"/>
      <c r="C741" s="17" t="s">
        <v>153</v>
      </c>
      <c r="D741" s="18">
        <v>555.59</v>
      </c>
      <c r="E741" s="19"/>
      <c r="F741" s="15">
        <f t="shared" si="12"/>
        <v>18023856.369999994</v>
      </c>
    </row>
    <row r="742" spans="1:6" x14ac:dyDescent="0.2">
      <c r="A742" s="3">
        <v>45604</v>
      </c>
      <c r="B742" s="45"/>
      <c r="C742" s="17" t="s">
        <v>154</v>
      </c>
      <c r="D742" s="18">
        <v>467.87</v>
      </c>
      <c r="E742" s="19"/>
      <c r="F742" s="15">
        <f t="shared" si="12"/>
        <v>18023388.499999993</v>
      </c>
    </row>
    <row r="743" spans="1:6" x14ac:dyDescent="0.2">
      <c r="A743" s="3">
        <v>45604</v>
      </c>
      <c r="B743" s="45"/>
      <c r="C743" s="17" t="s">
        <v>16</v>
      </c>
      <c r="D743" s="18">
        <v>2030.46</v>
      </c>
      <c r="E743" s="19"/>
      <c r="F743" s="15">
        <f t="shared" si="12"/>
        <v>18021358.039999992</v>
      </c>
    </row>
    <row r="744" spans="1:6" x14ac:dyDescent="0.2">
      <c r="A744" s="3">
        <v>45604</v>
      </c>
      <c r="B744" s="45"/>
      <c r="C744" s="17" t="s">
        <v>22</v>
      </c>
      <c r="D744" s="18">
        <v>166.08</v>
      </c>
      <c r="E744" s="19"/>
      <c r="F744" s="15">
        <f t="shared" si="12"/>
        <v>18021191.959999993</v>
      </c>
    </row>
    <row r="745" spans="1:6" x14ac:dyDescent="0.2">
      <c r="A745" s="3">
        <v>45607</v>
      </c>
      <c r="B745" s="43">
        <v>31764</v>
      </c>
      <c r="C745" s="17" t="s">
        <v>9</v>
      </c>
      <c r="D745" s="18">
        <v>257162.46</v>
      </c>
      <c r="E745" s="19"/>
      <c r="F745" s="15">
        <f t="shared" si="12"/>
        <v>17764029.499999993</v>
      </c>
    </row>
    <row r="746" spans="1:6" x14ac:dyDescent="0.2">
      <c r="A746" s="3">
        <v>45607</v>
      </c>
      <c r="B746" s="43">
        <v>31549</v>
      </c>
      <c r="C746" s="17" t="s">
        <v>9</v>
      </c>
      <c r="D746" s="18">
        <v>6382094.5999999996</v>
      </c>
      <c r="E746" s="19"/>
      <c r="F746" s="15">
        <f t="shared" si="12"/>
        <v>11381934.899999993</v>
      </c>
    </row>
    <row r="747" spans="1:6" x14ac:dyDescent="0.2">
      <c r="A747" s="3">
        <v>45607</v>
      </c>
      <c r="B747" s="43">
        <v>70022</v>
      </c>
      <c r="C747" s="20" t="s">
        <v>26</v>
      </c>
      <c r="D747" s="18">
        <v>4000000</v>
      </c>
      <c r="E747" s="19"/>
      <c r="F747" s="15">
        <f t="shared" si="12"/>
        <v>7381934.8999999929</v>
      </c>
    </row>
    <row r="748" spans="1:6" x14ac:dyDescent="0.2">
      <c r="A748" s="3">
        <v>45607</v>
      </c>
      <c r="B748" s="43">
        <v>31724</v>
      </c>
      <c r="C748" s="17" t="s">
        <v>12</v>
      </c>
      <c r="D748" s="18">
        <v>272291.84000000003</v>
      </c>
      <c r="E748" s="19"/>
      <c r="F748" s="15">
        <f t="shared" si="12"/>
        <v>7109643.0599999931</v>
      </c>
    </row>
    <row r="749" spans="1:6" x14ac:dyDescent="0.2">
      <c r="A749" s="3">
        <v>45607</v>
      </c>
      <c r="B749" s="45"/>
      <c r="C749" s="17" t="s">
        <v>16</v>
      </c>
      <c r="D749" s="18">
        <v>65469.29</v>
      </c>
      <c r="E749" s="19"/>
      <c r="F749" s="15">
        <f t="shared" si="12"/>
        <v>7044173.769999993</v>
      </c>
    </row>
    <row r="750" spans="1:6" x14ac:dyDescent="0.2">
      <c r="A750" s="3">
        <v>45607</v>
      </c>
      <c r="B750" s="43">
        <v>31724</v>
      </c>
      <c r="C750" s="20" t="s">
        <v>155</v>
      </c>
      <c r="D750" s="19"/>
      <c r="E750" s="18">
        <v>272291.84000000003</v>
      </c>
      <c r="F750" s="15">
        <f t="shared" si="12"/>
        <v>7316465.6099999929</v>
      </c>
    </row>
    <row r="751" spans="1:6" x14ac:dyDescent="0.2">
      <c r="A751" s="3">
        <v>45608</v>
      </c>
      <c r="B751" s="43">
        <v>31743</v>
      </c>
      <c r="C751" s="17" t="s">
        <v>9</v>
      </c>
      <c r="D751" s="18">
        <v>106622.51</v>
      </c>
      <c r="E751" s="19"/>
      <c r="F751" s="15">
        <f t="shared" si="12"/>
        <v>7209843.0999999931</v>
      </c>
    </row>
    <row r="752" spans="1:6" x14ac:dyDescent="0.2">
      <c r="A752" s="3">
        <v>45608</v>
      </c>
      <c r="B752" s="45"/>
      <c r="C752" s="17" t="s">
        <v>156</v>
      </c>
      <c r="D752" s="19"/>
      <c r="E752" s="18">
        <v>1633.75</v>
      </c>
      <c r="F752" s="15">
        <f t="shared" si="12"/>
        <v>7211476.8499999931</v>
      </c>
    </row>
    <row r="753" spans="1:6" x14ac:dyDescent="0.2">
      <c r="A753" s="3">
        <v>45608</v>
      </c>
      <c r="B753" s="45"/>
      <c r="C753" s="17" t="s">
        <v>16</v>
      </c>
      <c r="D753" s="18">
        <v>639.74</v>
      </c>
      <c r="E753" s="19"/>
      <c r="F753" s="15">
        <f t="shared" si="12"/>
        <v>7210837.1099999929</v>
      </c>
    </row>
    <row r="754" spans="1:6" x14ac:dyDescent="0.2">
      <c r="A754" s="3">
        <v>45609</v>
      </c>
      <c r="B754" s="46">
        <v>31755</v>
      </c>
      <c r="C754" s="58" t="s">
        <v>9</v>
      </c>
      <c r="D754" s="48">
        <v>135184.89000000001</v>
      </c>
      <c r="E754" s="49"/>
      <c r="F754" s="15">
        <f t="shared" si="12"/>
        <v>7075652.2199999932</v>
      </c>
    </row>
    <row r="755" spans="1:6" x14ac:dyDescent="0.2">
      <c r="A755" s="3">
        <v>45609</v>
      </c>
      <c r="B755" s="44">
        <v>726024</v>
      </c>
      <c r="C755" s="57" t="s">
        <v>26</v>
      </c>
      <c r="D755" s="23">
        <v>2000000</v>
      </c>
      <c r="E755" s="24"/>
      <c r="F755" s="15">
        <f t="shared" si="12"/>
        <v>5075652.2199999932</v>
      </c>
    </row>
    <row r="756" spans="1:6" x14ac:dyDescent="0.2">
      <c r="A756" s="3">
        <v>45609</v>
      </c>
      <c r="B756" s="45"/>
      <c r="C756" s="17" t="s">
        <v>16</v>
      </c>
      <c r="D756" s="18">
        <v>12811.11</v>
      </c>
      <c r="E756" s="19"/>
      <c r="F756" s="15">
        <f t="shared" si="12"/>
        <v>5062841.1099999929</v>
      </c>
    </row>
    <row r="757" spans="1:6" x14ac:dyDescent="0.2">
      <c r="A757" s="3">
        <v>45610</v>
      </c>
      <c r="B757" s="43">
        <v>526410</v>
      </c>
      <c r="C757" s="20" t="s">
        <v>26</v>
      </c>
      <c r="D757" s="18">
        <v>1000000</v>
      </c>
      <c r="E757" s="19"/>
      <c r="F757" s="15">
        <f t="shared" si="12"/>
        <v>4062841.1099999929</v>
      </c>
    </row>
    <row r="758" spans="1:6" x14ac:dyDescent="0.2">
      <c r="A758" s="3">
        <v>45610</v>
      </c>
      <c r="B758" s="43">
        <v>8174024</v>
      </c>
      <c r="C758" s="20" t="s">
        <v>157</v>
      </c>
      <c r="D758" s="19"/>
      <c r="E758" s="18">
        <v>8385</v>
      </c>
      <c r="F758" s="15">
        <f t="shared" ref="F758:F821" si="13">+F757+E758-D758</f>
        <v>4071226.1099999929</v>
      </c>
    </row>
    <row r="759" spans="1:6" x14ac:dyDescent="0.2">
      <c r="A759" s="3">
        <v>45610</v>
      </c>
      <c r="B759" s="43">
        <v>8174529</v>
      </c>
      <c r="C759" s="20" t="s">
        <v>158</v>
      </c>
      <c r="D759" s="19"/>
      <c r="E759" s="18">
        <v>27030.5</v>
      </c>
      <c r="F759" s="15">
        <f t="shared" si="13"/>
        <v>4098256.6099999929</v>
      </c>
    </row>
    <row r="760" spans="1:6" x14ac:dyDescent="0.2">
      <c r="A760" s="3">
        <v>45610</v>
      </c>
      <c r="B760" s="43">
        <v>871459</v>
      </c>
      <c r="C760" s="20" t="s">
        <v>38</v>
      </c>
      <c r="D760" s="19"/>
      <c r="E760" s="18">
        <v>23829</v>
      </c>
      <c r="F760" s="15">
        <f t="shared" si="13"/>
        <v>4122085.6099999929</v>
      </c>
    </row>
    <row r="761" spans="1:6" x14ac:dyDescent="0.2">
      <c r="A761" s="3">
        <v>45610</v>
      </c>
      <c r="B761" s="43">
        <v>8248418</v>
      </c>
      <c r="C761" s="20" t="s">
        <v>159</v>
      </c>
      <c r="D761" s="19"/>
      <c r="E761" s="18">
        <v>275919.8</v>
      </c>
      <c r="F761" s="15">
        <f t="shared" si="13"/>
        <v>4398005.4099999927</v>
      </c>
    </row>
    <row r="762" spans="1:6" x14ac:dyDescent="0.2">
      <c r="A762" s="3">
        <v>45610</v>
      </c>
      <c r="B762" s="43">
        <v>4195863</v>
      </c>
      <c r="C762" s="20" t="s">
        <v>160</v>
      </c>
      <c r="D762" s="18">
        <v>1115855.95</v>
      </c>
      <c r="E762" s="19"/>
      <c r="F762" s="15">
        <f t="shared" si="13"/>
        <v>3282149.4599999925</v>
      </c>
    </row>
    <row r="763" spans="1:6" x14ac:dyDescent="0.2">
      <c r="A763" s="3">
        <v>45610</v>
      </c>
      <c r="B763" s="45"/>
      <c r="C763" s="17" t="s">
        <v>16</v>
      </c>
      <c r="D763" s="18">
        <v>12695.14</v>
      </c>
      <c r="E763" s="19"/>
      <c r="F763" s="15">
        <f t="shared" si="13"/>
        <v>3269454.3199999924</v>
      </c>
    </row>
    <row r="764" spans="1:6" x14ac:dyDescent="0.2">
      <c r="A764" s="3">
        <v>45610</v>
      </c>
      <c r="B764" s="45"/>
      <c r="C764" s="17" t="s">
        <v>22</v>
      </c>
      <c r="D764" s="18">
        <v>2010.98</v>
      </c>
      <c r="E764" s="19"/>
      <c r="F764" s="15">
        <f t="shared" si="13"/>
        <v>3267443.3399999924</v>
      </c>
    </row>
    <row r="765" spans="1:6" x14ac:dyDescent="0.2">
      <c r="A765" s="3">
        <v>45610</v>
      </c>
      <c r="B765" s="43">
        <v>13797</v>
      </c>
      <c r="C765" s="20" t="s">
        <v>7</v>
      </c>
      <c r="D765" s="18">
        <v>1485</v>
      </c>
      <c r="E765" s="19"/>
      <c r="F765" s="15">
        <f t="shared" si="13"/>
        <v>3265958.3399999924</v>
      </c>
    </row>
    <row r="766" spans="1:6" x14ac:dyDescent="0.2">
      <c r="A766" s="3">
        <v>45610</v>
      </c>
      <c r="B766" s="43">
        <v>13797</v>
      </c>
      <c r="C766" s="17" t="s">
        <v>8</v>
      </c>
      <c r="D766" s="18">
        <v>311.85000000000002</v>
      </c>
      <c r="E766" s="19"/>
      <c r="F766" s="15">
        <f t="shared" si="13"/>
        <v>3265646.4899999923</v>
      </c>
    </row>
    <row r="767" spans="1:6" x14ac:dyDescent="0.2">
      <c r="A767" s="3">
        <v>45611</v>
      </c>
      <c r="B767" s="43">
        <v>817119</v>
      </c>
      <c r="C767" s="20" t="s">
        <v>161</v>
      </c>
      <c r="D767" s="19"/>
      <c r="E767" s="18">
        <v>139910.28</v>
      </c>
      <c r="F767" s="15">
        <f t="shared" si="13"/>
        <v>3405556.7699999921</v>
      </c>
    </row>
    <row r="768" spans="1:6" x14ac:dyDescent="0.2">
      <c r="A768" s="3">
        <v>45611</v>
      </c>
      <c r="B768" s="43">
        <v>31812</v>
      </c>
      <c r="C768" s="20" t="s">
        <v>30</v>
      </c>
      <c r="D768" s="18">
        <v>50000</v>
      </c>
      <c r="E768" s="19"/>
      <c r="F768" s="15">
        <f t="shared" si="13"/>
        <v>3355556.7699999921</v>
      </c>
    </row>
    <row r="769" spans="1:6" x14ac:dyDescent="0.2">
      <c r="A769" s="3">
        <v>45611</v>
      </c>
      <c r="B769" s="43">
        <v>31810</v>
      </c>
      <c r="C769" s="20" t="s">
        <v>97</v>
      </c>
      <c r="D769" s="18">
        <v>50000</v>
      </c>
      <c r="E769" s="19"/>
      <c r="F769" s="15">
        <f t="shared" si="13"/>
        <v>3305556.7699999921</v>
      </c>
    </row>
    <row r="770" spans="1:6" x14ac:dyDescent="0.2">
      <c r="A770" s="3">
        <v>45611</v>
      </c>
      <c r="B770" s="43">
        <v>31806</v>
      </c>
      <c r="C770" s="20" t="s">
        <v>98</v>
      </c>
      <c r="D770" s="18">
        <v>50000</v>
      </c>
      <c r="E770" s="19"/>
      <c r="F770" s="15">
        <f t="shared" si="13"/>
        <v>3255556.7699999921</v>
      </c>
    </row>
    <row r="771" spans="1:6" x14ac:dyDescent="0.2">
      <c r="A771" s="3">
        <v>45611</v>
      </c>
      <c r="B771" s="43">
        <v>31813</v>
      </c>
      <c r="C771" s="20" t="s">
        <v>98</v>
      </c>
      <c r="D771" s="18">
        <v>50000</v>
      </c>
      <c r="E771" s="19"/>
      <c r="F771" s="15">
        <f t="shared" si="13"/>
        <v>3205556.7699999921</v>
      </c>
    </row>
    <row r="772" spans="1:6" x14ac:dyDescent="0.2">
      <c r="A772" s="3">
        <v>45611</v>
      </c>
      <c r="B772" s="43">
        <v>31811</v>
      </c>
      <c r="C772" s="20" t="s">
        <v>29</v>
      </c>
      <c r="D772" s="18">
        <v>50000</v>
      </c>
      <c r="E772" s="19"/>
      <c r="F772" s="15">
        <f t="shared" si="13"/>
        <v>3155556.7699999921</v>
      </c>
    </row>
    <row r="773" spans="1:6" x14ac:dyDescent="0.2">
      <c r="A773" s="3">
        <v>45611</v>
      </c>
      <c r="B773" s="43">
        <v>890225</v>
      </c>
      <c r="C773" s="20" t="s">
        <v>10</v>
      </c>
      <c r="D773" s="25"/>
      <c r="E773" s="25">
        <v>20000000</v>
      </c>
      <c r="F773" s="15">
        <f t="shared" si="13"/>
        <v>23155556.769999992</v>
      </c>
    </row>
    <row r="774" spans="1:6" x14ac:dyDescent="0.2">
      <c r="A774" s="3">
        <v>45611</v>
      </c>
      <c r="B774" s="43">
        <v>822819</v>
      </c>
      <c r="C774" s="20" t="s">
        <v>10</v>
      </c>
      <c r="D774" s="25"/>
      <c r="E774" s="25">
        <v>20000000</v>
      </c>
      <c r="F774" s="15">
        <f t="shared" si="13"/>
        <v>43155556.769999996</v>
      </c>
    </row>
    <row r="775" spans="1:6" x14ac:dyDescent="0.2">
      <c r="A775" s="3">
        <v>45611</v>
      </c>
      <c r="B775" s="43">
        <v>799032</v>
      </c>
      <c r="C775" s="20" t="s">
        <v>10</v>
      </c>
      <c r="D775" s="25"/>
      <c r="E775" s="25">
        <v>20000000</v>
      </c>
      <c r="F775" s="15">
        <f t="shared" si="13"/>
        <v>63155556.769999996</v>
      </c>
    </row>
    <row r="776" spans="1:6" x14ac:dyDescent="0.2">
      <c r="A776" s="3">
        <v>45611</v>
      </c>
      <c r="B776" s="43">
        <v>825805</v>
      </c>
      <c r="C776" s="20" t="s">
        <v>10</v>
      </c>
      <c r="D776" s="25"/>
      <c r="E776" s="25">
        <v>20000000</v>
      </c>
      <c r="F776" s="15">
        <f t="shared" si="13"/>
        <v>83155556.769999996</v>
      </c>
    </row>
    <row r="777" spans="1:6" x14ac:dyDescent="0.2">
      <c r="A777" s="3">
        <v>45611</v>
      </c>
      <c r="B777" s="46">
        <v>822845</v>
      </c>
      <c r="C777" s="56" t="s">
        <v>10</v>
      </c>
      <c r="D777" s="52"/>
      <c r="E777" s="52">
        <v>20000000</v>
      </c>
      <c r="F777" s="15">
        <f t="shared" si="13"/>
        <v>103155556.77</v>
      </c>
    </row>
    <row r="778" spans="1:6" x14ac:dyDescent="0.2">
      <c r="A778" s="3">
        <v>45611</v>
      </c>
      <c r="B778" s="44">
        <v>825828</v>
      </c>
      <c r="C778" s="57" t="s">
        <v>10</v>
      </c>
      <c r="D778" s="53"/>
      <c r="E778" s="53">
        <v>20000000</v>
      </c>
      <c r="F778" s="15">
        <f t="shared" si="13"/>
        <v>123155556.77</v>
      </c>
    </row>
    <row r="779" spans="1:6" x14ac:dyDescent="0.2">
      <c r="A779" s="3">
        <v>45611</v>
      </c>
      <c r="B779" s="43">
        <v>4005360</v>
      </c>
      <c r="C779" s="20" t="s">
        <v>162</v>
      </c>
      <c r="D779" s="18">
        <v>1350000</v>
      </c>
      <c r="E779" s="19"/>
      <c r="F779" s="15">
        <f t="shared" si="13"/>
        <v>121805556.77</v>
      </c>
    </row>
    <row r="780" spans="1:6" x14ac:dyDescent="0.2">
      <c r="A780" s="3">
        <v>45611</v>
      </c>
      <c r="B780" s="43">
        <v>4005363</v>
      </c>
      <c r="C780" s="20" t="s">
        <v>163</v>
      </c>
      <c r="D780" s="18">
        <v>240000</v>
      </c>
      <c r="E780" s="19"/>
      <c r="F780" s="15">
        <f t="shared" si="13"/>
        <v>121565556.77</v>
      </c>
    </row>
    <row r="781" spans="1:6" x14ac:dyDescent="0.2">
      <c r="A781" s="3">
        <v>45611</v>
      </c>
      <c r="B781" s="43">
        <v>4005364</v>
      </c>
      <c r="C781" s="20" t="s">
        <v>164</v>
      </c>
      <c r="D781" s="18">
        <v>161000</v>
      </c>
      <c r="E781" s="19"/>
      <c r="F781" s="15">
        <f t="shared" si="13"/>
        <v>121404556.77</v>
      </c>
    </row>
    <row r="782" spans="1:6" x14ac:dyDescent="0.2">
      <c r="A782" s="3">
        <v>45611</v>
      </c>
      <c r="B782" s="43">
        <v>4005366</v>
      </c>
      <c r="C782" s="20" t="s">
        <v>60</v>
      </c>
      <c r="D782" s="18">
        <v>2420000</v>
      </c>
      <c r="E782" s="19"/>
      <c r="F782" s="15">
        <f t="shared" si="13"/>
        <v>118984556.77</v>
      </c>
    </row>
    <row r="783" spans="1:6" x14ac:dyDescent="0.2">
      <c r="A783" s="3">
        <v>45611</v>
      </c>
      <c r="B783" s="43">
        <v>4005367</v>
      </c>
      <c r="C783" s="20" t="s">
        <v>139</v>
      </c>
      <c r="D783" s="18">
        <v>9126</v>
      </c>
      <c r="E783" s="19"/>
      <c r="F783" s="15">
        <f t="shared" si="13"/>
        <v>118975430.77</v>
      </c>
    </row>
    <row r="784" spans="1:6" x14ac:dyDescent="0.2">
      <c r="A784" s="3">
        <v>45611</v>
      </c>
      <c r="B784" s="43">
        <v>4005368</v>
      </c>
      <c r="C784" s="20" t="s">
        <v>139</v>
      </c>
      <c r="D784" s="18">
        <v>781652.25</v>
      </c>
      <c r="E784" s="19"/>
      <c r="F784" s="15">
        <f t="shared" si="13"/>
        <v>118193778.52</v>
      </c>
    </row>
    <row r="785" spans="1:6" x14ac:dyDescent="0.2">
      <c r="A785" s="3">
        <v>45611</v>
      </c>
      <c r="B785" s="43">
        <v>4005372</v>
      </c>
      <c r="C785" s="20" t="s">
        <v>59</v>
      </c>
      <c r="D785" s="18">
        <v>2059508.61</v>
      </c>
      <c r="E785" s="19"/>
      <c r="F785" s="15">
        <f t="shared" si="13"/>
        <v>116134269.91</v>
      </c>
    </row>
    <row r="786" spans="1:6" x14ac:dyDescent="0.2">
      <c r="A786" s="3">
        <v>45611</v>
      </c>
      <c r="B786" s="43">
        <v>41739</v>
      </c>
      <c r="C786" s="20" t="s">
        <v>11</v>
      </c>
      <c r="D786" s="18">
        <v>1720040</v>
      </c>
      <c r="E786" s="19"/>
      <c r="F786" s="15">
        <f t="shared" si="13"/>
        <v>114414229.91</v>
      </c>
    </row>
    <row r="787" spans="1:6" x14ac:dyDescent="0.2">
      <c r="A787" s="3">
        <v>45611</v>
      </c>
      <c r="B787" s="43">
        <v>46619</v>
      </c>
      <c r="C787" s="20" t="s">
        <v>11</v>
      </c>
      <c r="D787" s="18">
        <v>356904</v>
      </c>
      <c r="E787" s="19"/>
      <c r="F787" s="15">
        <f t="shared" si="13"/>
        <v>114057325.91</v>
      </c>
    </row>
    <row r="788" spans="1:6" x14ac:dyDescent="0.2">
      <c r="A788" s="3">
        <v>45611</v>
      </c>
      <c r="B788" s="43">
        <v>82391499</v>
      </c>
      <c r="C788" s="20" t="s">
        <v>70</v>
      </c>
      <c r="D788" s="18">
        <v>21352.23</v>
      </c>
      <c r="E788" s="19"/>
      <c r="F788" s="15">
        <f t="shared" si="13"/>
        <v>114035973.67999999</v>
      </c>
    </row>
    <row r="789" spans="1:6" x14ac:dyDescent="0.2">
      <c r="A789" s="3">
        <v>45611</v>
      </c>
      <c r="B789" s="43">
        <v>83567335</v>
      </c>
      <c r="C789" s="20" t="s">
        <v>53</v>
      </c>
      <c r="D789" s="18">
        <v>24692.13</v>
      </c>
      <c r="E789" s="19"/>
      <c r="F789" s="15">
        <f t="shared" si="13"/>
        <v>114011281.55</v>
      </c>
    </row>
    <row r="790" spans="1:6" x14ac:dyDescent="0.2">
      <c r="A790" s="3">
        <v>45611</v>
      </c>
      <c r="B790" s="43">
        <v>84897164</v>
      </c>
      <c r="C790" s="20" t="s">
        <v>65</v>
      </c>
      <c r="D790" s="18">
        <v>150118.07999999999</v>
      </c>
      <c r="E790" s="19"/>
      <c r="F790" s="15">
        <f t="shared" si="13"/>
        <v>113861163.47</v>
      </c>
    </row>
    <row r="791" spans="1:6" x14ac:dyDescent="0.2">
      <c r="A791" s="3">
        <v>45611</v>
      </c>
      <c r="B791" s="43">
        <v>85909854</v>
      </c>
      <c r="C791" s="20" t="s">
        <v>66</v>
      </c>
      <c r="D791" s="18">
        <v>512650.89</v>
      </c>
      <c r="E791" s="19"/>
      <c r="F791" s="15">
        <f t="shared" si="13"/>
        <v>113348512.58</v>
      </c>
    </row>
    <row r="792" spans="1:6" x14ac:dyDescent="0.2">
      <c r="A792" s="3">
        <v>45611</v>
      </c>
      <c r="B792" s="43">
        <v>86975738</v>
      </c>
      <c r="C792" s="20" t="s">
        <v>62</v>
      </c>
      <c r="D792" s="18">
        <v>4116.2700000000004</v>
      </c>
      <c r="E792" s="19"/>
      <c r="F792" s="15">
        <f t="shared" si="13"/>
        <v>113344396.31</v>
      </c>
    </row>
    <row r="793" spans="1:6" x14ac:dyDescent="0.2">
      <c r="A793" s="3">
        <v>45611</v>
      </c>
      <c r="B793" s="43">
        <v>88071411</v>
      </c>
      <c r="C793" s="20" t="s">
        <v>64</v>
      </c>
      <c r="D793" s="18">
        <v>179066.18</v>
      </c>
      <c r="E793" s="19"/>
      <c r="F793" s="15">
        <f t="shared" si="13"/>
        <v>113165330.13</v>
      </c>
    </row>
    <row r="794" spans="1:6" x14ac:dyDescent="0.2">
      <c r="A794" s="3">
        <v>45611</v>
      </c>
      <c r="B794" s="43">
        <v>89379567</v>
      </c>
      <c r="C794" s="20" t="s">
        <v>54</v>
      </c>
      <c r="D794" s="18">
        <v>72463.61</v>
      </c>
      <c r="E794" s="19"/>
      <c r="F794" s="15">
        <f t="shared" si="13"/>
        <v>113092866.52</v>
      </c>
    </row>
    <row r="795" spans="1:6" x14ac:dyDescent="0.2">
      <c r="A795" s="3">
        <v>45611</v>
      </c>
      <c r="B795" s="43">
        <v>90613349</v>
      </c>
      <c r="C795" s="20" t="s">
        <v>55</v>
      </c>
      <c r="D795" s="18">
        <v>97526.399999999994</v>
      </c>
      <c r="E795" s="19"/>
      <c r="F795" s="15">
        <f t="shared" si="13"/>
        <v>112995340.11999999</v>
      </c>
    </row>
    <row r="796" spans="1:6" x14ac:dyDescent="0.2">
      <c r="A796" s="3">
        <v>45611</v>
      </c>
      <c r="B796" s="43">
        <v>10461684</v>
      </c>
      <c r="C796" s="20" t="s">
        <v>56</v>
      </c>
      <c r="D796" s="18">
        <v>118472.35</v>
      </c>
      <c r="E796" s="19"/>
      <c r="F796" s="15">
        <f t="shared" si="13"/>
        <v>112876867.77</v>
      </c>
    </row>
    <row r="797" spans="1:6" x14ac:dyDescent="0.2">
      <c r="A797" s="3">
        <v>45611</v>
      </c>
      <c r="B797" s="43">
        <v>11521163</v>
      </c>
      <c r="C797" s="20" t="s">
        <v>57</v>
      </c>
      <c r="D797" s="18">
        <v>138388</v>
      </c>
      <c r="E797" s="19"/>
      <c r="F797" s="15">
        <f t="shared" si="13"/>
        <v>112738479.77</v>
      </c>
    </row>
    <row r="798" spans="1:6" x14ac:dyDescent="0.2">
      <c r="A798" s="3">
        <v>45611</v>
      </c>
      <c r="B798" s="43">
        <v>12783409</v>
      </c>
      <c r="C798" s="20" t="s">
        <v>165</v>
      </c>
      <c r="D798" s="18">
        <v>564480.19999999995</v>
      </c>
      <c r="E798" s="19"/>
      <c r="F798" s="15">
        <f t="shared" si="13"/>
        <v>112173999.56999999</v>
      </c>
    </row>
    <row r="799" spans="1:6" x14ac:dyDescent="0.2">
      <c r="A799" s="3">
        <v>45611</v>
      </c>
      <c r="B799" s="43">
        <v>14133520</v>
      </c>
      <c r="C799" s="20" t="s">
        <v>166</v>
      </c>
      <c r="D799" s="18">
        <v>843140.6</v>
      </c>
      <c r="E799" s="19"/>
      <c r="F799" s="15">
        <f t="shared" si="13"/>
        <v>111330858.97</v>
      </c>
    </row>
    <row r="800" spans="1:6" x14ac:dyDescent="0.2">
      <c r="A800" s="3">
        <v>45611</v>
      </c>
      <c r="B800" s="46">
        <v>15379470</v>
      </c>
      <c r="C800" s="56" t="s">
        <v>67</v>
      </c>
      <c r="D800" s="48">
        <v>23021.95</v>
      </c>
      <c r="E800" s="49"/>
      <c r="F800" s="15">
        <f t="shared" si="13"/>
        <v>111307837.02</v>
      </c>
    </row>
    <row r="801" spans="1:6" x14ac:dyDescent="0.2">
      <c r="A801" s="3">
        <v>45611</v>
      </c>
      <c r="B801" s="44">
        <v>16725229</v>
      </c>
      <c r="C801" s="57" t="s">
        <v>117</v>
      </c>
      <c r="D801" s="23">
        <v>172671.46</v>
      </c>
      <c r="E801" s="24"/>
      <c r="F801" s="15">
        <f t="shared" si="13"/>
        <v>111135165.56</v>
      </c>
    </row>
    <row r="802" spans="1:6" x14ac:dyDescent="0.2">
      <c r="A802" s="3">
        <v>45611</v>
      </c>
      <c r="B802" s="43">
        <v>17659033</v>
      </c>
      <c r="C802" s="20" t="s">
        <v>101</v>
      </c>
      <c r="D802" s="18">
        <v>185810.59</v>
      </c>
      <c r="E802" s="19"/>
      <c r="F802" s="15">
        <f t="shared" si="13"/>
        <v>110949354.97</v>
      </c>
    </row>
    <row r="803" spans="1:6" x14ac:dyDescent="0.2">
      <c r="A803" s="3">
        <v>45611</v>
      </c>
      <c r="B803" s="43">
        <v>18846325</v>
      </c>
      <c r="C803" s="20" t="s">
        <v>68</v>
      </c>
      <c r="D803" s="18">
        <v>15753.54</v>
      </c>
      <c r="E803" s="19"/>
      <c r="F803" s="15">
        <f t="shared" si="13"/>
        <v>110933601.42999999</v>
      </c>
    </row>
    <row r="804" spans="1:6" x14ac:dyDescent="0.2">
      <c r="A804" s="3">
        <v>45611</v>
      </c>
      <c r="B804" s="43">
        <v>39398608</v>
      </c>
      <c r="C804" s="20" t="s">
        <v>71</v>
      </c>
      <c r="D804" s="18">
        <v>69317.62</v>
      </c>
      <c r="E804" s="19"/>
      <c r="F804" s="15">
        <f t="shared" si="13"/>
        <v>110864283.80999999</v>
      </c>
    </row>
    <row r="805" spans="1:6" x14ac:dyDescent="0.2">
      <c r="A805" s="3">
        <v>45611</v>
      </c>
      <c r="B805" s="43">
        <v>40925127</v>
      </c>
      <c r="C805" s="20" t="s">
        <v>69</v>
      </c>
      <c r="D805" s="18">
        <v>29784.79</v>
      </c>
      <c r="E805" s="19"/>
      <c r="F805" s="15">
        <f t="shared" si="13"/>
        <v>110834499.01999998</v>
      </c>
    </row>
    <row r="806" spans="1:6" x14ac:dyDescent="0.2">
      <c r="A806" s="3">
        <v>45611</v>
      </c>
      <c r="B806" s="43">
        <v>42238716</v>
      </c>
      <c r="C806" s="20" t="s">
        <v>61</v>
      </c>
      <c r="D806" s="18">
        <v>81918.600000000006</v>
      </c>
      <c r="E806" s="19"/>
      <c r="F806" s="15">
        <f t="shared" si="13"/>
        <v>110752580.41999999</v>
      </c>
    </row>
    <row r="807" spans="1:6" x14ac:dyDescent="0.2">
      <c r="A807" s="3">
        <v>45611</v>
      </c>
      <c r="B807" s="43">
        <v>43462538</v>
      </c>
      <c r="C807" s="20" t="s">
        <v>167</v>
      </c>
      <c r="D807" s="18">
        <v>1490842</v>
      </c>
      <c r="E807" s="19"/>
      <c r="F807" s="15">
        <f t="shared" si="13"/>
        <v>109261738.41999999</v>
      </c>
    </row>
    <row r="808" spans="1:6" x14ac:dyDescent="0.2">
      <c r="A808" s="3">
        <v>45611</v>
      </c>
      <c r="B808" s="43">
        <v>45695014</v>
      </c>
      <c r="C808" s="20" t="s">
        <v>168</v>
      </c>
      <c r="D808" s="18">
        <v>338247.2</v>
      </c>
      <c r="E808" s="19"/>
      <c r="F808" s="15">
        <f t="shared" si="13"/>
        <v>108923491.21999998</v>
      </c>
    </row>
    <row r="809" spans="1:6" x14ac:dyDescent="0.2">
      <c r="A809" s="3">
        <v>45611</v>
      </c>
      <c r="B809" s="43">
        <v>47025817</v>
      </c>
      <c r="C809" s="20" t="s">
        <v>169</v>
      </c>
      <c r="D809" s="18">
        <v>274648</v>
      </c>
      <c r="E809" s="19"/>
      <c r="F809" s="15">
        <f t="shared" si="13"/>
        <v>108648843.21999998</v>
      </c>
    </row>
    <row r="810" spans="1:6" x14ac:dyDescent="0.2">
      <c r="A810" s="3">
        <v>45611</v>
      </c>
      <c r="B810" s="43">
        <v>48696043</v>
      </c>
      <c r="C810" s="20" t="s">
        <v>170</v>
      </c>
      <c r="D810" s="18">
        <v>109371.2</v>
      </c>
      <c r="E810" s="19"/>
      <c r="F810" s="15">
        <f t="shared" si="13"/>
        <v>108539472.01999998</v>
      </c>
    </row>
    <row r="811" spans="1:6" x14ac:dyDescent="0.2">
      <c r="A811" s="3">
        <v>45611</v>
      </c>
      <c r="B811" s="43">
        <v>49886798</v>
      </c>
      <c r="C811" s="20" t="s">
        <v>171</v>
      </c>
      <c r="D811" s="18">
        <v>124216.3</v>
      </c>
      <c r="E811" s="19"/>
      <c r="F811" s="15">
        <f t="shared" si="13"/>
        <v>108415255.71999998</v>
      </c>
    </row>
    <row r="812" spans="1:6" x14ac:dyDescent="0.2">
      <c r="A812" s="3">
        <v>45611</v>
      </c>
      <c r="B812" s="43">
        <v>89796731</v>
      </c>
      <c r="C812" s="20" t="s">
        <v>44</v>
      </c>
      <c r="D812" s="18">
        <v>900000</v>
      </c>
      <c r="E812" s="19"/>
      <c r="F812" s="15">
        <f t="shared" si="13"/>
        <v>107515255.71999998</v>
      </c>
    </row>
    <row r="813" spans="1:6" x14ac:dyDescent="0.2">
      <c r="A813" s="3">
        <v>45611</v>
      </c>
      <c r="B813" s="43">
        <v>31683</v>
      </c>
      <c r="C813" s="17" t="s">
        <v>12</v>
      </c>
      <c r="D813" s="18">
        <v>268329.59999999998</v>
      </c>
      <c r="E813" s="19"/>
      <c r="F813" s="15">
        <f t="shared" si="13"/>
        <v>107246926.11999999</v>
      </c>
    </row>
    <row r="814" spans="1:6" x14ac:dyDescent="0.2">
      <c r="A814" s="3">
        <v>45611</v>
      </c>
      <c r="B814" s="45"/>
      <c r="C814" s="17" t="s">
        <v>13</v>
      </c>
      <c r="D814" s="18">
        <v>24655839</v>
      </c>
      <c r="E814" s="19"/>
      <c r="F814" s="15">
        <f t="shared" si="13"/>
        <v>82591087.11999999</v>
      </c>
    </row>
    <row r="815" spans="1:6" x14ac:dyDescent="0.2">
      <c r="A815" s="3">
        <v>45611</v>
      </c>
      <c r="B815" s="45"/>
      <c r="C815" s="17" t="s">
        <v>13</v>
      </c>
      <c r="D815" s="18">
        <v>3836718</v>
      </c>
      <c r="E815" s="19"/>
      <c r="F815" s="15">
        <f t="shared" si="13"/>
        <v>78754369.11999999</v>
      </c>
    </row>
    <row r="816" spans="1:6" x14ac:dyDescent="0.2">
      <c r="A816" s="3">
        <v>45611</v>
      </c>
      <c r="B816" s="45"/>
      <c r="C816" s="17" t="s">
        <v>15</v>
      </c>
      <c r="D816" s="18">
        <v>152.66</v>
      </c>
      <c r="E816" s="19"/>
      <c r="F816" s="15">
        <f t="shared" si="13"/>
        <v>78754216.459999993</v>
      </c>
    </row>
    <row r="817" spans="1:6" x14ac:dyDescent="0.2">
      <c r="A817" s="3">
        <v>45611</v>
      </c>
      <c r="B817" s="45"/>
      <c r="C817" s="17" t="s">
        <v>14</v>
      </c>
      <c r="D817" s="18">
        <v>726.88</v>
      </c>
      <c r="E817" s="19"/>
      <c r="F817" s="15">
        <f t="shared" si="13"/>
        <v>78753489.579999998</v>
      </c>
    </row>
    <row r="818" spans="1:6" x14ac:dyDescent="0.2">
      <c r="A818" s="3">
        <v>45611</v>
      </c>
      <c r="B818" s="45"/>
      <c r="C818" s="17" t="s">
        <v>34</v>
      </c>
      <c r="D818" s="18">
        <v>1800</v>
      </c>
      <c r="E818" s="19"/>
      <c r="F818" s="15">
        <f t="shared" si="13"/>
        <v>78751689.579999998</v>
      </c>
    </row>
    <row r="819" spans="1:6" x14ac:dyDescent="0.2">
      <c r="A819" s="3">
        <v>45611</v>
      </c>
      <c r="B819" s="45"/>
      <c r="C819" s="17" t="s">
        <v>16</v>
      </c>
      <c r="D819" s="18">
        <v>267023.18</v>
      </c>
      <c r="E819" s="19"/>
      <c r="F819" s="15">
        <f t="shared" si="13"/>
        <v>78484666.399999991</v>
      </c>
    </row>
    <row r="820" spans="1:6" x14ac:dyDescent="0.2">
      <c r="A820" s="3">
        <v>45611</v>
      </c>
      <c r="B820" s="45"/>
      <c r="C820" s="17" t="s">
        <v>22</v>
      </c>
      <c r="D820" s="18">
        <v>839.46</v>
      </c>
      <c r="E820" s="19"/>
      <c r="F820" s="15">
        <f t="shared" si="13"/>
        <v>78483826.939999998</v>
      </c>
    </row>
    <row r="821" spans="1:6" x14ac:dyDescent="0.2">
      <c r="A821" s="3">
        <v>45611</v>
      </c>
      <c r="B821" s="43">
        <v>17032</v>
      </c>
      <c r="C821" s="20" t="s">
        <v>7</v>
      </c>
      <c r="D821" s="18">
        <v>120</v>
      </c>
      <c r="E821" s="19"/>
      <c r="F821" s="15">
        <f t="shared" si="13"/>
        <v>78483706.939999998</v>
      </c>
    </row>
    <row r="822" spans="1:6" x14ac:dyDescent="0.2">
      <c r="A822" s="3">
        <v>45611</v>
      </c>
      <c r="B822" s="43">
        <v>17032</v>
      </c>
      <c r="C822" s="17" t="s">
        <v>8</v>
      </c>
      <c r="D822" s="18">
        <v>25.2</v>
      </c>
      <c r="E822" s="19"/>
      <c r="F822" s="15">
        <f t="shared" ref="F822:F885" si="14">+F821+E822-D822</f>
        <v>78483681.739999995</v>
      </c>
    </row>
    <row r="823" spans="1:6" x14ac:dyDescent="0.2">
      <c r="A823" s="3">
        <v>45611</v>
      </c>
      <c r="B823" s="43">
        <v>17033</v>
      </c>
      <c r="C823" s="20" t="s">
        <v>7</v>
      </c>
      <c r="D823" s="18">
        <v>720</v>
      </c>
      <c r="E823" s="19"/>
      <c r="F823" s="15">
        <f t="shared" si="14"/>
        <v>78482961.739999995</v>
      </c>
    </row>
    <row r="824" spans="1:6" x14ac:dyDescent="0.2">
      <c r="A824" s="3">
        <v>45611</v>
      </c>
      <c r="B824" s="43">
        <v>17033</v>
      </c>
      <c r="C824" s="17" t="s">
        <v>8</v>
      </c>
      <c r="D824" s="18">
        <v>151.19999999999999</v>
      </c>
      <c r="E824" s="19"/>
      <c r="F824" s="15">
        <f t="shared" si="14"/>
        <v>78482810.539999992</v>
      </c>
    </row>
    <row r="825" spans="1:6" x14ac:dyDescent="0.2">
      <c r="A825" s="3">
        <v>45611</v>
      </c>
      <c r="B825" s="43">
        <v>17034</v>
      </c>
      <c r="C825" s="20" t="s">
        <v>7</v>
      </c>
      <c r="D825" s="18">
        <v>720</v>
      </c>
      <c r="E825" s="19"/>
      <c r="F825" s="15">
        <f t="shared" si="14"/>
        <v>78482090.539999992</v>
      </c>
    </row>
    <row r="826" spans="1:6" x14ac:dyDescent="0.2">
      <c r="A826" s="3">
        <v>45611</v>
      </c>
      <c r="B826" s="43">
        <v>17034</v>
      </c>
      <c r="C826" s="17" t="s">
        <v>8</v>
      </c>
      <c r="D826" s="18">
        <v>151.19999999999999</v>
      </c>
      <c r="E826" s="19"/>
      <c r="F826" s="15">
        <f t="shared" si="14"/>
        <v>78481939.339999989</v>
      </c>
    </row>
    <row r="827" spans="1:6" x14ac:dyDescent="0.2">
      <c r="A827" s="3">
        <v>45611</v>
      </c>
      <c r="B827" s="46">
        <v>17035</v>
      </c>
      <c r="C827" s="56" t="s">
        <v>7</v>
      </c>
      <c r="D827" s="48">
        <v>1485</v>
      </c>
      <c r="E827" s="49"/>
      <c r="F827" s="15">
        <f t="shared" si="14"/>
        <v>78480454.339999989</v>
      </c>
    </row>
    <row r="828" spans="1:6" x14ac:dyDescent="0.2">
      <c r="A828" s="3">
        <v>45611</v>
      </c>
      <c r="B828" s="44">
        <v>17035</v>
      </c>
      <c r="C828" s="59" t="s">
        <v>8</v>
      </c>
      <c r="D828" s="23">
        <v>311.85000000000002</v>
      </c>
      <c r="E828" s="24"/>
      <c r="F828" s="15">
        <f t="shared" si="14"/>
        <v>78480142.489999995</v>
      </c>
    </row>
    <row r="829" spans="1:6" x14ac:dyDescent="0.2">
      <c r="A829" s="3">
        <v>45611</v>
      </c>
      <c r="B829" s="43">
        <v>17036</v>
      </c>
      <c r="C829" s="20" t="s">
        <v>7</v>
      </c>
      <c r="D829" s="18">
        <v>1485</v>
      </c>
      <c r="E829" s="19"/>
      <c r="F829" s="15">
        <f t="shared" si="14"/>
        <v>78478657.489999995</v>
      </c>
    </row>
    <row r="830" spans="1:6" x14ac:dyDescent="0.2">
      <c r="A830" s="3">
        <v>45611</v>
      </c>
      <c r="B830" s="43">
        <v>17036</v>
      </c>
      <c r="C830" s="17" t="s">
        <v>8</v>
      </c>
      <c r="D830" s="18">
        <v>311.85000000000002</v>
      </c>
      <c r="E830" s="19"/>
      <c r="F830" s="15">
        <f t="shared" si="14"/>
        <v>78478345.640000001</v>
      </c>
    </row>
    <row r="831" spans="1:6" x14ac:dyDescent="0.2">
      <c r="A831" s="3">
        <v>45611</v>
      </c>
      <c r="B831" s="43">
        <v>17037</v>
      </c>
      <c r="C831" s="20" t="s">
        <v>7</v>
      </c>
      <c r="D831" s="18">
        <v>1485</v>
      </c>
      <c r="E831" s="19"/>
      <c r="F831" s="15">
        <f t="shared" si="14"/>
        <v>78476860.640000001</v>
      </c>
    </row>
    <row r="832" spans="1:6" x14ac:dyDescent="0.2">
      <c r="A832" s="3">
        <v>45611</v>
      </c>
      <c r="B832" s="43">
        <v>17037</v>
      </c>
      <c r="C832" s="17" t="s">
        <v>8</v>
      </c>
      <c r="D832" s="18">
        <v>311.85000000000002</v>
      </c>
      <c r="E832" s="19"/>
      <c r="F832" s="15">
        <f t="shared" si="14"/>
        <v>78476548.790000007</v>
      </c>
    </row>
    <row r="833" spans="1:6" x14ac:dyDescent="0.2">
      <c r="A833" s="3">
        <v>45611</v>
      </c>
      <c r="B833" s="43">
        <v>17038</v>
      </c>
      <c r="C833" s="20" t="s">
        <v>7</v>
      </c>
      <c r="D833" s="18">
        <v>1485</v>
      </c>
      <c r="E833" s="19"/>
      <c r="F833" s="15">
        <f t="shared" si="14"/>
        <v>78475063.790000007</v>
      </c>
    </row>
    <row r="834" spans="1:6" x14ac:dyDescent="0.2">
      <c r="A834" s="3">
        <v>45611</v>
      </c>
      <c r="B834" s="43">
        <v>17038</v>
      </c>
      <c r="C834" s="17" t="s">
        <v>8</v>
      </c>
      <c r="D834" s="18">
        <v>311.85000000000002</v>
      </c>
      <c r="E834" s="19"/>
      <c r="F834" s="15">
        <f t="shared" si="14"/>
        <v>78474751.940000013</v>
      </c>
    </row>
    <row r="835" spans="1:6" x14ac:dyDescent="0.2">
      <c r="A835" s="3">
        <v>45615</v>
      </c>
      <c r="B835" s="45"/>
      <c r="C835" s="20" t="s">
        <v>172</v>
      </c>
      <c r="D835" s="18">
        <v>3000</v>
      </c>
      <c r="E835" s="19"/>
      <c r="F835" s="15">
        <f t="shared" si="14"/>
        <v>78471751.940000013</v>
      </c>
    </row>
    <row r="836" spans="1:6" x14ac:dyDescent="0.2">
      <c r="A836" s="3">
        <v>45615</v>
      </c>
      <c r="B836" s="45"/>
      <c r="C836" s="17" t="s">
        <v>8</v>
      </c>
      <c r="D836" s="18">
        <v>630</v>
      </c>
      <c r="E836" s="19"/>
      <c r="F836" s="15">
        <f t="shared" si="14"/>
        <v>78471121.940000013</v>
      </c>
    </row>
    <row r="837" spans="1:6" x14ac:dyDescent="0.2">
      <c r="A837" s="3">
        <v>45615</v>
      </c>
      <c r="B837" s="45"/>
      <c r="C837" s="17" t="s">
        <v>37</v>
      </c>
      <c r="D837" s="18">
        <v>90</v>
      </c>
      <c r="E837" s="19"/>
      <c r="F837" s="15">
        <f t="shared" si="14"/>
        <v>78471031.940000013</v>
      </c>
    </row>
    <row r="838" spans="1:6" x14ac:dyDescent="0.2">
      <c r="A838" s="3">
        <v>45615</v>
      </c>
      <c r="B838" s="43">
        <v>78615</v>
      </c>
      <c r="C838" s="20" t="s">
        <v>46</v>
      </c>
      <c r="D838" s="18">
        <v>47307.57</v>
      </c>
      <c r="E838" s="19"/>
      <c r="F838" s="15">
        <f t="shared" si="14"/>
        <v>78423724.37000002</v>
      </c>
    </row>
    <row r="839" spans="1:6" x14ac:dyDescent="0.2">
      <c r="A839" s="3">
        <v>45615</v>
      </c>
      <c r="B839" s="43">
        <v>78616</v>
      </c>
      <c r="C839" s="20" t="s">
        <v>46</v>
      </c>
      <c r="D839" s="18">
        <v>573598.91</v>
      </c>
      <c r="E839" s="19"/>
      <c r="F839" s="15">
        <f t="shared" si="14"/>
        <v>77850125.460000023</v>
      </c>
    </row>
    <row r="840" spans="1:6" x14ac:dyDescent="0.2">
      <c r="A840" s="3">
        <v>45615</v>
      </c>
      <c r="B840" s="43">
        <v>130487</v>
      </c>
      <c r="C840" s="20" t="s">
        <v>46</v>
      </c>
      <c r="D840" s="18">
        <v>284837.82</v>
      </c>
      <c r="E840" s="19"/>
      <c r="F840" s="15">
        <f t="shared" si="14"/>
        <v>77565287.64000003</v>
      </c>
    </row>
    <row r="841" spans="1:6" x14ac:dyDescent="0.2">
      <c r="A841" s="3">
        <v>45615</v>
      </c>
      <c r="B841" s="43">
        <v>219626</v>
      </c>
      <c r="C841" s="20" t="s">
        <v>46</v>
      </c>
      <c r="D841" s="18">
        <v>3019184.6</v>
      </c>
      <c r="E841" s="19"/>
      <c r="F841" s="15">
        <f t="shared" si="14"/>
        <v>74546103.040000036</v>
      </c>
    </row>
    <row r="842" spans="1:6" x14ac:dyDescent="0.2">
      <c r="A842" s="3">
        <v>45615</v>
      </c>
      <c r="B842" s="43">
        <v>219627</v>
      </c>
      <c r="C842" s="20" t="s">
        <v>46</v>
      </c>
      <c r="D842" s="18">
        <v>2355869.35</v>
      </c>
      <c r="E842" s="19"/>
      <c r="F842" s="15">
        <f t="shared" si="14"/>
        <v>72190233.690000042</v>
      </c>
    </row>
    <row r="843" spans="1:6" x14ac:dyDescent="0.2">
      <c r="A843" s="3">
        <v>45615</v>
      </c>
      <c r="B843" s="43">
        <v>219628</v>
      </c>
      <c r="C843" s="20" t="s">
        <v>46</v>
      </c>
      <c r="D843" s="18">
        <v>2051744.02</v>
      </c>
      <c r="E843" s="19"/>
      <c r="F843" s="15">
        <f t="shared" si="14"/>
        <v>70138489.670000046</v>
      </c>
    </row>
    <row r="844" spans="1:6" x14ac:dyDescent="0.2">
      <c r="A844" s="3">
        <v>45615</v>
      </c>
      <c r="B844" s="43">
        <v>219629</v>
      </c>
      <c r="C844" s="20" t="s">
        <v>46</v>
      </c>
      <c r="D844" s="18">
        <v>3850125.79</v>
      </c>
      <c r="E844" s="19"/>
      <c r="F844" s="15">
        <f t="shared" si="14"/>
        <v>66288363.880000047</v>
      </c>
    </row>
    <row r="845" spans="1:6" x14ac:dyDescent="0.2">
      <c r="A845" s="3">
        <v>45615</v>
      </c>
      <c r="B845" s="43">
        <v>219630</v>
      </c>
      <c r="C845" s="20" t="s">
        <v>46</v>
      </c>
      <c r="D845" s="18">
        <v>2680479.87</v>
      </c>
      <c r="E845" s="19"/>
      <c r="F845" s="15">
        <f t="shared" si="14"/>
        <v>63607884.01000005</v>
      </c>
    </row>
    <row r="846" spans="1:6" x14ac:dyDescent="0.2">
      <c r="A846" s="3">
        <v>45615</v>
      </c>
      <c r="B846" s="43">
        <v>219631</v>
      </c>
      <c r="C846" s="20" t="s">
        <v>46</v>
      </c>
      <c r="D846" s="18">
        <v>2701040.94</v>
      </c>
      <c r="E846" s="19"/>
      <c r="F846" s="15">
        <f t="shared" si="14"/>
        <v>60906843.070000052</v>
      </c>
    </row>
    <row r="847" spans="1:6" x14ac:dyDescent="0.2">
      <c r="A847" s="3">
        <v>45615</v>
      </c>
      <c r="B847" s="43">
        <v>219632</v>
      </c>
      <c r="C847" s="20" t="s">
        <v>46</v>
      </c>
      <c r="D847" s="18">
        <v>2771406.99</v>
      </c>
      <c r="E847" s="19"/>
      <c r="F847" s="15">
        <f t="shared" si="14"/>
        <v>58135436.08000005</v>
      </c>
    </row>
    <row r="848" spans="1:6" x14ac:dyDescent="0.2">
      <c r="A848" s="3">
        <v>45615</v>
      </c>
      <c r="B848" s="43">
        <v>294919</v>
      </c>
      <c r="C848" s="20" t="s">
        <v>46</v>
      </c>
      <c r="D848" s="18">
        <v>524608.44999999995</v>
      </c>
      <c r="E848" s="19"/>
      <c r="F848" s="15">
        <f t="shared" si="14"/>
        <v>57610827.630000047</v>
      </c>
    </row>
    <row r="849" spans="1:6" x14ac:dyDescent="0.2">
      <c r="A849" s="3">
        <v>45615</v>
      </c>
      <c r="B849" s="43">
        <v>31809</v>
      </c>
      <c r="C849" s="20" t="s">
        <v>29</v>
      </c>
      <c r="D849" s="18">
        <v>50000</v>
      </c>
      <c r="E849" s="19"/>
      <c r="F849" s="15">
        <f t="shared" si="14"/>
        <v>57560827.630000047</v>
      </c>
    </row>
    <row r="850" spans="1:6" x14ac:dyDescent="0.2">
      <c r="A850" s="3">
        <v>45615</v>
      </c>
      <c r="B850" s="43">
        <v>31814</v>
      </c>
      <c r="C850" s="20" t="s">
        <v>30</v>
      </c>
      <c r="D850" s="18">
        <v>50000</v>
      </c>
      <c r="E850" s="19"/>
      <c r="F850" s="15">
        <f t="shared" si="14"/>
        <v>57510827.630000047</v>
      </c>
    </row>
    <row r="851" spans="1:6" x14ac:dyDescent="0.2">
      <c r="A851" s="3">
        <v>45615</v>
      </c>
      <c r="B851" s="43">
        <v>31807</v>
      </c>
      <c r="C851" s="20" t="s">
        <v>28</v>
      </c>
      <c r="D851" s="18">
        <v>50000</v>
      </c>
      <c r="E851" s="19"/>
      <c r="F851" s="15">
        <f t="shared" si="14"/>
        <v>57460827.630000047</v>
      </c>
    </row>
    <row r="852" spans="1:6" x14ac:dyDescent="0.2">
      <c r="A852" s="3">
        <v>45615</v>
      </c>
      <c r="B852" s="46">
        <v>31808</v>
      </c>
      <c r="C852" s="56" t="s">
        <v>97</v>
      </c>
      <c r="D852" s="48">
        <v>50000</v>
      </c>
      <c r="E852" s="49"/>
      <c r="F852" s="15">
        <f t="shared" si="14"/>
        <v>57410827.630000047</v>
      </c>
    </row>
    <row r="853" spans="1:6" x14ac:dyDescent="0.2">
      <c r="A853" s="3">
        <v>45615</v>
      </c>
      <c r="B853" s="44">
        <v>31820</v>
      </c>
      <c r="C853" s="59" t="s">
        <v>12</v>
      </c>
      <c r="D853" s="23">
        <v>5337775.13</v>
      </c>
      <c r="E853" s="24"/>
      <c r="F853" s="15">
        <f t="shared" si="14"/>
        <v>52073052.500000045</v>
      </c>
    </row>
    <row r="854" spans="1:6" x14ac:dyDescent="0.2">
      <c r="A854" s="3">
        <v>45615</v>
      </c>
      <c r="B854" s="45"/>
      <c r="C854" s="17" t="s">
        <v>16</v>
      </c>
      <c r="D854" s="18">
        <v>157264.65</v>
      </c>
      <c r="E854" s="19"/>
      <c r="F854" s="15">
        <f t="shared" si="14"/>
        <v>51915787.850000046</v>
      </c>
    </row>
    <row r="855" spans="1:6" x14ac:dyDescent="0.2">
      <c r="A855" s="3">
        <v>45615</v>
      </c>
      <c r="B855" s="45"/>
      <c r="C855" s="17" t="s">
        <v>34</v>
      </c>
      <c r="D855" s="18">
        <v>2400</v>
      </c>
      <c r="E855" s="19"/>
      <c r="F855" s="15">
        <f t="shared" si="14"/>
        <v>51913387.850000046</v>
      </c>
    </row>
    <row r="856" spans="1:6" x14ac:dyDescent="0.2">
      <c r="A856" s="3">
        <v>45616</v>
      </c>
      <c r="B856" s="43">
        <v>20000006</v>
      </c>
      <c r="C856" s="17" t="s">
        <v>24</v>
      </c>
      <c r="D856" s="19"/>
      <c r="E856" s="18">
        <v>15978.3</v>
      </c>
      <c r="F856" s="15">
        <f t="shared" si="14"/>
        <v>51929366.150000043</v>
      </c>
    </row>
    <row r="857" spans="1:6" x14ac:dyDescent="0.2">
      <c r="A857" s="3">
        <v>45616</v>
      </c>
      <c r="B857" s="45"/>
      <c r="C857" s="20" t="s">
        <v>35</v>
      </c>
      <c r="D857" s="18">
        <v>4000</v>
      </c>
      <c r="E857" s="19"/>
      <c r="F857" s="15">
        <f t="shared" si="14"/>
        <v>51925366.150000043</v>
      </c>
    </row>
    <row r="858" spans="1:6" x14ac:dyDescent="0.2">
      <c r="A858" s="3">
        <v>45616</v>
      </c>
      <c r="B858" s="45"/>
      <c r="C858" s="17" t="s">
        <v>36</v>
      </c>
      <c r="D858" s="18">
        <v>60</v>
      </c>
      <c r="E858" s="19"/>
      <c r="F858" s="15">
        <f t="shared" si="14"/>
        <v>51925306.150000043</v>
      </c>
    </row>
    <row r="859" spans="1:6" x14ac:dyDescent="0.2">
      <c r="A859" s="3">
        <v>45616</v>
      </c>
      <c r="B859" s="45"/>
      <c r="C859" s="17" t="s">
        <v>8</v>
      </c>
      <c r="D859" s="18">
        <v>840</v>
      </c>
      <c r="E859" s="19"/>
      <c r="F859" s="15">
        <f t="shared" si="14"/>
        <v>51924466.150000043</v>
      </c>
    </row>
    <row r="860" spans="1:6" x14ac:dyDescent="0.2">
      <c r="A860" s="3">
        <v>45616</v>
      </c>
      <c r="B860" s="45"/>
      <c r="C860" s="17" t="s">
        <v>37</v>
      </c>
      <c r="D860" s="18">
        <v>120</v>
      </c>
      <c r="E860" s="19"/>
      <c r="F860" s="15">
        <f t="shared" si="14"/>
        <v>51924346.150000043</v>
      </c>
    </row>
    <row r="861" spans="1:6" x14ac:dyDescent="0.2">
      <c r="A861" s="3">
        <v>45616</v>
      </c>
      <c r="B861" s="43">
        <v>4130385</v>
      </c>
      <c r="C861" s="20" t="s">
        <v>173</v>
      </c>
      <c r="D861" s="18">
        <v>1076900</v>
      </c>
      <c r="E861" s="19"/>
      <c r="F861" s="15">
        <f t="shared" si="14"/>
        <v>50847446.150000043</v>
      </c>
    </row>
    <row r="862" spans="1:6" x14ac:dyDescent="0.2">
      <c r="A862" s="3">
        <v>45616</v>
      </c>
      <c r="B862" s="43">
        <v>4130402</v>
      </c>
      <c r="C862" s="20" t="s">
        <v>174</v>
      </c>
      <c r="D862" s="18">
        <v>195000</v>
      </c>
      <c r="E862" s="19"/>
      <c r="F862" s="15">
        <f t="shared" si="14"/>
        <v>50652446.150000043</v>
      </c>
    </row>
    <row r="863" spans="1:6" x14ac:dyDescent="0.2">
      <c r="A863" s="3">
        <v>45616</v>
      </c>
      <c r="B863" s="43">
        <v>4130404</v>
      </c>
      <c r="C863" s="20" t="s">
        <v>175</v>
      </c>
      <c r="D863" s="18">
        <v>500000</v>
      </c>
      <c r="E863" s="19"/>
      <c r="F863" s="15">
        <f t="shared" si="14"/>
        <v>50152446.150000043</v>
      </c>
    </row>
    <row r="864" spans="1:6" x14ac:dyDescent="0.2">
      <c r="A864" s="3">
        <v>45616</v>
      </c>
      <c r="B864" s="43">
        <v>4130406</v>
      </c>
      <c r="C864" s="20" t="s">
        <v>176</v>
      </c>
      <c r="D864" s="18">
        <v>500000</v>
      </c>
      <c r="E864" s="19"/>
      <c r="F864" s="15">
        <f t="shared" si="14"/>
        <v>49652446.150000043</v>
      </c>
    </row>
    <row r="865" spans="1:6" x14ac:dyDescent="0.2">
      <c r="A865" s="3">
        <v>45616</v>
      </c>
      <c r="B865" s="43">
        <v>35343034</v>
      </c>
      <c r="C865" s="20" t="s">
        <v>177</v>
      </c>
      <c r="D865" s="18">
        <v>2059560.62</v>
      </c>
      <c r="E865" s="19"/>
      <c r="F865" s="15">
        <f t="shared" si="14"/>
        <v>47592885.530000046</v>
      </c>
    </row>
    <row r="866" spans="1:6" x14ac:dyDescent="0.2">
      <c r="A866" s="3">
        <v>45616</v>
      </c>
      <c r="B866" s="43">
        <v>4186967</v>
      </c>
      <c r="C866" s="20" t="s">
        <v>178</v>
      </c>
      <c r="D866" s="18">
        <v>904354</v>
      </c>
      <c r="E866" s="19"/>
      <c r="F866" s="15">
        <f t="shared" si="14"/>
        <v>46688531.530000046</v>
      </c>
    </row>
    <row r="867" spans="1:6" x14ac:dyDescent="0.2">
      <c r="A867" s="3">
        <v>45616</v>
      </c>
      <c r="B867" s="43">
        <v>31800</v>
      </c>
      <c r="C867" s="17" t="s">
        <v>12</v>
      </c>
      <c r="D867" s="18">
        <v>187500</v>
      </c>
      <c r="E867" s="19"/>
      <c r="F867" s="15">
        <f t="shared" si="14"/>
        <v>46501031.530000046</v>
      </c>
    </row>
    <row r="868" spans="1:6" x14ac:dyDescent="0.2">
      <c r="A868" s="3">
        <v>45616</v>
      </c>
      <c r="B868" s="45"/>
      <c r="C868" s="17" t="s">
        <v>22</v>
      </c>
      <c r="D868" s="18">
        <v>95.87</v>
      </c>
      <c r="E868" s="19"/>
      <c r="F868" s="15">
        <f t="shared" si="14"/>
        <v>46500935.660000049</v>
      </c>
    </row>
    <row r="869" spans="1:6" x14ac:dyDescent="0.2">
      <c r="A869" s="3">
        <v>45616</v>
      </c>
      <c r="B869" s="45"/>
      <c r="C869" s="17" t="s">
        <v>16</v>
      </c>
      <c r="D869" s="18">
        <v>32570</v>
      </c>
      <c r="E869" s="19"/>
      <c r="F869" s="15">
        <f t="shared" si="14"/>
        <v>46468365.660000049</v>
      </c>
    </row>
    <row r="870" spans="1:6" x14ac:dyDescent="0.2">
      <c r="A870" s="3">
        <v>45616</v>
      </c>
      <c r="B870" s="43">
        <v>14456</v>
      </c>
      <c r="C870" s="20" t="s">
        <v>7</v>
      </c>
      <c r="D870" s="18">
        <v>720</v>
      </c>
      <c r="E870" s="19"/>
      <c r="F870" s="15">
        <f t="shared" si="14"/>
        <v>46467645.660000049</v>
      </c>
    </row>
    <row r="871" spans="1:6" x14ac:dyDescent="0.2">
      <c r="A871" s="3">
        <v>45616</v>
      </c>
      <c r="B871" s="43">
        <v>14456</v>
      </c>
      <c r="C871" s="17" t="s">
        <v>8</v>
      </c>
      <c r="D871" s="18">
        <v>151.19999999999999</v>
      </c>
      <c r="E871" s="19"/>
      <c r="F871" s="15">
        <f t="shared" si="14"/>
        <v>46467494.460000046</v>
      </c>
    </row>
    <row r="872" spans="1:6" x14ac:dyDescent="0.2">
      <c r="A872" s="3">
        <v>45616</v>
      </c>
      <c r="B872" s="43">
        <v>14457</v>
      </c>
      <c r="C872" s="20" t="s">
        <v>7</v>
      </c>
      <c r="D872" s="18">
        <v>1485</v>
      </c>
      <c r="E872" s="19"/>
      <c r="F872" s="15">
        <f t="shared" si="14"/>
        <v>46466009.460000046</v>
      </c>
    </row>
    <row r="873" spans="1:6" x14ac:dyDescent="0.2">
      <c r="A873" s="3">
        <v>45616</v>
      </c>
      <c r="B873" s="43">
        <v>14457</v>
      </c>
      <c r="C873" s="17" t="s">
        <v>8</v>
      </c>
      <c r="D873" s="18">
        <v>311.85000000000002</v>
      </c>
      <c r="E873" s="19"/>
      <c r="F873" s="15">
        <f t="shared" si="14"/>
        <v>46465697.610000044</v>
      </c>
    </row>
    <row r="874" spans="1:6" x14ac:dyDescent="0.2">
      <c r="A874" s="3">
        <v>45616</v>
      </c>
      <c r="B874" s="43">
        <v>14458</v>
      </c>
      <c r="C874" s="20" t="s">
        <v>7</v>
      </c>
      <c r="D874" s="18">
        <v>1485</v>
      </c>
      <c r="E874" s="19"/>
      <c r="F874" s="15">
        <f t="shared" si="14"/>
        <v>46464212.610000044</v>
      </c>
    </row>
    <row r="875" spans="1:6" x14ac:dyDescent="0.2">
      <c r="A875" s="3">
        <v>45616</v>
      </c>
      <c r="B875" s="43">
        <v>14458</v>
      </c>
      <c r="C875" s="17" t="s">
        <v>8</v>
      </c>
      <c r="D875" s="18">
        <v>311.85000000000002</v>
      </c>
      <c r="E875" s="19"/>
      <c r="F875" s="15">
        <f t="shared" si="14"/>
        <v>46463900.760000043</v>
      </c>
    </row>
    <row r="876" spans="1:6" x14ac:dyDescent="0.2">
      <c r="A876" s="3">
        <v>45616</v>
      </c>
      <c r="B876" s="43">
        <v>14459</v>
      </c>
      <c r="C876" s="20" t="s">
        <v>7</v>
      </c>
      <c r="D876" s="18">
        <v>1485</v>
      </c>
      <c r="E876" s="19"/>
      <c r="F876" s="15">
        <f t="shared" si="14"/>
        <v>46462415.760000043</v>
      </c>
    </row>
    <row r="877" spans="1:6" x14ac:dyDescent="0.2">
      <c r="A877" s="3">
        <v>45616</v>
      </c>
      <c r="B877" s="43">
        <v>14459</v>
      </c>
      <c r="C877" s="17" t="s">
        <v>8</v>
      </c>
      <c r="D877" s="18">
        <v>311.85000000000002</v>
      </c>
      <c r="E877" s="19"/>
      <c r="F877" s="15">
        <f t="shared" si="14"/>
        <v>46462103.910000041</v>
      </c>
    </row>
    <row r="878" spans="1:6" x14ac:dyDescent="0.2">
      <c r="A878" s="3">
        <v>45616</v>
      </c>
      <c r="B878" s="43">
        <v>14460</v>
      </c>
      <c r="C878" s="20" t="s">
        <v>7</v>
      </c>
      <c r="D878" s="18">
        <v>1485</v>
      </c>
      <c r="E878" s="19"/>
      <c r="F878" s="15">
        <f t="shared" si="14"/>
        <v>46460618.910000041</v>
      </c>
    </row>
    <row r="879" spans="1:6" x14ac:dyDescent="0.2">
      <c r="A879" s="3">
        <v>45616</v>
      </c>
      <c r="B879" s="46">
        <v>14460</v>
      </c>
      <c r="C879" s="58" t="s">
        <v>8</v>
      </c>
      <c r="D879" s="48">
        <v>311.85000000000002</v>
      </c>
      <c r="E879" s="49"/>
      <c r="F879" s="15">
        <f t="shared" si="14"/>
        <v>46460307.06000004</v>
      </c>
    </row>
    <row r="880" spans="1:6" x14ac:dyDescent="0.2">
      <c r="A880" s="3">
        <v>45617</v>
      </c>
      <c r="B880" s="44">
        <v>31787</v>
      </c>
      <c r="C880" s="59" t="s">
        <v>9</v>
      </c>
      <c r="D880" s="23">
        <v>965683.28</v>
      </c>
      <c r="E880" s="24"/>
      <c r="F880" s="15">
        <f t="shared" si="14"/>
        <v>45494623.780000038</v>
      </c>
    </row>
    <row r="881" spans="1:6" x14ac:dyDescent="0.2">
      <c r="A881" s="3">
        <v>45617</v>
      </c>
      <c r="B881" s="43">
        <v>31870</v>
      </c>
      <c r="C881" s="17" t="s">
        <v>9</v>
      </c>
      <c r="D881" s="18">
        <v>1000000</v>
      </c>
      <c r="E881" s="19"/>
      <c r="F881" s="15">
        <f t="shared" si="14"/>
        <v>44494623.780000038</v>
      </c>
    </row>
    <row r="882" spans="1:6" x14ac:dyDescent="0.2">
      <c r="A882" s="3">
        <v>45617</v>
      </c>
      <c r="B882" s="43">
        <v>31872</v>
      </c>
      <c r="C882" s="17" t="s">
        <v>9</v>
      </c>
      <c r="D882" s="18">
        <v>1000000</v>
      </c>
      <c r="E882" s="19"/>
      <c r="F882" s="15">
        <f t="shared" si="14"/>
        <v>43494623.780000038</v>
      </c>
    </row>
    <row r="883" spans="1:6" x14ac:dyDescent="0.2">
      <c r="A883" s="3">
        <v>45617</v>
      </c>
      <c r="B883" s="43">
        <v>31793</v>
      </c>
      <c r="C883" s="17" t="s">
        <v>9</v>
      </c>
      <c r="D883" s="18">
        <v>5537166.0199999996</v>
      </c>
      <c r="E883" s="19"/>
      <c r="F883" s="15">
        <f t="shared" si="14"/>
        <v>37957457.760000035</v>
      </c>
    </row>
    <row r="884" spans="1:6" x14ac:dyDescent="0.2">
      <c r="A884" s="3">
        <v>45617</v>
      </c>
      <c r="B884" s="43">
        <v>3006570</v>
      </c>
      <c r="C884" s="20" t="s">
        <v>179</v>
      </c>
      <c r="D884" s="19"/>
      <c r="E884" s="18">
        <v>24825</v>
      </c>
      <c r="F884" s="15">
        <f t="shared" si="14"/>
        <v>37982282.760000035</v>
      </c>
    </row>
    <row r="885" spans="1:6" x14ac:dyDescent="0.2">
      <c r="A885" s="3">
        <v>45617</v>
      </c>
      <c r="B885" s="43">
        <v>3026331</v>
      </c>
      <c r="C885" s="20" t="s">
        <v>180</v>
      </c>
      <c r="D885" s="19"/>
      <c r="E885" s="18">
        <v>26064.959999999999</v>
      </c>
      <c r="F885" s="15">
        <f t="shared" si="14"/>
        <v>38008347.720000036</v>
      </c>
    </row>
    <row r="886" spans="1:6" x14ac:dyDescent="0.2">
      <c r="A886" s="3">
        <v>45617</v>
      </c>
      <c r="B886" s="43">
        <v>941511</v>
      </c>
      <c r="C886" s="20" t="s">
        <v>181</v>
      </c>
      <c r="D886" s="19"/>
      <c r="E886" s="18">
        <v>142953.4</v>
      </c>
      <c r="F886" s="15">
        <f t="shared" ref="F886:F949" si="15">+F885+E886-D886</f>
        <v>38151301.120000035</v>
      </c>
    </row>
    <row r="887" spans="1:6" x14ac:dyDescent="0.2">
      <c r="A887" s="3">
        <v>45617</v>
      </c>
      <c r="B887" s="45"/>
      <c r="C887" s="17" t="s">
        <v>16</v>
      </c>
      <c r="D887" s="18">
        <v>51065.45</v>
      </c>
      <c r="E887" s="19"/>
      <c r="F887" s="15">
        <f t="shared" si="15"/>
        <v>38100235.670000032</v>
      </c>
    </row>
    <row r="888" spans="1:6" x14ac:dyDescent="0.2">
      <c r="A888" s="3">
        <v>45617</v>
      </c>
      <c r="B888" s="45"/>
      <c r="C888" s="17" t="s">
        <v>22</v>
      </c>
      <c r="D888" s="18">
        <v>1163.06</v>
      </c>
      <c r="E888" s="19"/>
      <c r="F888" s="15">
        <f t="shared" si="15"/>
        <v>38099072.610000029</v>
      </c>
    </row>
    <row r="889" spans="1:6" x14ac:dyDescent="0.2">
      <c r="A889" s="3">
        <v>45618</v>
      </c>
      <c r="B889" s="43">
        <v>2120</v>
      </c>
      <c r="C889" s="20" t="s">
        <v>76</v>
      </c>
      <c r="D889" s="18">
        <v>600701</v>
      </c>
      <c r="E889" s="19"/>
      <c r="F889" s="15">
        <f t="shared" si="15"/>
        <v>37498371.610000029</v>
      </c>
    </row>
    <row r="890" spans="1:6" x14ac:dyDescent="0.2">
      <c r="A890" s="3">
        <v>45618</v>
      </c>
      <c r="B890" s="43">
        <v>3120694</v>
      </c>
      <c r="C890" s="20" t="s">
        <v>182</v>
      </c>
      <c r="D890" s="19"/>
      <c r="E890" s="18">
        <v>42068</v>
      </c>
      <c r="F890" s="15">
        <f t="shared" si="15"/>
        <v>37540439.610000029</v>
      </c>
    </row>
    <row r="891" spans="1:6" x14ac:dyDescent="0.2">
      <c r="A891" s="3">
        <v>45618</v>
      </c>
      <c r="B891" s="43">
        <v>537767</v>
      </c>
      <c r="C891" s="20" t="s">
        <v>183</v>
      </c>
      <c r="D891" s="19"/>
      <c r="E891" s="18">
        <v>5000</v>
      </c>
      <c r="F891" s="15">
        <f t="shared" si="15"/>
        <v>37545439.610000029</v>
      </c>
    </row>
    <row r="892" spans="1:6" x14ac:dyDescent="0.2">
      <c r="A892" s="3">
        <v>45618</v>
      </c>
      <c r="B892" s="43">
        <v>94391912</v>
      </c>
      <c r="C892" s="20" t="s">
        <v>184</v>
      </c>
      <c r="D892" s="18">
        <v>904354</v>
      </c>
      <c r="E892" s="19"/>
      <c r="F892" s="15">
        <f t="shared" si="15"/>
        <v>36641085.610000029</v>
      </c>
    </row>
    <row r="893" spans="1:6" x14ac:dyDescent="0.2">
      <c r="A893" s="3">
        <v>45618</v>
      </c>
      <c r="B893" s="43">
        <v>94391916</v>
      </c>
      <c r="C893" s="20" t="s">
        <v>185</v>
      </c>
      <c r="D893" s="18">
        <v>117500</v>
      </c>
      <c r="E893" s="19"/>
      <c r="F893" s="15">
        <f t="shared" si="15"/>
        <v>36523585.610000029</v>
      </c>
    </row>
    <row r="894" spans="1:6" x14ac:dyDescent="0.2">
      <c r="A894" s="3">
        <v>45618</v>
      </c>
      <c r="B894" s="43">
        <v>94391917</v>
      </c>
      <c r="C894" s="20" t="s">
        <v>186</v>
      </c>
      <c r="D894" s="18">
        <v>180000</v>
      </c>
      <c r="E894" s="19"/>
      <c r="F894" s="15">
        <f t="shared" si="15"/>
        <v>36343585.610000029</v>
      </c>
    </row>
    <row r="895" spans="1:6" x14ac:dyDescent="0.2">
      <c r="A895" s="3">
        <v>45618</v>
      </c>
      <c r="B895" s="43">
        <v>94391920</v>
      </c>
      <c r="C895" s="20" t="s">
        <v>187</v>
      </c>
      <c r="D895" s="18">
        <v>293062</v>
      </c>
      <c r="E895" s="19"/>
      <c r="F895" s="15">
        <f t="shared" si="15"/>
        <v>36050523.610000029</v>
      </c>
    </row>
    <row r="896" spans="1:6" x14ac:dyDescent="0.2">
      <c r="A896" s="3">
        <v>45618</v>
      </c>
      <c r="B896" s="43">
        <v>94391926</v>
      </c>
      <c r="C896" s="20" t="s">
        <v>188</v>
      </c>
      <c r="D896" s="18">
        <v>817046.37</v>
      </c>
      <c r="E896" s="19"/>
      <c r="F896" s="15">
        <f t="shared" si="15"/>
        <v>35233477.240000032</v>
      </c>
    </row>
    <row r="897" spans="1:6" x14ac:dyDescent="0.2">
      <c r="A897" s="3">
        <v>45618</v>
      </c>
      <c r="B897" s="45"/>
      <c r="C897" s="17" t="s">
        <v>22</v>
      </c>
      <c r="D897" s="18">
        <v>252.41</v>
      </c>
      <c r="E897" s="19"/>
      <c r="F897" s="15">
        <f t="shared" si="15"/>
        <v>35233224.830000035</v>
      </c>
    </row>
    <row r="898" spans="1:6" x14ac:dyDescent="0.2">
      <c r="A898" s="3">
        <v>45618</v>
      </c>
      <c r="B898" s="45"/>
      <c r="C898" s="17" t="s">
        <v>16</v>
      </c>
      <c r="D898" s="18">
        <v>17475.98</v>
      </c>
      <c r="E898" s="19"/>
      <c r="F898" s="15">
        <f t="shared" si="15"/>
        <v>35215748.850000039</v>
      </c>
    </row>
    <row r="899" spans="1:6" x14ac:dyDescent="0.2">
      <c r="A899" s="3">
        <v>45621</v>
      </c>
      <c r="B899" s="43">
        <v>31896</v>
      </c>
      <c r="C899" s="20" t="s">
        <v>98</v>
      </c>
      <c r="D899" s="18">
        <v>50000</v>
      </c>
      <c r="E899" s="19"/>
      <c r="F899" s="15">
        <f t="shared" si="15"/>
        <v>35165748.850000039</v>
      </c>
    </row>
    <row r="900" spans="1:6" x14ac:dyDescent="0.2">
      <c r="A900" s="3">
        <v>45621</v>
      </c>
      <c r="B900" s="43">
        <v>31895</v>
      </c>
      <c r="C900" s="20" t="s">
        <v>28</v>
      </c>
      <c r="D900" s="18">
        <v>50000</v>
      </c>
      <c r="E900" s="19"/>
      <c r="F900" s="15">
        <f t="shared" si="15"/>
        <v>35115748.850000039</v>
      </c>
    </row>
    <row r="901" spans="1:6" x14ac:dyDescent="0.2">
      <c r="A901" s="3">
        <v>45621</v>
      </c>
      <c r="B901" s="43">
        <v>31897</v>
      </c>
      <c r="C901" s="20" t="s">
        <v>189</v>
      </c>
      <c r="D901" s="18">
        <v>50000</v>
      </c>
      <c r="E901" s="19"/>
      <c r="F901" s="15">
        <f t="shared" si="15"/>
        <v>35065748.850000039</v>
      </c>
    </row>
    <row r="902" spans="1:6" x14ac:dyDescent="0.2">
      <c r="A902" s="3">
        <v>45621</v>
      </c>
      <c r="B902" s="43">
        <v>31898</v>
      </c>
      <c r="C902" s="20" t="s">
        <v>98</v>
      </c>
      <c r="D902" s="18">
        <v>50000</v>
      </c>
      <c r="E902" s="19"/>
      <c r="F902" s="15">
        <f t="shared" si="15"/>
        <v>35015748.850000039</v>
      </c>
    </row>
    <row r="903" spans="1:6" x14ac:dyDescent="0.2">
      <c r="A903" s="3">
        <v>45621</v>
      </c>
      <c r="B903" s="43">
        <v>31884</v>
      </c>
      <c r="C903" s="17" t="s">
        <v>12</v>
      </c>
      <c r="D903" s="18">
        <v>1000000</v>
      </c>
      <c r="E903" s="19"/>
      <c r="F903" s="15">
        <f t="shared" si="15"/>
        <v>34015748.850000039</v>
      </c>
    </row>
    <row r="904" spans="1:6" x14ac:dyDescent="0.2">
      <c r="A904" s="3">
        <v>45621</v>
      </c>
      <c r="B904" s="45"/>
      <c r="C904" s="17" t="s">
        <v>16</v>
      </c>
      <c r="D904" s="18">
        <v>6600</v>
      </c>
      <c r="E904" s="19"/>
      <c r="F904" s="15">
        <f t="shared" si="15"/>
        <v>34009148.850000039</v>
      </c>
    </row>
    <row r="905" spans="1:6" x14ac:dyDescent="0.2">
      <c r="A905" s="3">
        <v>45621</v>
      </c>
      <c r="B905" s="51"/>
      <c r="C905" s="58" t="s">
        <v>34</v>
      </c>
      <c r="D905" s="48">
        <v>1200</v>
      </c>
      <c r="E905" s="49"/>
      <c r="F905" s="15">
        <f t="shared" si="15"/>
        <v>34007948.850000039</v>
      </c>
    </row>
    <row r="906" spans="1:6" x14ac:dyDescent="0.2">
      <c r="A906" s="3">
        <v>45622</v>
      </c>
      <c r="B906" s="44">
        <v>31798</v>
      </c>
      <c r="C906" s="59" t="s">
        <v>9</v>
      </c>
      <c r="D906" s="31">
        <v>579308.73</v>
      </c>
      <c r="E906" s="24"/>
      <c r="F906" s="15">
        <f t="shared" si="15"/>
        <v>33428640.120000038</v>
      </c>
    </row>
    <row r="907" spans="1:6" x14ac:dyDescent="0.2">
      <c r="A907" s="3">
        <v>45622</v>
      </c>
      <c r="B907" s="45"/>
      <c r="C907" s="20" t="s">
        <v>103</v>
      </c>
      <c r="D907" s="18">
        <v>2000</v>
      </c>
      <c r="E907" s="19"/>
      <c r="F907" s="15">
        <f t="shared" si="15"/>
        <v>33426640.120000038</v>
      </c>
    </row>
    <row r="908" spans="1:6" x14ac:dyDescent="0.2">
      <c r="A908" s="3">
        <v>45622</v>
      </c>
      <c r="B908" s="45"/>
      <c r="C908" s="17" t="s">
        <v>8</v>
      </c>
      <c r="D908" s="18">
        <v>420</v>
      </c>
      <c r="E908" s="19"/>
      <c r="F908" s="15">
        <f t="shared" si="15"/>
        <v>33426220.120000038</v>
      </c>
    </row>
    <row r="909" spans="1:6" x14ac:dyDescent="0.2">
      <c r="A909" s="3">
        <v>45622</v>
      </c>
      <c r="B909" s="45"/>
      <c r="C909" s="17" t="s">
        <v>37</v>
      </c>
      <c r="D909" s="18">
        <v>60</v>
      </c>
      <c r="E909" s="19"/>
      <c r="F909" s="15">
        <f t="shared" si="15"/>
        <v>33426160.120000038</v>
      </c>
    </row>
    <row r="910" spans="1:6" x14ac:dyDescent="0.2">
      <c r="A910" s="3">
        <v>45622</v>
      </c>
      <c r="B910" s="43">
        <v>912633</v>
      </c>
      <c r="C910" s="20" t="s">
        <v>10</v>
      </c>
      <c r="D910" s="25"/>
      <c r="E910" s="25">
        <v>20000000</v>
      </c>
      <c r="F910" s="15">
        <f t="shared" si="15"/>
        <v>53426160.120000035</v>
      </c>
    </row>
    <row r="911" spans="1:6" x14ac:dyDescent="0.2">
      <c r="A911" s="3">
        <v>45622</v>
      </c>
      <c r="B911" s="43">
        <v>909958</v>
      </c>
      <c r="C911" s="20" t="s">
        <v>10</v>
      </c>
      <c r="D911" s="25"/>
      <c r="E911" s="25">
        <v>20000000</v>
      </c>
      <c r="F911" s="15">
        <f t="shared" si="15"/>
        <v>73426160.120000035</v>
      </c>
    </row>
    <row r="912" spans="1:6" x14ac:dyDescent="0.2">
      <c r="A912" s="3">
        <v>45622</v>
      </c>
      <c r="B912" s="43">
        <v>977564</v>
      </c>
      <c r="C912" s="20" t="s">
        <v>10</v>
      </c>
      <c r="D912" s="25"/>
      <c r="E912" s="25">
        <v>20000000</v>
      </c>
      <c r="F912" s="15">
        <f t="shared" si="15"/>
        <v>93426160.120000035</v>
      </c>
    </row>
    <row r="913" spans="1:6" x14ac:dyDescent="0.2">
      <c r="A913" s="3">
        <v>45622</v>
      </c>
      <c r="B913" s="43">
        <v>977624</v>
      </c>
      <c r="C913" s="20" t="s">
        <v>10</v>
      </c>
      <c r="D913" s="25"/>
      <c r="E913" s="25">
        <v>20000000</v>
      </c>
      <c r="F913" s="15">
        <f t="shared" si="15"/>
        <v>113426160.12000003</v>
      </c>
    </row>
    <row r="914" spans="1:6" x14ac:dyDescent="0.2">
      <c r="A914" s="3">
        <v>45622</v>
      </c>
      <c r="B914" s="43">
        <v>912668</v>
      </c>
      <c r="C914" s="20" t="s">
        <v>10</v>
      </c>
      <c r="D914" s="25"/>
      <c r="E914" s="25">
        <v>20000000</v>
      </c>
      <c r="F914" s="15">
        <f t="shared" si="15"/>
        <v>133426160.12000003</v>
      </c>
    </row>
    <row r="915" spans="1:6" x14ac:dyDescent="0.2">
      <c r="A915" s="3">
        <v>45622</v>
      </c>
      <c r="B915" s="43">
        <v>13967772</v>
      </c>
      <c r="C915" s="20" t="s">
        <v>84</v>
      </c>
      <c r="D915" s="18">
        <v>3391000</v>
      </c>
      <c r="E915" s="19"/>
      <c r="F915" s="15">
        <f t="shared" si="15"/>
        <v>130035160.12000003</v>
      </c>
    </row>
    <row r="916" spans="1:6" x14ac:dyDescent="0.2">
      <c r="A916" s="3">
        <v>45622</v>
      </c>
      <c r="B916" s="43">
        <v>13967773</v>
      </c>
      <c r="C916" s="20" t="s">
        <v>84</v>
      </c>
      <c r="D916" s="18">
        <v>744902</v>
      </c>
      <c r="E916" s="19"/>
      <c r="F916" s="15">
        <f t="shared" si="15"/>
        <v>129290258.12000003</v>
      </c>
    </row>
    <row r="917" spans="1:6" x14ac:dyDescent="0.2">
      <c r="A917" s="3">
        <v>45622</v>
      </c>
      <c r="B917" s="43">
        <v>13967774</v>
      </c>
      <c r="C917" s="20" t="s">
        <v>84</v>
      </c>
      <c r="D917" s="18">
        <v>2185986</v>
      </c>
      <c r="E917" s="19"/>
      <c r="F917" s="15">
        <f t="shared" si="15"/>
        <v>127104272.12000003</v>
      </c>
    </row>
    <row r="918" spans="1:6" x14ac:dyDescent="0.2">
      <c r="A918" s="3">
        <v>45622</v>
      </c>
      <c r="B918" s="43">
        <v>13967775</v>
      </c>
      <c r="C918" s="20" t="s">
        <v>84</v>
      </c>
      <c r="D918" s="18">
        <v>1193600</v>
      </c>
      <c r="E918" s="19"/>
      <c r="F918" s="15">
        <f t="shared" si="15"/>
        <v>125910672.12000003</v>
      </c>
    </row>
    <row r="919" spans="1:6" x14ac:dyDescent="0.2">
      <c r="A919" s="3">
        <v>45622</v>
      </c>
      <c r="B919" s="43">
        <v>13967776</v>
      </c>
      <c r="C919" s="20" t="s">
        <v>84</v>
      </c>
      <c r="D919" s="18">
        <v>737225.34</v>
      </c>
      <c r="E919" s="19"/>
      <c r="F919" s="15">
        <f t="shared" si="15"/>
        <v>125173446.78000003</v>
      </c>
    </row>
    <row r="920" spans="1:6" x14ac:dyDescent="0.2">
      <c r="A920" s="3">
        <v>45622</v>
      </c>
      <c r="B920" s="43">
        <v>13967777</v>
      </c>
      <c r="C920" s="20" t="s">
        <v>84</v>
      </c>
      <c r="D920" s="18">
        <v>200000</v>
      </c>
      <c r="E920" s="19"/>
      <c r="F920" s="15">
        <f t="shared" si="15"/>
        <v>124973446.78000003</v>
      </c>
    </row>
    <row r="921" spans="1:6" x14ac:dyDescent="0.2">
      <c r="A921" s="3">
        <v>45622</v>
      </c>
      <c r="B921" s="43">
        <v>13967778</v>
      </c>
      <c r="C921" s="20" t="s">
        <v>84</v>
      </c>
      <c r="D921" s="18">
        <v>5517475</v>
      </c>
      <c r="E921" s="19"/>
      <c r="F921" s="15">
        <f t="shared" si="15"/>
        <v>119455971.78000003</v>
      </c>
    </row>
    <row r="922" spans="1:6" x14ac:dyDescent="0.2">
      <c r="A922" s="3">
        <v>45622</v>
      </c>
      <c r="B922" s="43">
        <v>13967779</v>
      </c>
      <c r="C922" s="20" t="s">
        <v>84</v>
      </c>
      <c r="D922" s="18">
        <v>187500</v>
      </c>
      <c r="E922" s="19"/>
      <c r="F922" s="15">
        <f t="shared" si="15"/>
        <v>119268471.78000003</v>
      </c>
    </row>
    <row r="923" spans="1:6" x14ac:dyDescent="0.2">
      <c r="A923" s="3">
        <v>45622</v>
      </c>
      <c r="B923" s="43">
        <v>13967780</v>
      </c>
      <c r="C923" s="20" t="s">
        <v>84</v>
      </c>
      <c r="D923" s="18">
        <v>627750</v>
      </c>
      <c r="E923" s="19"/>
      <c r="F923" s="15">
        <f t="shared" si="15"/>
        <v>118640721.78000003</v>
      </c>
    </row>
    <row r="924" spans="1:6" x14ac:dyDescent="0.2">
      <c r="A924" s="3">
        <v>45622</v>
      </c>
      <c r="B924" s="43">
        <v>13967781</v>
      </c>
      <c r="C924" s="20" t="s">
        <v>84</v>
      </c>
      <c r="D924" s="18">
        <v>2377519.23</v>
      </c>
      <c r="E924" s="19"/>
      <c r="F924" s="15">
        <f t="shared" si="15"/>
        <v>116263202.55000003</v>
      </c>
    </row>
    <row r="925" spans="1:6" x14ac:dyDescent="0.2">
      <c r="A925" s="3">
        <v>45622</v>
      </c>
      <c r="B925" s="43">
        <v>13967782</v>
      </c>
      <c r="C925" s="20" t="s">
        <v>84</v>
      </c>
      <c r="D925" s="18">
        <v>718200</v>
      </c>
      <c r="E925" s="19"/>
      <c r="F925" s="15">
        <f t="shared" si="15"/>
        <v>115545002.55000003</v>
      </c>
    </row>
    <row r="926" spans="1:6" x14ac:dyDescent="0.2">
      <c r="A926" s="3">
        <v>45622</v>
      </c>
      <c r="B926" s="43">
        <v>13967783</v>
      </c>
      <c r="C926" s="20" t="s">
        <v>84</v>
      </c>
      <c r="D926" s="18">
        <v>2085000</v>
      </c>
      <c r="E926" s="19"/>
      <c r="F926" s="15">
        <f t="shared" si="15"/>
        <v>113460002.55000003</v>
      </c>
    </row>
    <row r="927" spans="1:6" x14ac:dyDescent="0.2">
      <c r="A927" s="3">
        <v>45622</v>
      </c>
      <c r="B927" s="43">
        <v>13967784</v>
      </c>
      <c r="C927" s="20" t="s">
        <v>84</v>
      </c>
      <c r="D927" s="18">
        <v>75000</v>
      </c>
      <c r="E927" s="19"/>
      <c r="F927" s="15">
        <f t="shared" si="15"/>
        <v>113385002.55000003</v>
      </c>
    </row>
    <row r="928" spans="1:6" x14ac:dyDescent="0.2">
      <c r="A928" s="3">
        <v>45622</v>
      </c>
      <c r="B928" s="46">
        <v>13967785</v>
      </c>
      <c r="C928" s="56" t="s">
        <v>84</v>
      </c>
      <c r="D928" s="48">
        <v>134400</v>
      </c>
      <c r="E928" s="49"/>
      <c r="F928" s="15">
        <f t="shared" si="15"/>
        <v>113250602.55000003</v>
      </c>
    </row>
    <row r="929" spans="1:6" x14ac:dyDescent="0.2">
      <c r="A929" s="3">
        <v>45622</v>
      </c>
      <c r="B929" s="44">
        <v>13967786</v>
      </c>
      <c r="C929" s="57" t="s">
        <v>84</v>
      </c>
      <c r="D929" s="23">
        <v>733780</v>
      </c>
      <c r="E929" s="24"/>
      <c r="F929" s="15">
        <f t="shared" si="15"/>
        <v>112516822.55000003</v>
      </c>
    </row>
    <row r="930" spans="1:6" x14ac:dyDescent="0.2">
      <c r="A930" s="3">
        <v>45622</v>
      </c>
      <c r="B930" s="43">
        <v>13967787</v>
      </c>
      <c r="C930" s="20" t="s">
        <v>84</v>
      </c>
      <c r="D930" s="18">
        <v>131100</v>
      </c>
      <c r="E930" s="19"/>
      <c r="F930" s="15">
        <f t="shared" si="15"/>
        <v>112385722.55000003</v>
      </c>
    </row>
    <row r="931" spans="1:6" x14ac:dyDescent="0.2">
      <c r="A931" s="3">
        <v>45622</v>
      </c>
      <c r="B931" s="43">
        <v>13967788</v>
      </c>
      <c r="C931" s="20" t="s">
        <v>84</v>
      </c>
      <c r="D931" s="18">
        <v>881350</v>
      </c>
      <c r="E931" s="19"/>
      <c r="F931" s="15">
        <f t="shared" si="15"/>
        <v>111504372.55000003</v>
      </c>
    </row>
    <row r="932" spans="1:6" x14ac:dyDescent="0.2">
      <c r="A932" s="3">
        <v>45622</v>
      </c>
      <c r="B932" s="43">
        <v>13967789</v>
      </c>
      <c r="C932" s="20" t="s">
        <v>84</v>
      </c>
      <c r="D932" s="18">
        <v>191425</v>
      </c>
      <c r="E932" s="19"/>
      <c r="F932" s="15">
        <f t="shared" si="15"/>
        <v>111312947.55000003</v>
      </c>
    </row>
    <row r="933" spans="1:6" x14ac:dyDescent="0.2">
      <c r="A933" s="3">
        <v>45622</v>
      </c>
      <c r="B933" s="43">
        <v>13967790</v>
      </c>
      <c r="C933" s="20" t="s">
        <v>84</v>
      </c>
      <c r="D933" s="18">
        <v>613920</v>
      </c>
      <c r="E933" s="19"/>
      <c r="F933" s="15">
        <f t="shared" si="15"/>
        <v>110699027.55000003</v>
      </c>
    </row>
    <row r="934" spans="1:6" x14ac:dyDescent="0.2">
      <c r="A934" s="3">
        <v>45622</v>
      </c>
      <c r="B934" s="43">
        <v>13967791</v>
      </c>
      <c r="C934" s="20" t="s">
        <v>84</v>
      </c>
      <c r="D934" s="18">
        <v>180000</v>
      </c>
      <c r="E934" s="19"/>
      <c r="F934" s="15">
        <f t="shared" si="15"/>
        <v>110519027.55000003</v>
      </c>
    </row>
    <row r="935" spans="1:6" x14ac:dyDescent="0.2">
      <c r="A935" s="3">
        <v>45622</v>
      </c>
      <c r="B935" s="43">
        <v>13967792</v>
      </c>
      <c r="C935" s="20" t="s">
        <v>84</v>
      </c>
      <c r="D935" s="18">
        <v>192000</v>
      </c>
      <c r="E935" s="19"/>
      <c r="F935" s="15">
        <f t="shared" si="15"/>
        <v>110327027.55000003</v>
      </c>
    </row>
    <row r="936" spans="1:6" x14ac:dyDescent="0.2">
      <c r="A936" s="3">
        <v>45622</v>
      </c>
      <c r="B936" s="43">
        <v>13967793</v>
      </c>
      <c r="C936" s="20" t="s">
        <v>84</v>
      </c>
      <c r="D936" s="18">
        <v>683558</v>
      </c>
      <c r="E936" s="19"/>
      <c r="F936" s="15">
        <f t="shared" si="15"/>
        <v>109643469.55000003</v>
      </c>
    </row>
    <row r="937" spans="1:6" x14ac:dyDescent="0.2">
      <c r="A937" s="3">
        <v>45622</v>
      </c>
      <c r="B937" s="43">
        <v>13967794</v>
      </c>
      <c r="C937" s="20" t="s">
        <v>84</v>
      </c>
      <c r="D937" s="18">
        <v>91620</v>
      </c>
      <c r="E937" s="19"/>
      <c r="F937" s="15">
        <f t="shared" si="15"/>
        <v>109551849.55000003</v>
      </c>
    </row>
    <row r="938" spans="1:6" x14ac:dyDescent="0.2">
      <c r="A938" s="3">
        <v>45622</v>
      </c>
      <c r="B938" s="43">
        <v>13967795</v>
      </c>
      <c r="C938" s="20" t="s">
        <v>84</v>
      </c>
      <c r="D938" s="18">
        <v>1300000</v>
      </c>
      <c r="E938" s="19"/>
      <c r="F938" s="15">
        <f t="shared" si="15"/>
        <v>108251849.55000003</v>
      </c>
    </row>
    <row r="939" spans="1:6" x14ac:dyDescent="0.2">
      <c r="A939" s="3">
        <v>45622</v>
      </c>
      <c r="B939" s="43">
        <v>13967796</v>
      </c>
      <c r="C939" s="20" t="s">
        <v>84</v>
      </c>
      <c r="D939" s="18">
        <v>200896</v>
      </c>
      <c r="E939" s="19"/>
      <c r="F939" s="15">
        <f t="shared" si="15"/>
        <v>108050953.55000003</v>
      </c>
    </row>
    <row r="940" spans="1:6" x14ac:dyDescent="0.2">
      <c r="A940" s="3">
        <v>45622</v>
      </c>
      <c r="B940" s="43">
        <v>13967797</v>
      </c>
      <c r="C940" s="20" t="s">
        <v>84</v>
      </c>
      <c r="D940" s="18">
        <v>640000</v>
      </c>
      <c r="E940" s="19"/>
      <c r="F940" s="15">
        <f t="shared" si="15"/>
        <v>107410953.55000003</v>
      </c>
    </row>
    <row r="941" spans="1:6" x14ac:dyDescent="0.2">
      <c r="A941" s="3">
        <v>45622</v>
      </c>
      <c r="B941" s="43">
        <v>13967798</v>
      </c>
      <c r="C941" s="20" t="s">
        <v>84</v>
      </c>
      <c r="D941" s="18">
        <v>2127500</v>
      </c>
      <c r="E941" s="19"/>
      <c r="F941" s="15">
        <f t="shared" si="15"/>
        <v>105283453.55000003</v>
      </c>
    </row>
    <row r="942" spans="1:6" x14ac:dyDescent="0.2">
      <c r="A942" s="3">
        <v>45622</v>
      </c>
      <c r="B942" s="43">
        <v>13967799</v>
      </c>
      <c r="C942" s="20" t="s">
        <v>84</v>
      </c>
      <c r="D942" s="18">
        <v>300000</v>
      </c>
      <c r="E942" s="19"/>
      <c r="F942" s="15">
        <f t="shared" si="15"/>
        <v>104983453.55000003</v>
      </c>
    </row>
    <row r="943" spans="1:6" x14ac:dyDescent="0.2">
      <c r="A943" s="3">
        <v>45622</v>
      </c>
      <c r="B943" s="43">
        <v>13967800</v>
      </c>
      <c r="C943" s="20" t="s">
        <v>84</v>
      </c>
      <c r="D943" s="18">
        <v>1390280.92</v>
      </c>
      <c r="E943" s="19"/>
      <c r="F943" s="15">
        <f t="shared" si="15"/>
        <v>103593172.63000003</v>
      </c>
    </row>
    <row r="944" spans="1:6" x14ac:dyDescent="0.2">
      <c r="A944" s="3">
        <v>45622</v>
      </c>
      <c r="B944" s="43">
        <v>13967801</v>
      </c>
      <c r="C944" s="20" t="s">
        <v>84</v>
      </c>
      <c r="D944" s="18">
        <v>538480</v>
      </c>
      <c r="E944" s="19"/>
      <c r="F944" s="15">
        <f t="shared" si="15"/>
        <v>103054692.63000003</v>
      </c>
    </row>
    <row r="945" spans="1:6" x14ac:dyDescent="0.2">
      <c r="A945" s="3">
        <v>45622</v>
      </c>
      <c r="B945" s="43">
        <v>13967802</v>
      </c>
      <c r="C945" s="20" t="s">
        <v>84</v>
      </c>
      <c r="D945" s="18">
        <v>2488250</v>
      </c>
      <c r="E945" s="19"/>
      <c r="F945" s="15">
        <f t="shared" si="15"/>
        <v>100566442.63000003</v>
      </c>
    </row>
    <row r="946" spans="1:6" x14ac:dyDescent="0.2">
      <c r="A946" s="3">
        <v>45622</v>
      </c>
      <c r="B946" s="43">
        <v>13967803</v>
      </c>
      <c r="C946" s="20" t="s">
        <v>84</v>
      </c>
      <c r="D946" s="18">
        <v>1281700</v>
      </c>
      <c r="E946" s="19"/>
      <c r="F946" s="15">
        <f t="shared" si="15"/>
        <v>99284742.630000025</v>
      </c>
    </row>
    <row r="947" spans="1:6" x14ac:dyDescent="0.2">
      <c r="A947" s="3">
        <v>45622</v>
      </c>
      <c r="B947" s="43">
        <v>13967804</v>
      </c>
      <c r="C947" s="20" t="s">
        <v>84</v>
      </c>
      <c r="D947" s="18">
        <v>2448150</v>
      </c>
      <c r="E947" s="19"/>
      <c r="F947" s="15">
        <f t="shared" si="15"/>
        <v>96836592.630000025</v>
      </c>
    </row>
    <row r="948" spans="1:6" x14ac:dyDescent="0.2">
      <c r="A948" s="3">
        <v>45622</v>
      </c>
      <c r="B948" s="43">
        <v>13967805</v>
      </c>
      <c r="C948" s="20" t="s">
        <v>84</v>
      </c>
      <c r="D948" s="18">
        <v>2310750</v>
      </c>
      <c r="E948" s="19"/>
      <c r="F948" s="15">
        <f t="shared" si="15"/>
        <v>94525842.630000025</v>
      </c>
    </row>
    <row r="949" spans="1:6" x14ac:dyDescent="0.2">
      <c r="A949" s="3">
        <v>45622</v>
      </c>
      <c r="B949" s="43">
        <v>13967806</v>
      </c>
      <c r="C949" s="20" t="s">
        <v>84</v>
      </c>
      <c r="D949" s="18">
        <v>600000</v>
      </c>
      <c r="E949" s="19"/>
      <c r="F949" s="15">
        <f t="shared" si="15"/>
        <v>93925842.630000025</v>
      </c>
    </row>
    <row r="950" spans="1:6" x14ac:dyDescent="0.2">
      <c r="A950" s="3">
        <v>45622</v>
      </c>
      <c r="B950" s="43">
        <v>13967807</v>
      </c>
      <c r="C950" s="20" t="s">
        <v>84</v>
      </c>
      <c r="D950" s="18">
        <v>1126533.8400000001</v>
      </c>
      <c r="E950" s="19"/>
      <c r="F950" s="15">
        <f t="shared" ref="F950:F1013" si="16">+F949+E950-D950</f>
        <v>92799308.790000021</v>
      </c>
    </row>
    <row r="951" spans="1:6" x14ac:dyDescent="0.2">
      <c r="A951" s="3">
        <v>45622</v>
      </c>
      <c r="B951" s="46">
        <v>13967808</v>
      </c>
      <c r="C951" s="56" t="s">
        <v>84</v>
      </c>
      <c r="D951" s="48">
        <v>231852</v>
      </c>
      <c r="E951" s="49"/>
      <c r="F951" s="15">
        <f t="shared" si="16"/>
        <v>92567456.790000021</v>
      </c>
    </row>
    <row r="952" spans="1:6" x14ac:dyDescent="0.2">
      <c r="A952" s="3">
        <v>45622</v>
      </c>
      <c r="B952" s="44">
        <v>13967809</v>
      </c>
      <c r="C952" s="57" t="s">
        <v>84</v>
      </c>
      <c r="D952" s="23">
        <v>28500</v>
      </c>
      <c r="E952" s="24"/>
      <c r="F952" s="15">
        <f t="shared" si="16"/>
        <v>92538956.790000021</v>
      </c>
    </row>
    <row r="953" spans="1:6" x14ac:dyDescent="0.2">
      <c r="A953" s="3">
        <v>45622</v>
      </c>
      <c r="B953" s="43">
        <v>13967810</v>
      </c>
      <c r="C953" s="20" t="s">
        <v>84</v>
      </c>
      <c r="D953" s="18">
        <v>45600</v>
      </c>
      <c r="E953" s="19"/>
      <c r="F953" s="15">
        <f t="shared" si="16"/>
        <v>92493356.790000021</v>
      </c>
    </row>
    <row r="954" spans="1:6" x14ac:dyDescent="0.2">
      <c r="A954" s="3">
        <v>45622</v>
      </c>
      <c r="B954" s="43">
        <v>13967811</v>
      </c>
      <c r="C954" s="20" t="s">
        <v>84</v>
      </c>
      <c r="D954" s="18">
        <v>19000</v>
      </c>
      <c r="E954" s="19"/>
      <c r="F954" s="15">
        <f t="shared" si="16"/>
        <v>92474356.790000021</v>
      </c>
    </row>
    <row r="955" spans="1:6" x14ac:dyDescent="0.2">
      <c r="A955" s="3">
        <v>45622</v>
      </c>
      <c r="B955" s="43">
        <v>13967812</v>
      </c>
      <c r="C955" s="20" t="s">
        <v>84</v>
      </c>
      <c r="D955" s="18">
        <v>267900</v>
      </c>
      <c r="E955" s="19"/>
      <c r="F955" s="15">
        <f t="shared" si="16"/>
        <v>92206456.790000021</v>
      </c>
    </row>
    <row r="956" spans="1:6" x14ac:dyDescent="0.2">
      <c r="A956" s="3">
        <v>45622</v>
      </c>
      <c r="B956" s="43">
        <v>13967813</v>
      </c>
      <c r="C956" s="20" t="s">
        <v>84</v>
      </c>
      <c r="D956" s="18">
        <v>300000</v>
      </c>
      <c r="E956" s="19"/>
      <c r="F956" s="15">
        <f t="shared" si="16"/>
        <v>91906456.790000021</v>
      </c>
    </row>
    <row r="957" spans="1:6" x14ac:dyDescent="0.2">
      <c r="A957" s="3">
        <v>45622</v>
      </c>
      <c r="B957" s="43">
        <v>13967814</v>
      </c>
      <c r="C957" s="20" t="s">
        <v>84</v>
      </c>
      <c r="D957" s="18">
        <v>1311600</v>
      </c>
      <c r="E957" s="19"/>
      <c r="F957" s="15">
        <f t="shared" si="16"/>
        <v>90594856.790000021</v>
      </c>
    </row>
    <row r="958" spans="1:6" x14ac:dyDescent="0.2">
      <c r="A958" s="3">
        <v>45622</v>
      </c>
      <c r="B958" s="43">
        <v>13967815</v>
      </c>
      <c r="C958" s="20" t="s">
        <v>84</v>
      </c>
      <c r="D958" s="18">
        <v>1035500</v>
      </c>
      <c r="E958" s="19"/>
      <c r="F958" s="15">
        <f t="shared" si="16"/>
        <v>89559356.790000021</v>
      </c>
    </row>
    <row r="959" spans="1:6" x14ac:dyDescent="0.2">
      <c r="A959" s="3">
        <v>45622</v>
      </c>
      <c r="B959" s="43">
        <v>13967816</v>
      </c>
      <c r="C959" s="20" t="s">
        <v>84</v>
      </c>
      <c r="D959" s="18">
        <v>66500</v>
      </c>
      <c r="E959" s="19"/>
      <c r="F959" s="15">
        <f t="shared" si="16"/>
        <v>89492856.790000021</v>
      </c>
    </row>
    <row r="960" spans="1:6" x14ac:dyDescent="0.2">
      <c r="A960" s="3">
        <v>45622</v>
      </c>
      <c r="B960" s="43">
        <v>13967817</v>
      </c>
      <c r="C960" s="20" t="s">
        <v>84</v>
      </c>
      <c r="D960" s="18">
        <v>242000</v>
      </c>
      <c r="E960" s="19"/>
      <c r="F960" s="15">
        <f t="shared" si="16"/>
        <v>89250856.790000021</v>
      </c>
    </row>
    <row r="961" spans="1:6" x14ac:dyDescent="0.2">
      <c r="A961" s="3">
        <v>45622</v>
      </c>
      <c r="B961" s="43">
        <v>13967818</v>
      </c>
      <c r="C961" s="20" t="s">
        <v>84</v>
      </c>
      <c r="D961" s="18">
        <v>1049275</v>
      </c>
      <c r="E961" s="19"/>
      <c r="F961" s="15">
        <f t="shared" si="16"/>
        <v>88201581.790000021</v>
      </c>
    </row>
    <row r="962" spans="1:6" x14ac:dyDescent="0.2">
      <c r="A962" s="3">
        <v>45622</v>
      </c>
      <c r="B962" s="43">
        <v>13967819</v>
      </c>
      <c r="C962" s="20" t="s">
        <v>84</v>
      </c>
      <c r="D962" s="18">
        <v>443520</v>
      </c>
      <c r="E962" s="19"/>
      <c r="F962" s="15">
        <f t="shared" si="16"/>
        <v>87758061.790000021</v>
      </c>
    </row>
    <row r="963" spans="1:6" x14ac:dyDescent="0.2">
      <c r="A963" s="3">
        <v>45622</v>
      </c>
      <c r="B963" s="43">
        <v>13967820</v>
      </c>
      <c r="C963" s="20" t="s">
        <v>84</v>
      </c>
      <c r="D963" s="18">
        <v>1536799.8</v>
      </c>
      <c r="E963" s="19"/>
      <c r="F963" s="15">
        <f t="shared" si="16"/>
        <v>86221261.990000024</v>
      </c>
    </row>
    <row r="964" spans="1:6" x14ac:dyDescent="0.2">
      <c r="A964" s="3">
        <v>45622</v>
      </c>
      <c r="B964" s="43">
        <v>13967821</v>
      </c>
      <c r="C964" s="20" t="s">
        <v>84</v>
      </c>
      <c r="D964" s="18">
        <v>120000</v>
      </c>
      <c r="E964" s="19"/>
      <c r="F964" s="15">
        <f t="shared" si="16"/>
        <v>86101261.990000024</v>
      </c>
    </row>
    <row r="965" spans="1:6" x14ac:dyDescent="0.2">
      <c r="A965" s="3">
        <v>45622</v>
      </c>
      <c r="B965" s="43">
        <v>13967822</v>
      </c>
      <c r="C965" s="20" t="s">
        <v>84</v>
      </c>
      <c r="D965" s="18">
        <v>780000</v>
      </c>
      <c r="E965" s="19"/>
      <c r="F965" s="15">
        <f t="shared" si="16"/>
        <v>85321261.990000024</v>
      </c>
    </row>
    <row r="966" spans="1:6" x14ac:dyDescent="0.2">
      <c r="A966" s="3">
        <v>45622</v>
      </c>
      <c r="B966" s="43">
        <v>13967823</v>
      </c>
      <c r="C966" s="20" t="s">
        <v>84</v>
      </c>
      <c r="D966" s="18">
        <v>85500</v>
      </c>
      <c r="E966" s="19"/>
      <c r="F966" s="15">
        <f t="shared" si="16"/>
        <v>85235761.990000024</v>
      </c>
    </row>
    <row r="967" spans="1:6" x14ac:dyDescent="0.2">
      <c r="A967" s="3">
        <v>45622</v>
      </c>
      <c r="B967" s="43">
        <v>13967824</v>
      </c>
      <c r="C967" s="20" t="s">
        <v>84</v>
      </c>
      <c r="D967" s="18">
        <v>315500</v>
      </c>
      <c r="E967" s="19"/>
      <c r="F967" s="15">
        <f t="shared" si="16"/>
        <v>84920261.990000024</v>
      </c>
    </row>
    <row r="968" spans="1:6" x14ac:dyDescent="0.2">
      <c r="A968" s="3">
        <v>45622</v>
      </c>
      <c r="B968" s="43">
        <v>13967825</v>
      </c>
      <c r="C968" s="20" t="s">
        <v>84</v>
      </c>
      <c r="D968" s="18">
        <v>1033000</v>
      </c>
      <c r="E968" s="19"/>
      <c r="F968" s="15">
        <f t="shared" si="16"/>
        <v>83887261.990000024</v>
      </c>
    </row>
    <row r="969" spans="1:6" x14ac:dyDescent="0.2">
      <c r="A969" s="3">
        <v>45622</v>
      </c>
      <c r="B969" s="43">
        <v>13967826</v>
      </c>
      <c r="C969" s="20" t="s">
        <v>84</v>
      </c>
      <c r="D969" s="18">
        <v>665000</v>
      </c>
      <c r="E969" s="19"/>
      <c r="F969" s="15">
        <f t="shared" si="16"/>
        <v>83222261.990000024</v>
      </c>
    </row>
    <row r="970" spans="1:6" x14ac:dyDescent="0.2">
      <c r="A970" s="3">
        <v>45622</v>
      </c>
      <c r="B970" s="43">
        <v>13967827</v>
      </c>
      <c r="C970" s="20" t="s">
        <v>84</v>
      </c>
      <c r="D970" s="18">
        <v>528000</v>
      </c>
      <c r="E970" s="19"/>
      <c r="F970" s="15">
        <f t="shared" si="16"/>
        <v>82694261.990000024</v>
      </c>
    </row>
    <row r="971" spans="1:6" x14ac:dyDescent="0.2">
      <c r="A971" s="3">
        <v>45622</v>
      </c>
      <c r="B971" s="43">
        <v>13967828</v>
      </c>
      <c r="C971" s="20" t="s">
        <v>84</v>
      </c>
      <c r="D971" s="18">
        <v>1264200</v>
      </c>
      <c r="E971" s="19"/>
      <c r="F971" s="15">
        <f t="shared" si="16"/>
        <v>81430061.990000024</v>
      </c>
    </row>
    <row r="972" spans="1:6" x14ac:dyDescent="0.2">
      <c r="A972" s="3">
        <v>45622</v>
      </c>
      <c r="B972" s="43">
        <v>13967829</v>
      </c>
      <c r="C972" s="20" t="s">
        <v>84</v>
      </c>
      <c r="D972" s="18">
        <v>38000</v>
      </c>
      <c r="E972" s="19"/>
      <c r="F972" s="15">
        <f t="shared" si="16"/>
        <v>81392061.990000024</v>
      </c>
    </row>
    <row r="973" spans="1:6" x14ac:dyDescent="0.2">
      <c r="A973" s="3">
        <v>45622</v>
      </c>
      <c r="B973" s="43">
        <v>13967830</v>
      </c>
      <c r="C973" s="20" t="s">
        <v>84</v>
      </c>
      <c r="D973" s="18">
        <v>694800</v>
      </c>
      <c r="E973" s="19"/>
      <c r="F973" s="15">
        <f t="shared" si="16"/>
        <v>80697261.990000024</v>
      </c>
    </row>
    <row r="974" spans="1:6" x14ac:dyDescent="0.2">
      <c r="A974" s="3">
        <v>45622</v>
      </c>
      <c r="B974" s="46">
        <v>13967831</v>
      </c>
      <c r="C974" s="56" t="s">
        <v>84</v>
      </c>
      <c r="D974" s="48">
        <v>516000</v>
      </c>
      <c r="E974" s="49"/>
      <c r="F974" s="15">
        <f t="shared" si="16"/>
        <v>80181261.990000024</v>
      </c>
    </row>
    <row r="975" spans="1:6" x14ac:dyDescent="0.2">
      <c r="A975" s="3">
        <v>45622</v>
      </c>
      <c r="B975" s="44">
        <v>13967832</v>
      </c>
      <c r="C975" s="57" t="s">
        <v>84</v>
      </c>
      <c r="D975" s="23">
        <v>342000</v>
      </c>
      <c r="E975" s="24"/>
      <c r="F975" s="15">
        <f t="shared" si="16"/>
        <v>79839261.990000024</v>
      </c>
    </row>
    <row r="976" spans="1:6" x14ac:dyDescent="0.2">
      <c r="A976" s="3">
        <v>45622</v>
      </c>
      <c r="B976" s="43">
        <v>13967833</v>
      </c>
      <c r="C976" s="20" t="s">
        <v>84</v>
      </c>
      <c r="D976" s="18">
        <v>1152188.5</v>
      </c>
      <c r="E976" s="19"/>
      <c r="F976" s="15">
        <f t="shared" si="16"/>
        <v>78687073.490000024</v>
      </c>
    </row>
    <row r="977" spans="1:6" x14ac:dyDescent="0.2">
      <c r="A977" s="3">
        <v>45622</v>
      </c>
      <c r="B977" s="45"/>
      <c r="C977" s="17" t="s">
        <v>88</v>
      </c>
      <c r="D977" s="18">
        <v>25104031.5</v>
      </c>
      <c r="E977" s="19"/>
      <c r="F977" s="15">
        <f t="shared" si="16"/>
        <v>53583041.990000024</v>
      </c>
    </row>
    <row r="978" spans="1:6" x14ac:dyDescent="0.2">
      <c r="A978" s="3">
        <v>45622</v>
      </c>
      <c r="B978" s="45"/>
      <c r="C978" s="17" t="s">
        <v>16</v>
      </c>
      <c r="D978" s="18">
        <v>482549.45</v>
      </c>
      <c r="E978" s="19"/>
      <c r="F978" s="15">
        <f t="shared" si="16"/>
        <v>53100492.540000021</v>
      </c>
    </row>
    <row r="979" spans="1:6" x14ac:dyDescent="0.2">
      <c r="A979" s="3">
        <v>45623</v>
      </c>
      <c r="B979" s="43">
        <v>31797</v>
      </c>
      <c r="C979" s="17" t="s">
        <v>9</v>
      </c>
      <c r="D979" s="18">
        <v>368450.38</v>
      </c>
      <c r="E979" s="19"/>
      <c r="F979" s="15">
        <f t="shared" si="16"/>
        <v>52732042.160000019</v>
      </c>
    </row>
    <row r="980" spans="1:6" x14ac:dyDescent="0.2">
      <c r="A980" s="3">
        <v>45623</v>
      </c>
      <c r="B980" s="43">
        <v>4289320</v>
      </c>
      <c r="C980" s="20" t="s">
        <v>190</v>
      </c>
      <c r="D980" s="18">
        <v>735696</v>
      </c>
      <c r="E980" s="19"/>
      <c r="F980" s="15">
        <f t="shared" si="16"/>
        <v>51996346.160000019</v>
      </c>
    </row>
    <row r="981" spans="1:6" x14ac:dyDescent="0.2">
      <c r="A981" s="3">
        <v>45623</v>
      </c>
      <c r="B981" s="43">
        <v>4289321</v>
      </c>
      <c r="C981" s="20" t="s">
        <v>191</v>
      </c>
      <c r="D981" s="18">
        <v>2000000</v>
      </c>
      <c r="E981" s="19"/>
      <c r="F981" s="15">
        <f t="shared" si="16"/>
        <v>49996346.160000019</v>
      </c>
    </row>
    <row r="982" spans="1:6" x14ac:dyDescent="0.2">
      <c r="A982" s="3">
        <v>45623</v>
      </c>
      <c r="B982" s="43">
        <v>97364192</v>
      </c>
      <c r="C982" s="20" t="s">
        <v>192</v>
      </c>
      <c r="D982" s="18">
        <v>7600</v>
      </c>
      <c r="E982" s="19"/>
      <c r="F982" s="15">
        <f t="shared" si="16"/>
        <v>49988746.160000019</v>
      </c>
    </row>
    <row r="983" spans="1:6" x14ac:dyDescent="0.2">
      <c r="A983" s="3">
        <v>45623</v>
      </c>
      <c r="B983" s="43">
        <v>232206</v>
      </c>
      <c r="C983" s="20" t="s">
        <v>193</v>
      </c>
      <c r="D983" s="19"/>
      <c r="E983" s="18">
        <v>300000</v>
      </c>
      <c r="F983" s="15">
        <f t="shared" si="16"/>
        <v>50288746.160000019</v>
      </c>
    </row>
    <row r="984" spans="1:6" x14ac:dyDescent="0.2">
      <c r="A984" s="3">
        <v>45623</v>
      </c>
      <c r="B984" s="43">
        <v>31768</v>
      </c>
      <c r="C984" s="17" t="s">
        <v>12</v>
      </c>
      <c r="D984" s="18">
        <v>2770578</v>
      </c>
      <c r="E984" s="19"/>
      <c r="F984" s="15">
        <f t="shared" si="16"/>
        <v>47518168.160000019</v>
      </c>
    </row>
    <row r="985" spans="1:6" x14ac:dyDescent="0.2">
      <c r="A985" s="3">
        <v>45623</v>
      </c>
      <c r="B985" s="45"/>
      <c r="C985" s="17" t="s">
        <v>156</v>
      </c>
      <c r="D985" s="19"/>
      <c r="E985" s="18">
        <v>1800</v>
      </c>
      <c r="F985" s="15">
        <f t="shared" si="16"/>
        <v>47519968.160000019</v>
      </c>
    </row>
    <row r="986" spans="1:6" x14ac:dyDescent="0.2">
      <c r="A986" s="3">
        <v>45623</v>
      </c>
      <c r="B986" s="45"/>
      <c r="C986" s="17" t="s">
        <v>16</v>
      </c>
      <c r="D986" s="18">
        <v>35293.949999999997</v>
      </c>
      <c r="E986" s="19"/>
      <c r="F986" s="15">
        <f t="shared" si="16"/>
        <v>47484674.210000016</v>
      </c>
    </row>
    <row r="987" spans="1:6" x14ac:dyDescent="0.2">
      <c r="A987" s="3">
        <v>45623</v>
      </c>
      <c r="B987" s="43">
        <v>12778</v>
      </c>
      <c r="C987" s="20" t="s">
        <v>7</v>
      </c>
      <c r="D987" s="18">
        <v>1485</v>
      </c>
      <c r="E987" s="19"/>
      <c r="F987" s="15">
        <f t="shared" si="16"/>
        <v>47483189.210000016</v>
      </c>
    </row>
    <row r="988" spans="1:6" x14ac:dyDescent="0.2">
      <c r="A988" s="3">
        <v>45623</v>
      </c>
      <c r="B988" s="43">
        <v>12778</v>
      </c>
      <c r="C988" s="17" t="s">
        <v>8</v>
      </c>
      <c r="D988" s="18">
        <v>311.85000000000002</v>
      </c>
      <c r="E988" s="19"/>
      <c r="F988" s="15">
        <f t="shared" si="16"/>
        <v>47482877.360000014</v>
      </c>
    </row>
    <row r="989" spans="1:6" x14ac:dyDescent="0.2">
      <c r="A989" s="3">
        <v>45623</v>
      </c>
      <c r="B989" s="43">
        <v>12779</v>
      </c>
      <c r="C989" s="20" t="s">
        <v>7</v>
      </c>
      <c r="D989" s="18">
        <v>1485</v>
      </c>
      <c r="E989" s="19"/>
      <c r="F989" s="15">
        <f t="shared" si="16"/>
        <v>47481392.360000014</v>
      </c>
    </row>
    <row r="990" spans="1:6" x14ac:dyDescent="0.2">
      <c r="A990" s="3">
        <v>45623</v>
      </c>
      <c r="B990" s="43">
        <v>12779</v>
      </c>
      <c r="C990" s="17" t="s">
        <v>8</v>
      </c>
      <c r="D990" s="18">
        <v>311.85000000000002</v>
      </c>
      <c r="E990" s="19"/>
      <c r="F990" s="15">
        <f t="shared" si="16"/>
        <v>47481080.510000013</v>
      </c>
    </row>
    <row r="991" spans="1:6" x14ac:dyDescent="0.2">
      <c r="A991" s="3">
        <v>45624</v>
      </c>
      <c r="B991" s="45"/>
      <c r="C991" s="17" t="s">
        <v>92</v>
      </c>
      <c r="D991" s="18">
        <v>44400</v>
      </c>
      <c r="E991" s="19"/>
      <c r="F991" s="15">
        <f t="shared" si="16"/>
        <v>47436680.510000013</v>
      </c>
    </row>
    <row r="992" spans="1:6" x14ac:dyDescent="0.2">
      <c r="A992" s="3">
        <v>45624</v>
      </c>
      <c r="B992" s="45"/>
      <c r="C992" s="17" t="s">
        <v>36</v>
      </c>
      <c r="D992" s="18">
        <v>666</v>
      </c>
      <c r="E992" s="19"/>
      <c r="F992" s="15">
        <f t="shared" si="16"/>
        <v>47436014.510000013</v>
      </c>
    </row>
    <row r="993" spans="1:6" x14ac:dyDescent="0.2">
      <c r="A993" s="3">
        <v>45624</v>
      </c>
      <c r="B993" s="45"/>
      <c r="C993" s="17" t="s">
        <v>8</v>
      </c>
      <c r="D993" s="18">
        <v>9324</v>
      </c>
      <c r="E993" s="19"/>
      <c r="F993" s="15">
        <f t="shared" si="16"/>
        <v>47426690.510000013</v>
      </c>
    </row>
    <row r="994" spans="1:6" x14ac:dyDescent="0.2">
      <c r="A994" s="3">
        <v>45624</v>
      </c>
      <c r="B994" s="45"/>
      <c r="C994" s="17" t="s">
        <v>37</v>
      </c>
      <c r="D994" s="18">
        <v>1332</v>
      </c>
      <c r="E994" s="19"/>
      <c r="F994" s="15">
        <f t="shared" si="16"/>
        <v>47425358.510000013</v>
      </c>
    </row>
    <row r="995" spans="1:6" x14ac:dyDescent="0.2">
      <c r="A995" s="3">
        <v>45624</v>
      </c>
      <c r="B995" s="45"/>
      <c r="C995" s="17" t="s">
        <v>93</v>
      </c>
      <c r="D995" s="18">
        <v>44280</v>
      </c>
      <c r="E995" s="19"/>
      <c r="F995" s="15">
        <f t="shared" si="16"/>
        <v>47381078.510000013</v>
      </c>
    </row>
    <row r="996" spans="1:6" x14ac:dyDescent="0.2">
      <c r="A996" s="3">
        <v>45624</v>
      </c>
      <c r="B996" s="45"/>
      <c r="C996" s="17" t="s">
        <v>36</v>
      </c>
      <c r="D996" s="18">
        <v>664.2</v>
      </c>
      <c r="E996" s="19"/>
      <c r="F996" s="15">
        <f t="shared" si="16"/>
        <v>47380414.31000001</v>
      </c>
    </row>
    <row r="997" spans="1:6" x14ac:dyDescent="0.2">
      <c r="A997" s="3">
        <v>45624</v>
      </c>
      <c r="B997" s="45"/>
      <c r="C997" s="17" t="s">
        <v>8</v>
      </c>
      <c r="D997" s="18">
        <v>9298.7999999999993</v>
      </c>
      <c r="E997" s="19"/>
      <c r="F997" s="15">
        <f t="shared" si="16"/>
        <v>47371115.510000013</v>
      </c>
    </row>
    <row r="998" spans="1:6" x14ac:dyDescent="0.2">
      <c r="A998" s="3">
        <v>45624</v>
      </c>
      <c r="B998" s="45"/>
      <c r="C998" s="17" t="s">
        <v>37</v>
      </c>
      <c r="D998" s="18">
        <v>1328.4</v>
      </c>
      <c r="E998" s="19"/>
      <c r="F998" s="15">
        <f t="shared" si="16"/>
        <v>47369787.110000014</v>
      </c>
    </row>
    <row r="999" spans="1:6" x14ac:dyDescent="0.2">
      <c r="A999" s="3">
        <v>45624</v>
      </c>
      <c r="B999" s="43">
        <v>31899</v>
      </c>
      <c r="C999" s="20" t="s">
        <v>189</v>
      </c>
      <c r="D999" s="18">
        <v>50000</v>
      </c>
      <c r="E999" s="19"/>
      <c r="F999" s="15">
        <f t="shared" si="16"/>
        <v>47319787.110000014</v>
      </c>
    </row>
    <row r="1000" spans="1:6" x14ac:dyDescent="0.2">
      <c r="A1000" s="3">
        <v>45624</v>
      </c>
      <c r="B1000" s="43">
        <v>31903</v>
      </c>
      <c r="C1000" s="20" t="s">
        <v>97</v>
      </c>
      <c r="D1000" s="18">
        <v>50000</v>
      </c>
      <c r="E1000" s="19"/>
      <c r="F1000" s="15">
        <f t="shared" si="16"/>
        <v>47269787.110000014</v>
      </c>
    </row>
    <row r="1001" spans="1:6" x14ac:dyDescent="0.2">
      <c r="A1001" s="3">
        <v>45624</v>
      </c>
      <c r="B1001" s="46">
        <v>31901</v>
      </c>
      <c r="C1001" s="56" t="s">
        <v>29</v>
      </c>
      <c r="D1001" s="48">
        <v>50000</v>
      </c>
      <c r="E1001" s="49"/>
      <c r="F1001" s="15">
        <f t="shared" si="16"/>
        <v>47219787.110000014</v>
      </c>
    </row>
    <row r="1002" spans="1:6" x14ac:dyDescent="0.2">
      <c r="A1002" s="3">
        <v>45624</v>
      </c>
      <c r="B1002" s="44">
        <v>31900</v>
      </c>
      <c r="C1002" s="57" t="s">
        <v>30</v>
      </c>
      <c r="D1002" s="23">
        <v>50000</v>
      </c>
      <c r="E1002" s="24"/>
      <c r="F1002" s="15">
        <f t="shared" si="16"/>
        <v>47169787.110000014</v>
      </c>
    </row>
    <row r="1003" spans="1:6" x14ac:dyDescent="0.2">
      <c r="A1003" s="3">
        <v>45624</v>
      </c>
      <c r="B1003" s="43">
        <v>31902</v>
      </c>
      <c r="C1003" s="20" t="s">
        <v>28</v>
      </c>
      <c r="D1003" s="18">
        <v>50000</v>
      </c>
      <c r="E1003" s="19"/>
      <c r="F1003" s="15">
        <f t="shared" si="16"/>
        <v>47119787.110000014</v>
      </c>
    </row>
    <row r="1004" spans="1:6" x14ac:dyDescent="0.2">
      <c r="A1004" s="3">
        <v>45624</v>
      </c>
      <c r="B1004" s="43">
        <v>708312</v>
      </c>
      <c r="C1004" s="20" t="s">
        <v>89</v>
      </c>
      <c r="D1004" s="25"/>
      <c r="E1004" s="25">
        <v>2400480.09</v>
      </c>
      <c r="F1004" s="15">
        <f t="shared" si="16"/>
        <v>49520267.200000018</v>
      </c>
    </row>
    <row r="1005" spans="1:6" x14ac:dyDescent="0.2">
      <c r="A1005" s="3">
        <v>45624</v>
      </c>
      <c r="B1005" s="43">
        <v>3444778</v>
      </c>
      <c r="C1005" s="20" t="s">
        <v>194</v>
      </c>
      <c r="D1005" s="25"/>
      <c r="E1005" s="25">
        <v>1067374.33</v>
      </c>
      <c r="F1005" s="15">
        <f t="shared" si="16"/>
        <v>50587641.530000016</v>
      </c>
    </row>
    <row r="1006" spans="1:6" x14ac:dyDescent="0.2">
      <c r="A1006" s="3">
        <v>45624</v>
      </c>
      <c r="B1006" s="45"/>
      <c r="C1006" s="17" t="s">
        <v>34</v>
      </c>
      <c r="D1006" s="18">
        <v>3000</v>
      </c>
      <c r="E1006" s="19"/>
      <c r="F1006" s="15">
        <f t="shared" si="16"/>
        <v>50584641.530000016</v>
      </c>
    </row>
    <row r="1007" spans="1:6" x14ac:dyDescent="0.2">
      <c r="A1007" s="3">
        <v>45624</v>
      </c>
      <c r="B1007" s="45"/>
      <c r="C1007" s="17" t="s">
        <v>22</v>
      </c>
      <c r="D1007" s="18">
        <v>20807.13</v>
      </c>
      <c r="E1007" s="19"/>
      <c r="F1007" s="15">
        <f t="shared" si="16"/>
        <v>50563834.400000013</v>
      </c>
    </row>
    <row r="1008" spans="1:6" x14ac:dyDescent="0.2">
      <c r="A1008" s="3">
        <v>45624</v>
      </c>
      <c r="B1008" s="45"/>
      <c r="C1008" s="17" t="s">
        <v>16</v>
      </c>
      <c r="D1008" s="18">
        <v>689.32</v>
      </c>
      <c r="E1008" s="19"/>
      <c r="F1008" s="15">
        <f t="shared" si="16"/>
        <v>50563145.080000013</v>
      </c>
    </row>
    <row r="1009" spans="1:6" x14ac:dyDescent="0.2">
      <c r="A1009" s="3">
        <v>45625</v>
      </c>
      <c r="B1009" s="43">
        <v>31772</v>
      </c>
      <c r="C1009" s="17" t="s">
        <v>9</v>
      </c>
      <c r="D1009" s="18">
        <v>144390</v>
      </c>
      <c r="E1009" s="19"/>
      <c r="F1009" s="15">
        <f t="shared" si="16"/>
        <v>50418755.080000013</v>
      </c>
    </row>
    <row r="1010" spans="1:6" x14ac:dyDescent="0.2">
      <c r="A1010" s="3">
        <v>45625</v>
      </c>
      <c r="B1010" s="43">
        <v>31785</v>
      </c>
      <c r="C1010" s="17" t="s">
        <v>9</v>
      </c>
      <c r="D1010" s="18">
        <v>288449.42</v>
      </c>
      <c r="E1010" s="19"/>
      <c r="F1010" s="15">
        <f t="shared" si="16"/>
        <v>50130305.660000011</v>
      </c>
    </row>
    <row r="1011" spans="1:6" x14ac:dyDescent="0.2">
      <c r="A1011" s="3">
        <v>45625</v>
      </c>
      <c r="B1011" s="43">
        <v>31665</v>
      </c>
      <c r="C1011" s="17" t="s">
        <v>9</v>
      </c>
      <c r="D1011" s="18">
        <v>461624.84</v>
      </c>
      <c r="E1011" s="19"/>
      <c r="F1011" s="15">
        <f t="shared" si="16"/>
        <v>49668680.820000008</v>
      </c>
    </row>
    <row r="1012" spans="1:6" x14ac:dyDescent="0.2">
      <c r="A1012" s="3">
        <v>45625</v>
      </c>
      <c r="B1012" s="43">
        <v>31789</v>
      </c>
      <c r="C1012" s="17" t="s">
        <v>9</v>
      </c>
      <c r="D1012" s="18">
        <v>3771188.5</v>
      </c>
      <c r="E1012" s="19"/>
      <c r="F1012" s="15">
        <f t="shared" si="16"/>
        <v>45897492.320000008</v>
      </c>
    </row>
    <row r="1013" spans="1:6" x14ac:dyDescent="0.2">
      <c r="A1013" s="3">
        <v>45625</v>
      </c>
      <c r="B1013" s="43">
        <v>31662</v>
      </c>
      <c r="C1013" s="17" t="s">
        <v>9</v>
      </c>
      <c r="D1013" s="18">
        <v>7533956.9299999997</v>
      </c>
      <c r="E1013" s="19"/>
      <c r="F1013" s="15">
        <f t="shared" si="16"/>
        <v>38363535.390000008</v>
      </c>
    </row>
    <row r="1014" spans="1:6" x14ac:dyDescent="0.2">
      <c r="A1014" s="3">
        <v>45625</v>
      </c>
      <c r="B1014" s="45"/>
      <c r="C1014" s="20" t="s">
        <v>195</v>
      </c>
      <c r="D1014" s="18">
        <v>5000</v>
      </c>
      <c r="E1014" s="19"/>
      <c r="F1014" s="15">
        <f t="shared" ref="F1014:F1043" si="17">+F1013+E1014-D1014</f>
        <v>38358535.390000008</v>
      </c>
    </row>
    <row r="1015" spans="1:6" x14ac:dyDescent="0.2">
      <c r="A1015" s="3">
        <v>45625</v>
      </c>
      <c r="B1015" s="45"/>
      <c r="C1015" s="17" t="s">
        <v>36</v>
      </c>
      <c r="D1015" s="18">
        <v>75</v>
      </c>
      <c r="E1015" s="19"/>
      <c r="F1015" s="15">
        <f t="shared" si="17"/>
        <v>38358460.390000008</v>
      </c>
    </row>
    <row r="1016" spans="1:6" x14ac:dyDescent="0.2">
      <c r="A1016" s="3">
        <v>45625</v>
      </c>
      <c r="B1016" s="45"/>
      <c r="C1016" s="17" t="s">
        <v>8</v>
      </c>
      <c r="D1016" s="18">
        <v>1050</v>
      </c>
      <c r="E1016" s="19"/>
      <c r="F1016" s="15">
        <f t="shared" si="17"/>
        <v>38357410.390000008</v>
      </c>
    </row>
    <row r="1017" spans="1:6" x14ac:dyDescent="0.2">
      <c r="A1017" s="3">
        <v>45625</v>
      </c>
      <c r="B1017" s="45"/>
      <c r="C1017" s="17" t="s">
        <v>37</v>
      </c>
      <c r="D1017" s="18">
        <v>150</v>
      </c>
      <c r="E1017" s="19"/>
      <c r="F1017" s="15">
        <f t="shared" si="17"/>
        <v>38357260.390000008</v>
      </c>
    </row>
    <row r="1018" spans="1:6" x14ac:dyDescent="0.2">
      <c r="A1018" s="3">
        <v>45625</v>
      </c>
      <c r="B1018" s="43">
        <v>31906</v>
      </c>
      <c r="C1018" s="20" t="s">
        <v>98</v>
      </c>
      <c r="D1018" s="18">
        <v>50000</v>
      </c>
      <c r="E1018" s="19"/>
      <c r="F1018" s="15">
        <f t="shared" si="17"/>
        <v>38307260.390000008</v>
      </c>
    </row>
    <row r="1019" spans="1:6" x14ac:dyDescent="0.2">
      <c r="A1019" s="3">
        <v>45625</v>
      </c>
      <c r="B1019" s="43">
        <v>31904</v>
      </c>
      <c r="C1019" s="20" t="s">
        <v>98</v>
      </c>
      <c r="D1019" s="18">
        <v>50000</v>
      </c>
      <c r="E1019" s="19"/>
      <c r="F1019" s="15">
        <f t="shared" si="17"/>
        <v>38257260.390000008</v>
      </c>
    </row>
    <row r="1020" spans="1:6" x14ac:dyDescent="0.2">
      <c r="A1020" s="3">
        <v>45625</v>
      </c>
      <c r="B1020" s="43">
        <v>31907</v>
      </c>
      <c r="C1020" s="20" t="s">
        <v>28</v>
      </c>
      <c r="D1020" s="18">
        <v>50000</v>
      </c>
      <c r="E1020" s="19"/>
      <c r="F1020" s="15">
        <f t="shared" si="17"/>
        <v>38207260.390000008</v>
      </c>
    </row>
    <row r="1021" spans="1:6" x14ac:dyDescent="0.2">
      <c r="A1021" s="3">
        <v>45625</v>
      </c>
      <c r="B1021" s="43">
        <v>31905</v>
      </c>
      <c r="C1021" s="20" t="s">
        <v>189</v>
      </c>
      <c r="D1021" s="18">
        <v>50000</v>
      </c>
      <c r="E1021" s="19"/>
      <c r="F1021" s="15">
        <f t="shared" si="17"/>
        <v>38157260.390000008</v>
      </c>
    </row>
    <row r="1022" spans="1:6" x14ac:dyDescent="0.2">
      <c r="A1022" s="3">
        <v>45625</v>
      </c>
      <c r="B1022" s="43">
        <v>686827</v>
      </c>
      <c r="C1022" s="20" t="s">
        <v>94</v>
      </c>
      <c r="D1022" s="19"/>
      <c r="E1022" s="18">
        <v>609924.30000000005</v>
      </c>
      <c r="F1022" s="15">
        <f t="shared" si="17"/>
        <v>38767184.690000005</v>
      </c>
    </row>
    <row r="1023" spans="1:6" x14ac:dyDescent="0.2">
      <c r="A1023" s="3">
        <v>45625</v>
      </c>
      <c r="B1023" s="43">
        <v>17237</v>
      </c>
      <c r="C1023" s="20" t="s">
        <v>10</v>
      </c>
      <c r="D1023" s="25"/>
      <c r="E1023" s="25">
        <v>20000000</v>
      </c>
      <c r="F1023" s="15">
        <f t="shared" si="17"/>
        <v>58767184.690000005</v>
      </c>
    </row>
    <row r="1024" spans="1:6" x14ac:dyDescent="0.2">
      <c r="A1024" s="3">
        <v>45625</v>
      </c>
      <c r="B1024" s="43">
        <v>953509</v>
      </c>
      <c r="C1024" s="20" t="s">
        <v>10</v>
      </c>
      <c r="D1024" s="25"/>
      <c r="E1024" s="25">
        <v>20000000</v>
      </c>
      <c r="F1024" s="15">
        <f t="shared" si="17"/>
        <v>78767184.689999998</v>
      </c>
    </row>
    <row r="1025" spans="1:6" x14ac:dyDescent="0.2">
      <c r="A1025" s="3">
        <v>45625</v>
      </c>
      <c r="B1025" s="43">
        <v>953520</v>
      </c>
      <c r="C1025" s="20" t="s">
        <v>10</v>
      </c>
      <c r="D1025" s="25"/>
      <c r="E1025" s="25">
        <v>20000000</v>
      </c>
      <c r="F1025" s="15">
        <f t="shared" si="17"/>
        <v>98767184.689999998</v>
      </c>
    </row>
    <row r="1026" spans="1:6" x14ac:dyDescent="0.2">
      <c r="A1026" s="3">
        <v>45625</v>
      </c>
      <c r="B1026" s="43">
        <v>98979094</v>
      </c>
      <c r="C1026" s="20" t="s">
        <v>196</v>
      </c>
      <c r="D1026" s="18">
        <v>229999</v>
      </c>
      <c r="E1026" s="19"/>
      <c r="F1026" s="15">
        <f t="shared" si="17"/>
        <v>98537185.689999998</v>
      </c>
    </row>
    <row r="1027" spans="1:6" x14ac:dyDescent="0.2">
      <c r="A1027" s="3">
        <v>45625</v>
      </c>
      <c r="B1027" s="46">
        <v>98979095</v>
      </c>
      <c r="C1027" s="56" t="s">
        <v>197</v>
      </c>
      <c r="D1027" s="48">
        <v>24200</v>
      </c>
      <c r="E1027" s="49"/>
      <c r="F1027" s="15">
        <f t="shared" si="17"/>
        <v>98512985.689999998</v>
      </c>
    </row>
    <row r="1028" spans="1:6" x14ac:dyDescent="0.2">
      <c r="A1028" s="3">
        <v>45625</v>
      </c>
      <c r="B1028" s="44">
        <v>98979096</v>
      </c>
      <c r="C1028" s="57" t="s">
        <v>198</v>
      </c>
      <c r="D1028" s="53">
        <v>300000</v>
      </c>
      <c r="E1028" s="24"/>
      <c r="F1028" s="15">
        <f t="shared" si="17"/>
        <v>98212985.689999998</v>
      </c>
    </row>
    <row r="1029" spans="1:6" x14ac:dyDescent="0.2">
      <c r="A1029" s="3">
        <v>45625</v>
      </c>
      <c r="B1029" s="43">
        <v>31831</v>
      </c>
      <c r="C1029" s="17" t="s">
        <v>12</v>
      </c>
      <c r="D1029" s="25">
        <v>165025.29</v>
      </c>
      <c r="E1029" s="19"/>
      <c r="F1029" s="15">
        <f t="shared" si="17"/>
        <v>98047960.399999991</v>
      </c>
    </row>
    <row r="1030" spans="1:6" x14ac:dyDescent="0.2">
      <c r="A1030" s="3">
        <v>45625</v>
      </c>
      <c r="B1030" s="43">
        <v>31673</v>
      </c>
      <c r="C1030" s="17" t="s">
        <v>12</v>
      </c>
      <c r="D1030" s="25">
        <v>1460486</v>
      </c>
      <c r="E1030" s="19"/>
      <c r="F1030" s="15">
        <f t="shared" si="17"/>
        <v>96587474.399999991</v>
      </c>
    </row>
    <row r="1031" spans="1:6" x14ac:dyDescent="0.2">
      <c r="A1031" s="3">
        <v>45625</v>
      </c>
      <c r="B1031" s="43">
        <v>31733</v>
      </c>
      <c r="C1031" s="17" t="s">
        <v>12</v>
      </c>
      <c r="D1031" s="25">
        <v>2142024.64</v>
      </c>
      <c r="E1031" s="19"/>
      <c r="F1031" s="15">
        <f t="shared" si="17"/>
        <v>94445449.75999999</v>
      </c>
    </row>
    <row r="1032" spans="1:6" x14ac:dyDescent="0.2">
      <c r="A1032" s="3">
        <v>45625</v>
      </c>
      <c r="B1032" s="43">
        <v>31746</v>
      </c>
      <c r="C1032" s="17" t="s">
        <v>12</v>
      </c>
      <c r="D1032" s="25">
        <v>2593940.4700000002</v>
      </c>
      <c r="E1032" s="19"/>
      <c r="F1032" s="15">
        <f t="shared" si="17"/>
        <v>91851509.289999992</v>
      </c>
    </row>
    <row r="1033" spans="1:6" x14ac:dyDescent="0.2">
      <c r="A1033" s="3">
        <v>45625</v>
      </c>
      <c r="B1033" s="43">
        <v>31667</v>
      </c>
      <c r="C1033" s="17" t="s">
        <v>12</v>
      </c>
      <c r="D1033" s="25">
        <v>2739604</v>
      </c>
      <c r="E1033" s="19"/>
      <c r="F1033" s="15">
        <f t="shared" si="17"/>
        <v>89111905.289999992</v>
      </c>
    </row>
    <row r="1034" spans="1:6" x14ac:dyDescent="0.2">
      <c r="A1034" s="3">
        <v>45625</v>
      </c>
      <c r="B1034" s="43">
        <v>31735</v>
      </c>
      <c r="C1034" s="17" t="s">
        <v>12</v>
      </c>
      <c r="D1034" s="25">
        <v>3402630</v>
      </c>
      <c r="E1034" s="19"/>
      <c r="F1034" s="15">
        <f t="shared" si="17"/>
        <v>85709275.289999992</v>
      </c>
    </row>
    <row r="1035" spans="1:6" x14ac:dyDescent="0.2">
      <c r="A1035" s="3">
        <v>45625</v>
      </c>
      <c r="B1035" s="43">
        <v>31736</v>
      </c>
      <c r="C1035" s="17" t="s">
        <v>12</v>
      </c>
      <c r="D1035" s="25">
        <v>4422879.6900000004</v>
      </c>
      <c r="E1035" s="19"/>
      <c r="F1035" s="15">
        <f t="shared" si="17"/>
        <v>81286395.599999994</v>
      </c>
    </row>
    <row r="1036" spans="1:6" x14ac:dyDescent="0.2">
      <c r="A1036" s="3">
        <v>45625</v>
      </c>
      <c r="B1036" s="43">
        <v>31674</v>
      </c>
      <c r="C1036" s="17" t="s">
        <v>12</v>
      </c>
      <c r="D1036" s="25">
        <v>5281086</v>
      </c>
      <c r="E1036" s="19"/>
      <c r="F1036" s="15">
        <f t="shared" si="17"/>
        <v>76005309.599999994</v>
      </c>
    </row>
    <row r="1037" spans="1:6" x14ac:dyDescent="0.2">
      <c r="A1037" s="3">
        <v>45625</v>
      </c>
      <c r="B1037" s="43">
        <v>31631</v>
      </c>
      <c r="C1037" s="17" t="s">
        <v>12</v>
      </c>
      <c r="D1037" s="25">
        <v>7273650.5</v>
      </c>
      <c r="E1037" s="19"/>
      <c r="F1037" s="15">
        <f t="shared" si="17"/>
        <v>68731659.099999994</v>
      </c>
    </row>
    <row r="1038" spans="1:6" x14ac:dyDescent="0.2">
      <c r="A1038" s="3">
        <v>45625</v>
      </c>
      <c r="B1038" s="43">
        <v>31717</v>
      </c>
      <c r="C1038" s="17" t="s">
        <v>12</v>
      </c>
      <c r="D1038" s="25">
        <v>8369723</v>
      </c>
      <c r="E1038" s="19"/>
      <c r="F1038" s="15">
        <f t="shared" si="17"/>
        <v>60361936.099999994</v>
      </c>
    </row>
    <row r="1039" spans="1:6" x14ac:dyDescent="0.2">
      <c r="A1039" s="3">
        <v>45625</v>
      </c>
      <c r="B1039" s="45"/>
      <c r="C1039" s="17" t="s">
        <v>95</v>
      </c>
      <c r="D1039" s="25">
        <v>2418</v>
      </c>
      <c r="E1039" s="19"/>
      <c r="F1039" s="15">
        <f t="shared" si="17"/>
        <v>60359518.099999994</v>
      </c>
    </row>
    <row r="1040" spans="1:6" x14ac:dyDescent="0.2">
      <c r="A1040" s="3">
        <v>45625</v>
      </c>
      <c r="B1040" s="45"/>
      <c r="C1040" s="17" t="s">
        <v>15</v>
      </c>
      <c r="D1040" s="25">
        <v>507.78</v>
      </c>
      <c r="E1040" s="19"/>
      <c r="F1040" s="15">
        <f t="shared" si="17"/>
        <v>60359010.319999993</v>
      </c>
    </row>
    <row r="1041" spans="1:6" x14ac:dyDescent="0.2">
      <c r="A1041" s="3">
        <v>45625</v>
      </c>
      <c r="B1041" s="45"/>
      <c r="C1041" s="17" t="s">
        <v>34</v>
      </c>
      <c r="D1041" s="25">
        <v>1200</v>
      </c>
      <c r="E1041" s="19"/>
      <c r="F1041" s="15">
        <f t="shared" si="17"/>
        <v>60357810.319999993</v>
      </c>
    </row>
    <row r="1042" spans="1:6" x14ac:dyDescent="0.2">
      <c r="A1042" s="3">
        <v>45625</v>
      </c>
      <c r="B1042" s="45"/>
      <c r="C1042" s="17" t="s">
        <v>16</v>
      </c>
      <c r="D1042" s="25">
        <v>304284.36</v>
      </c>
      <c r="E1042" s="19"/>
      <c r="F1042" s="15">
        <f t="shared" si="17"/>
        <v>60053525.959999993</v>
      </c>
    </row>
    <row r="1043" spans="1:6" x14ac:dyDescent="0.2">
      <c r="A1043" s="3">
        <v>45625</v>
      </c>
      <c r="B1043" s="54"/>
      <c r="C1043" s="33" t="s">
        <v>22</v>
      </c>
      <c r="D1043" s="34">
        <v>3659.55</v>
      </c>
      <c r="E1043" s="35"/>
      <c r="F1043" s="15">
        <f t="shared" si="17"/>
        <v>60049866.409999996</v>
      </c>
    </row>
    <row r="1046" spans="1:6" x14ac:dyDescent="0.2">
      <c r="A1046" s="1" t="s">
        <v>0</v>
      </c>
      <c r="B1046" s="1" t="s">
        <v>1</v>
      </c>
      <c r="C1046" s="1" t="s">
        <v>2</v>
      </c>
      <c r="D1046" s="1" t="s">
        <v>3</v>
      </c>
      <c r="E1046" s="1" t="s">
        <v>4</v>
      </c>
      <c r="F1046" s="1" t="s">
        <v>5</v>
      </c>
    </row>
    <row r="1047" spans="1:6" x14ac:dyDescent="0.2">
      <c r="A1047" s="3">
        <v>45626</v>
      </c>
      <c r="B1047" s="41"/>
      <c r="C1047" s="5" t="s">
        <v>6</v>
      </c>
      <c r="D1047" s="6"/>
      <c r="E1047" s="7"/>
      <c r="F1047" s="8">
        <v>60049866.409999996</v>
      </c>
    </row>
    <row r="1048" spans="1:6" x14ac:dyDescent="0.2">
      <c r="A1048" s="3">
        <v>45628</v>
      </c>
      <c r="B1048" s="60">
        <v>20000007</v>
      </c>
      <c r="C1048" s="61" t="s">
        <v>24</v>
      </c>
      <c r="D1048" s="14"/>
      <c r="E1048" s="13">
        <v>152481.72</v>
      </c>
      <c r="F1048" s="15">
        <f t="shared" ref="F1048:F1111" si="18">+F1047+E1048-D1048</f>
        <v>60202348.129999995</v>
      </c>
    </row>
    <row r="1049" spans="1:6" x14ac:dyDescent="0.2">
      <c r="A1049" s="3">
        <v>45628</v>
      </c>
      <c r="B1049" s="43">
        <v>31756</v>
      </c>
      <c r="C1049" s="17" t="s">
        <v>9</v>
      </c>
      <c r="D1049" s="18">
        <v>160000</v>
      </c>
      <c r="E1049" s="19"/>
      <c r="F1049" s="15">
        <f t="shared" si="18"/>
        <v>60042348.129999995</v>
      </c>
    </row>
    <row r="1050" spans="1:6" x14ac:dyDescent="0.2">
      <c r="A1050" s="3">
        <v>45628</v>
      </c>
      <c r="B1050" s="43">
        <v>31822</v>
      </c>
      <c r="C1050" s="17" t="s">
        <v>9</v>
      </c>
      <c r="D1050" s="18">
        <v>278395.82</v>
      </c>
      <c r="E1050" s="19"/>
      <c r="F1050" s="15">
        <f t="shared" si="18"/>
        <v>59763952.309999995</v>
      </c>
    </row>
    <row r="1051" spans="1:6" x14ac:dyDescent="0.2">
      <c r="A1051" s="3">
        <v>45628</v>
      </c>
      <c r="B1051" s="43">
        <v>31734</v>
      </c>
      <c r="C1051" s="17" t="s">
        <v>9</v>
      </c>
      <c r="D1051" s="18">
        <v>321600.76</v>
      </c>
      <c r="E1051" s="19"/>
      <c r="F1051" s="15">
        <f t="shared" si="18"/>
        <v>59442351.549999997</v>
      </c>
    </row>
    <row r="1052" spans="1:6" x14ac:dyDescent="0.2">
      <c r="A1052" s="3">
        <v>45628</v>
      </c>
      <c r="B1052" s="43">
        <v>31730</v>
      </c>
      <c r="C1052" s="17" t="s">
        <v>9</v>
      </c>
      <c r="D1052" s="18">
        <v>386265.56</v>
      </c>
      <c r="E1052" s="19"/>
      <c r="F1052" s="15">
        <f t="shared" si="18"/>
        <v>59056085.989999995</v>
      </c>
    </row>
    <row r="1053" spans="1:6" x14ac:dyDescent="0.2">
      <c r="A1053" s="3">
        <v>45628</v>
      </c>
      <c r="B1053" s="43">
        <v>31682</v>
      </c>
      <c r="C1053" s="17" t="s">
        <v>9</v>
      </c>
      <c r="D1053" s="18">
        <v>668071.47</v>
      </c>
      <c r="E1053" s="19"/>
      <c r="F1053" s="15">
        <f t="shared" si="18"/>
        <v>58388014.519999996</v>
      </c>
    </row>
    <row r="1054" spans="1:6" x14ac:dyDescent="0.2">
      <c r="A1054" s="3">
        <v>45628</v>
      </c>
      <c r="B1054" s="43">
        <v>31723</v>
      </c>
      <c r="C1054" s="17" t="s">
        <v>9</v>
      </c>
      <c r="D1054" s="18">
        <v>703967.95</v>
      </c>
      <c r="E1054" s="19"/>
      <c r="F1054" s="15">
        <f t="shared" si="18"/>
        <v>57684046.569999993</v>
      </c>
    </row>
    <row r="1055" spans="1:6" x14ac:dyDescent="0.2">
      <c r="A1055" s="3">
        <v>45628</v>
      </c>
      <c r="B1055" s="43">
        <v>31728</v>
      </c>
      <c r="C1055" s="17" t="s">
        <v>9</v>
      </c>
      <c r="D1055" s="18">
        <v>718848.65</v>
      </c>
      <c r="E1055" s="19"/>
      <c r="F1055" s="15">
        <f t="shared" si="18"/>
        <v>56965197.919999994</v>
      </c>
    </row>
    <row r="1056" spans="1:6" x14ac:dyDescent="0.2">
      <c r="A1056" s="3">
        <v>45628</v>
      </c>
      <c r="B1056" s="43">
        <v>31770</v>
      </c>
      <c r="C1056" s="17" t="s">
        <v>9</v>
      </c>
      <c r="D1056" s="18">
        <v>803800</v>
      </c>
      <c r="E1056" s="19"/>
      <c r="F1056" s="15">
        <f t="shared" si="18"/>
        <v>56161397.919999994</v>
      </c>
    </row>
    <row r="1057" spans="1:6" x14ac:dyDescent="0.2">
      <c r="A1057" s="3">
        <v>45628</v>
      </c>
      <c r="B1057" s="43">
        <v>31725</v>
      </c>
      <c r="C1057" s="17" t="s">
        <v>9</v>
      </c>
      <c r="D1057" s="18">
        <v>943295.67</v>
      </c>
      <c r="E1057" s="19"/>
      <c r="F1057" s="15">
        <f t="shared" si="18"/>
        <v>55218102.249999993</v>
      </c>
    </row>
    <row r="1058" spans="1:6" x14ac:dyDescent="0.2">
      <c r="A1058" s="3">
        <v>45628</v>
      </c>
      <c r="B1058" s="43">
        <v>31664</v>
      </c>
      <c r="C1058" s="17" t="s">
        <v>9</v>
      </c>
      <c r="D1058" s="18">
        <v>1654584.4</v>
      </c>
      <c r="E1058" s="19"/>
      <c r="F1058" s="15">
        <f t="shared" si="18"/>
        <v>53563517.849999994</v>
      </c>
    </row>
    <row r="1059" spans="1:6" x14ac:dyDescent="0.2">
      <c r="A1059" s="3">
        <v>45628</v>
      </c>
      <c r="B1059" s="43">
        <v>31722</v>
      </c>
      <c r="C1059" s="17" t="s">
        <v>9</v>
      </c>
      <c r="D1059" s="18">
        <v>1828628.22</v>
      </c>
      <c r="E1059" s="19"/>
      <c r="F1059" s="15">
        <f t="shared" si="18"/>
        <v>51734889.629999995</v>
      </c>
    </row>
    <row r="1060" spans="1:6" x14ac:dyDescent="0.2">
      <c r="A1060" s="3">
        <v>45628</v>
      </c>
      <c r="B1060" s="43">
        <v>31766</v>
      </c>
      <c r="C1060" s="17" t="s">
        <v>9</v>
      </c>
      <c r="D1060" s="18">
        <v>2411213.7000000002</v>
      </c>
      <c r="E1060" s="19"/>
      <c r="F1060" s="15">
        <f t="shared" si="18"/>
        <v>49323675.929999992</v>
      </c>
    </row>
    <row r="1061" spans="1:6" x14ac:dyDescent="0.2">
      <c r="A1061" s="3">
        <v>45628</v>
      </c>
      <c r="B1061" s="43">
        <v>31720</v>
      </c>
      <c r="C1061" s="17" t="s">
        <v>9</v>
      </c>
      <c r="D1061" s="18">
        <v>2516824.66</v>
      </c>
      <c r="E1061" s="19"/>
      <c r="F1061" s="15">
        <f t="shared" si="18"/>
        <v>46806851.269999996</v>
      </c>
    </row>
    <row r="1062" spans="1:6" x14ac:dyDescent="0.2">
      <c r="A1062" s="3">
        <v>45628</v>
      </c>
      <c r="B1062" s="43">
        <v>31876</v>
      </c>
      <c r="C1062" s="17" t="s">
        <v>9</v>
      </c>
      <c r="D1062" s="18">
        <v>3723663.4</v>
      </c>
      <c r="E1062" s="19"/>
      <c r="F1062" s="15">
        <f t="shared" si="18"/>
        <v>43083187.869999997</v>
      </c>
    </row>
    <row r="1063" spans="1:6" x14ac:dyDescent="0.2">
      <c r="A1063" s="3">
        <v>45628</v>
      </c>
      <c r="B1063" s="43">
        <v>31714</v>
      </c>
      <c r="C1063" s="17" t="s">
        <v>9</v>
      </c>
      <c r="D1063" s="18">
        <v>3928168.72</v>
      </c>
      <c r="E1063" s="19"/>
      <c r="F1063" s="15">
        <f t="shared" si="18"/>
        <v>39155019.149999999</v>
      </c>
    </row>
    <row r="1064" spans="1:6" x14ac:dyDescent="0.2">
      <c r="A1064" s="3">
        <v>45628</v>
      </c>
      <c r="B1064" s="45"/>
      <c r="C1064" s="20" t="s">
        <v>103</v>
      </c>
      <c r="D1064" s="18">
        <v>2000</v>
      </c>
      <c r="E1064" s="19"/>
      <c r="F1064" s="15">
        <f t="shared" si="18"/>
        <v>39153019.149999999</v>
      </c>
    </row>
    <row r="1065" spans="1:6" x14ac:dyDescent="0.2">
      <c r="A1065" s="3">
        <v>45628</v>
      </c>
      <c r="B1065" s="45"/>
      <c r="C1065" s="17" t="s">
        <v>143</v>
      </c>
      <c r="D1065" s="18">
        <v>490</v>
      </c>
      <c r="E1065" s="19"/>
      <c r="F1065" s="15">
        <f t="shared" si="18"/>
        <v>39152529.149999999</v>
      </c>
    </row>
    <row r="1066" spans="1:6" x14ac:dyDescent="0.2">
      <c r="A1066" s="3">
        <v>45628</v>
      </c>
      <c r="B1066" s="45"/>
      <c r="C1066" s="17" t="s">
        <v>199</v>
      </c>
      <c r="D1066" s="18">
        <v>102.9</v>
      </c>
      <c r="E1066" s="19"/>
      <c r="F1066" s="15">
        <f t="shared" si="18"/>
        <v>39152426.25</v>
      </c>
    </row>
    <row r="1067" spans="1:6" x14ac:dyDescent="0.2">
      <c r="A1067" s="3">
        <v>45628</v>
      </c>
      <c r="B1067" s="45"/>
      <c r="C1067" s="17" t="s">
        <v>199</v>
      </c>
      <c r="D1067" s="18">
        <v>420</v>
      </c>
      <c r="E1067" s="19"/>
      <c r="F1067" s="15">
        <f t="shared" si="18"/>
        <v>39152006.25</v>
      </c>
    </row>
    <row r="1068" spans="1:6" x14ac:dyDescent="0.2">
      <c r="A1068" s="3">
        <v>45628</v>
      </c>
      <c r="B1068" s="51"/>
      <c r="C1068" s="47" t="s">
        <v>37</v>
      </c>
      <c r="D1068" s="48">
        <v>60</v>
      </c>
      <c r="E1068" s="49"/>
      <c r="F1068" s="15">
        <f t="shared" si="18"/>
        <v>39151946.25</v>
      </c>
    </row>
    <row r="1069" spans="1:6" x14ac:dyDescent="0.2">
      <c r="A1069" s="3">
        <v>45628</v>
      </c>
      <c r="B1069" s="44">
        <v>31782</v>
      </c>
      <c r="C1069" s="22" t="s">
        <v>12</v>
      </c>
      <c r="D1069" s="23">
        <v>252109.72</v>
      </c>
      <c r="E1069" s="24"/>
      <c r="F1069" s="15">
        <f t="shared" si="18"/>
        <v>38899836.530000001</v>
      </c>
    </row>
    <row r="1070" spans="1:6" x14ac:dyDescent="0.2">
      <c r="A1070" s="3">
        <v>45628</v>
      </c>
      <c r="B1070" s="43">
        <v>31716</v>
      </c>
      <c r="C1070" s="17" t="s">
        <v>12</v>
      </c>
      <c r="D1070" s="18">
        <v>4894323.5199999996</v>
      </c>
      <c r="E1070" s="19"/>
      <c r="F1070" s="15">
        <f t="shared" si="18"/>
        <v>34005513.010000005</v>
      </c>
    </row>
    <row r="1071" spans="1:6" x14ac:dyDescent="0.2">
      <c r="A1071" s="3">
        <v>45628</v>
      </c>
      <c r="B1071" s="45"/>
      <c r="C1071" s="17" t="s">
        <v>16</v>
      </c>
      <c r="D1071" s="18">
        <v>157181</v>
      </c>
      <c r="E1071" s="19"/>
      <c r="F1071" s="15">
        <f t="shared" si="18"/>
        <v>33848332.010000005</v>
      </c>
    </row>
    <row r="1072" spans="1:6" x14ac:dyDescent="0.2">
      <c r="A1072" s="3">
        <v>45628</v>
      </c>
      <c r="B1072" s="45"/>
      <c r="C1072" s="17" t="s">
        <v>22</v>
      </c>
      <c r="D1072" s="18">
        <v>914.89</v>
      </c>
      <c r="E1072" s="19"/>
      <c r="F1072" s="15">
        <f t="shared" si="18"/>
        <v>33847417.120000005</v>
      </c>
    </row>
    <row r="1073" spans="1:6" x14ac:dyDescent="0.2">
      <c r="A1073" s="3">
        <v>45629</v>
      </c>
      <c r="B1073" s="43">
        <v>31663</v>
      </c>
      <c r="C1073" s="17" t="s">
        <v>9</v>
      </c>
      <c r="D1073" s="18">
        <v>729753.9</v>
      </c>
      <c r="E1073" s="19"/>
      <c r="F1073" s="15">
        <f t="shared" si="18"/>
        <v>33117663.220000006</v>
      </c>
    </row>
    <row r="1074" spans="1:6" x14ac:dyDescent="0.2">
      <c r="A1074" s="3">
        <v>45629</v>
      </c>
      <c r="B1074" s="43">
        <v>31729</v>
      </c>
      <c r="C1074" s="17" t="s">
        <v>9</v>
      </c>
      <c r="D1074" s="18">
        <v>1536719.8</v>
      </c>
      <c r="E1074" s="19"/>
      <c r="F1074" s="15">
        <f t="shared" si="18"/>
        <v>31580943.420000006</v>
      </c>
    </row>
    <row r="1075" spans="1:6" x14ac:dyDescent="0.2">
      <c r="A1075" s="3">
        <v>45629</v>
      </c>
      <c r="B1075" s="43">
        <v>31601</v>
      </c>
      <c r="C1075" s="17" t="s">
        <v>9</v>
      </c>
      <c r="D1075" s="18">
        <v>2159093.9700000002</v>
      </c>
      <c r="E1075" s="19"/>
      <c r="F1075" s="15">
        <f t="shared" si="18"/>
        <v>29421849.450000007</v>
      </c>
    </row>
    <row r="1076" spans="1:6" x14ac:dyDescent="0.2">
      <c r="A1076" s="3">
        <v>45629</v>
      </c>
      <c r="B1076" s="43">
        <v>31852</v>
      </c>
      <c r="C1076" s="17" t="s">
        <v>9</v>
      </c>
      <c r="D1076" s="18">
        <v>2625697</v>
      </c>
      <c r="E1076" s="19"/>
      <c r="F1076" s="15">
        <f t="shared" si="18"/>
        <v>26796152.450000007</v>
      </c>
    </row>
    <row r="1077" spans="1:6" x14ac:dyDescent="0.2">
      <c r="A1077" s="3">
        <v>45629</v>
      </c>
      <c r="B1077" s="43">
        <v>31882</v>
      </c>
      <c r="C1077" s="17" t="s">
        <v>9</v>
      </c>
      <c r="D1077" s="18">
        <v>5758625</v>
      </c>
      <c r="E1077" s="19"/>
      <c r="F1077" s="15">
        <f t="shared" si="18"/>
        <v>21037527.450000007</v>
      </c>
    </row>
    <row r="1078" spans="1:6" x14ac:dyDescent="0.2">
      <c r="A1078" s="3">
        <v>45629</v>
      </c>
      <c r="B1078" s="43">
        <v>41354424</v>
      </c>
      <c r="C1078" s="17" t="s">
        <v>200</v>
      </c>
      <c r="D1078" s="18">
        <v>44861.96</v>
      </c>
      <c r="E1078" s="19"/>
      <c r="F1078" s="15">
        <f t="shared" si="18"/>
        <v>20992665.490000006</v>
      </c>
    </row>
    <row r="1079" spans="1:6" x14ac:dyDescent="0.2">
      <c r="A1079" s="3">
        <v>45629</v>
      </c>
      <c r="B1079" s="43">
        <v>975365</v>
      </c>
      <c r="C1079" s="20" t="s">
        <v>10</v>
      </c>
      <c r="D1079" s="25"/>
      <c r="E1079" s="25">
        <v>20000000</v>
      </c>
      <c r="F1079" s="15">
        <f t="shared" si="18"/>
        <v>40992665.49000001</v>
      </c>
    </row>
    <row r="1080" spans="1:6" x14ac:dyDescent="0.2">
      <c r="A1080" s="3">
        <v>45629</v>
      </c>
      <c r="B1080" s="43">
        <v>43094</v>
      </c>
      <c r="C1080" s="20" t="s">
        <v>10</v>
      </c>
      <c r="D1080" s="25"/>
      <c r="E1080" s="25">
        <v>20000000</v>
      </c>
      <c r="F1080" s="15">
        <f t="shared" si="18"/>
        <v>60992665.49000001</v>
      </c>
    </row>
    <row r="1081" spans="1:6" x14ac:dyDescent="0.2">
      <c r="A1081" s="3">
        <v>45629</v>
      </c>
      <c r="B1081" s="43">
        <v>978685</v>
      </c>
      <c r="C1081" s="20" t="s">
        <v>10</v>
      </c>
      <c r="D1081" s="25"/>
      <c r="E1081" s="25">
        <v>20000000</v>
      </c>
      <c r="F1081" s="15">
        <f t="shared" si="18"/>
        <v>80992665.49000001</v>
      </c>
    </row>
    <row r="1082" spans="1:6" x14ac:dyDescent="0.2">
      <c r="A1082" s="3">
        <v>45629</v>
      </c>
      <c r="B1082" s="43">
        <v>43119</v>
      </c>
      <c r="C1082" s="20" t="s">
        <v>10</v>
      </c>
      <c r="D1082" s="25"/>
      <c r="E1082" s="25">
        <v>20000000</v>
      </c>
      <c r="F1082" s="15">
        <f t="shared" si="18"/>
        <v>100992665.49000001</v>
      </c>
    </row>
    <row r="1083" spans="1:6" x14ac:dyDescent="0.2">
      <c r="A1083" s="3">
        <v>45629</v>
      </c>
      <c r="B1083" s="46">
        <v>978712</v>
      </c>
      <c r="C1083" s="9" t="s">
        <v>10</v>
      </c>
      <c r="D1083" s="52"/>
      <c r="E1083" s="52">
        <v>20000000</v>
      </c>
      <c r="F1083" s="15">
        <f t="shared" si="18"/>
        <v>120992665.49000001</v>
      </c>
    </row>
    <row r="1084" spans="1:6" x14ac:dyDescent="0.2">
      <c r="A1084" s="3">
        <v>45629</v>
      </c>
      <c r="B1084" s="44">
        <v>4096246</v>
      </c>
      <c r="C1084" s="28" t="s">
        <v>20</v>
      </c>
      <c r="D1084" s="23">
        <v>2010000</v>
      </c>
      <c r="E1084" s="24"/>
      <c r="F1084" s="15">
        <f t="shared" si="18"/>
        <v>118982665.49000001</v>
      </c>
    </row>
    <row r="1085" spans="1:6" x14ac:dyDescent="0.2">
      <c r="A1085" s="3">
        <v>45629</v>
      </c>
      <c r="B1085" s="43">
        <v>36081</v>
      </c>
      <c r="C1085" s="20" t="s">
        <v>11</v>
      </c>
      <c r="D1085" s="18">
        <v>7942211</v>
      </c>
      <c r="E1085" s="19"/>
      <c r="F1085" s="15">
        <f t="shared" si="18"/>
        <v>111040454.49000001</v>
      </c>
    </row>
    <row r="1086" spans="1:6" x14ac:dyDescent="0.2">
      <c r="A1086" s="3">
        <v>45629</v>
      </c>
      <c r="B1086" s="43">
        <v>84746120</v>
      </c>
      <c r="C1086" s="20" t="s">
        <v>201</v>
      </c>
      <c r="D1086" s="19"/>
      <c r="E1086" s="18">
        <v>14000</v>
      </c>
      <c r="F1086" s="15">
        <f t="shared" si="18"/>
        <v>111054454.49000001</v>
      </c>
    </row>
    <row r="1087" spans="1:6" x14ac:dyDescent="0.2">
      <c r="A1087" s="3">
        <v>45629</v>
      </c>
      <c r="B1087" s="43">
        <v>31589</v>
      </c>
      <c r="C1087" s="17" t="s">
        <v>12</v>
      </c>
      <c r="D1087" s="18">
        <v>6197812.3799999999</v>
      </c>
      <c r="E1087" s="19"/>
      <c r="F1087" s="15">
        <f t="shared" si="18"/>
        <v>104856642.11000001</v>
      </c>
    </row>
    <row r="1088" spans="1:6" x14ac:dyDescent="0.2">
      <c r="A1088" s="3">
        <v>45629</v>
      </c>
      <c r="B1088" s="43">
        <v>31620</v>
      </c>
      <c r="C1088" s="17" t="s">
        <v>12</v>
      </c>
      <c r="D1088" s="18">
        <v>7356013</v>
      </c>
      <c r="E1088" s="19"/>
      <c r="F1088" s="15">
        <f t="shared" si="18"/>
        <v>97500629.110000014</v>
      </c>
    </row>
    <row r="1089" spans="1:6" x14ac:dyDescent="0.2">
      <c r="A1089" s="3">
        <v>45629</v>
      </c>
      <c r="B1089" s="45"/>
      <c r="C1089" s="17" t="s">
        <v>13</v>
      </c>
      <c r="D1089" s="18">
        <v>74812181</v>
      </c>
      <c r="E1089" s="19"/>
      <c r="F1089" s="15">
        <f t="shared" si="18"/>
        <v>22688448.110000014</v>
      </c>
    </row>
    <row r="1090" spans="1:6" x14ac:dyDescent="0.2">
      <c r="A1090" s="3">
        <v>45629</v>
      </c>
      <c r="B1090" s="45"/>
      <c r="C1090" s="17" t="s">
        <v>202</v>
      </c>
      <c r="D1090" s="18">
        <v>583.76</v>
      </c>
      <c r="E1090" s="19"/>
      <c r="F1090" s="15">
        <f t="shared" si="18"/>
        <v>22687864.350000013</v>
      </c>
    </row>
    <row r="1091" spans="1:6" x14ac:dyDescent="0.2">
      <c r="A1091" s="3">
        <v>45629</v>
      </c>
      <c r="B1091" s="45"/>
      <c r="C1091" s="17" t="s">
        <v>14</v>
      </c>
      <c r="D1091" s="18">
        <v>2779.77</v>
      </c>
      <c r="E1091" s="19"/>
      <c r="F1091" s="15">
        <f t="shared" si="18"/>
        <v>22685084.580000013</v>
      </c>
    </row>
    <row r="1092" spans="1:6" x14ac:dyDescent="0.2">
      <c r="A1092" s="3">
        <v>45629</v>
      </c>
      <c r="B1092" s="45"/>
      <c r="C1092" s="17" t="s">
        <v>22</v>
      </c>
      <c r="D1092" s="18">
        <v>84</v>
      </c>
      <c r="E1092" s="19"/>
      <c r="F1092" s="15">
        <f t="shared" si="18"/>
        <v>22685000.580000013</v>
      </c>
    </row>
    <row r="1093" spans="1:6" x14ac:dyDescent="0.2">
      <c r="A1093" s="3">
        <v>45629</v>
      </c>
      <c r="B1093" s="45"/>
      <c r="C1093" s="17" t="s">
        <v>16</v>
      </c>
      <c r="D1093" s="18">
        <v>667057.99</v>
      </c>
      <c r="E1093" s="19"/>
      <c r="F1093" s="15">
        <f t="shared" si="18"/>
        <v>22017942.590000015</v>
      </c>
    </row>
    <row r="1094" spans="1:6" x14ac:dyDescent="0.2">
      <c r="A1094" s="3">
        <v>45630</v>
      </c>
      <c r="B1094" s="43">
        <v>31786</v>
      </c>
      <c r="C1094" s="17" t="s">
        <v>9</v>
      </c>
      <c r="D1094" s="18">
        <v>503940.48</v>
      </c>
      <c r="E1094" s="19"/>
      <c r="F1094" s="15">
        <f t="shared" si="18"/>
        <v>21514002.110000014</v>
      </c>
    </row>
    <row r="1095" spans="1:6" x14ac:dyDescent="0.2">
      <c r="A1095" s="3">
        <v>45630</v>
      </c>
      <c r="B1095" s="43">
        <v>82481953</v>
      </c>
      <c r="C1095" s="20" t="s">
        <v>203</v>
      </c>
      <c r="D1095" s="19"/>
      <c r="E1095" s="18">
        <v>12000</v>
      </c>
      <c r="F1095" s="15">
        <f t="shared" si="18"/>
        <v>21526002.110000014</v>
      </c>
    </row>
    <row r="1096" spans="1:6" x14ac:dyDescent="0.2">
      <c r="A1096" s="3">
        <v>45630</v>
      </c>
      <c r="B1096" s="45"/>
      <c r="C1096" s="17" t="s">
        <v>16</v>
      </c>
      <c r="D1096" s="18">
        <v>3023.64</v>
      </c>
      <c r="E1096" s="19"/>
      <c r="F1096" s="15">
        <f t="shared" si="18"/>
        <v>21522978.470000014</v>
      </c>
    </row>
    <row r="1097" spans="1:6" x14ac:dyDescent="0.2">
      <c r="A1097" s="3">
        <v>45630</v>
      </c>
      <c r="B1097" s="45"/>
      <c r="C1097" s="17" t="s">
        <v>22</v>
      </c>
      <c r="D1097" s="18">
        <v>72</v>
      </c>
      <c r="E1097" s="19"/>
      <c r="F1097" s="15">
        <f t="shared" si="18"/>
        <v>21522906.470000014</v>
      </c>
    </row>
    <row r="1098" spans="1:6" x14ac:dyDescent="0.2">
      <c r="A1098" s="3">
        <v>45631</v>
      </c>
      <c r="B1098" s="43">
        <v>31819</v>
      </c>
      <c r="C1098" s="17" t="s">
        <v>9</v>
      </c>
      <c r="D1098" s="18">
        <v>246797.6</v>
      </c>
      <c r="E1098" s="19"/>
      <c r="F1098" s="15">
        <f t="shared" si="18"/>
        <v>21276108.870000012</v>
      </c>
    </row>
    <row r="1099" spans="1:6" x14ac:dyDescent="0.2">
      <c r="A1099" s="3">
        <v>45631</v>
      </c>
      <c r="B1099" s="43">
        <v>31727</v>
      </c>
      <c r="C1099" s="17" t="s">
        <v>9</v>
      </c>
      <c r="D1099" s="18">
        <v>2613233.23</v>
      </c>
      <c r="E1099" s="19"/>
      <c r="F1099" s="15">
        <f t="shared" si="18"/>
        <v>18662875.640000012</v>
      </c>
    </row>
    <row r="1100" spans="1:6" x14ac:dyDescent="0.2">
      <c r="A1100" s="3">
        <v>45631</v>
      </c>
      <c r="B1100" s="43">
        <v>6365593</v>
      </c>
      <c r="C1100" s="20" t="s">
        <v>204</v>
      </c>
      <c r="D1100" s="19"/>
      <c r="E1100" s="18">
        <v>17045</v>
      </c>
      <c r="F1100" s="15">
        <f t="shared" si="18"/>
        <v>18679920.640000012</v>
      </c>
    </row>
    <row r="1101" spans="1:6" x14ac:dyDescent="0.2">
      <c r="A1101" s="3">
        <v>45631</v>
      </c>
      <c r="B1101" s="43">
        <v>4037494</v>
      </c>
      <c r="C1101" s="20" t="s">
        <v>205</v>
      </c>
      <c r="D1101" s="18">
        <v>1210000</v>
      </c>
      <c r="E1101" s="19"/>
      <c r="F1101" s="15">
        <f t="shared" si="18"/>
        <v>17469920.640000012</v>
      </c>
    </row>
    <row r="1102" spans="1:6" x14ac:dyDescent="0.2">
      <c r="A1102" s="3">
        <v>45631</v>
      </c>
      <c r="B1102" s="43">
        <v>4037495</v>
      </c>
      <c r="C1102" s="20" t="s">
        <v>206</v>
      </c>
      <c r="D1102" s="18">
        <v>101640</v>
      </c>
      <c r="E1102" s="19"/>
      <c r="F1102" s="15">
        <f t="shared" si="18"/>
        <v>17368280.640000012</v>
      </c>
    </row>
    <row r="1103" spans="1:6" x14ac:dyDescent="0.2">
      <c r="A1103" s="3">
        <v>45631</v>
      </c>
      <c r="B1103" s="43">
        <v>4037496</v>
      </c>
      <c r="C1103" s="20" t="s">
        <v>206</v>
      </c>
      <c r="D1103" s="18">
        <v>101640</v>
      </c>
      <c r="E1103" s="19"/>
      <c r="F1103" s="15">
        <f t="shared" si="18"/>
        <v>17266640.640000012</v>
      </c>
    </row>
    <row r="1104" spans="1:6" x14ac:dyDescent="0.2">
      <c r="A1104" s="3">
        <v>45631</v>
      </c>
      <c r="B1104" s="43">
        <v>4037497</v>
      </c>
      <c r="C1104" s="20" t="s">
        <v>19</v>
      </c>
      <c r="D1104" s="18">
        <v>3549787.2</v>
      </c>
      <c r="E1104" s="19"/>
      <c r="F1104" s="15">
        <f t="shared" si="18"/>
        <v>13716853.440000013</v>
      </c>
    </row>
    <row r="1105" spans="1:6" x14ac:dyDescent="0.2">
      <c r="A1105" s="3">
        <v>45631</v>
      </c>
      <c r="B1105" s="43">
        <v>4037500</v>
      </c>
      <c r="C1105" s="20" t="s">
        <v>162</v>
      </c>
      <c r="D1105" s="18">
        <v>1350000</v>
      </c>
      <c r="E1105" s="19"/>
      <c r="F1105" s="15">
        <f t="shared" si="18"/>
        <v>12366853.440000013</v>
      </c>
    </row>
    <row r="1106" spans="1:6" x14ac:dyDescent="0.2">
      <c r="A1106" s="3">
        <v>45631</v>
      </c>
      <c r="B1106" s="43">
        <v>4037501</v>
      </c>
      <c r="C1106" s="20" t="s">
        <v>139</v>
      </c>
      <c r="D1106" s="18">
        <v>806295.92</v>
      </c>
      <c r="E1106" s="19"/>
      <c r="F1106" s="15">
        <f t="shared" si="18"/>
        <v>11560557.520000013</v>
      </c>
    </row>
    <row r="1107" spans="1:6" x14ac:dyDescent="0.2">
      <c r="A1107" s="3">
        <v>45631</v>
      </c>
      <c r="B1107" s="45"/>
      <c r="C1107" s="17" t="s">
        <v>22</v>
      </c>
      <c r="D1107" s="18">
        <v>102.27</v>
      </c>
      <c r="E1107" s="19"/>
      <c r="F1107" s="15">
        <f t="shared" si="18"/>
        <v>11560455.250000013</v>
      </c>
    </row>
    <row r="1108" spans="1:6" x14ac:dyDescent="0.2">
      <c r="A1108" s="3">
        <v>45631</v>
      </c>
      <c r="B1108" s="45"/>
      <c r="C1108" s="17" t="s">
        <v>16</v>
      </c>
      <c r="D1108" s="18">
        <v>59876.37</v>
      </c>
      <c r="E1108" s="19"/>
      <c r="F1108" s="15">
        <f t="shared" si="18"/>
        <v>11500578.880000014</v>
      </c>
    </row>
    <row r="1109" spans="1:6" x14ac:dyDescent="0.2">
      <c r="A1109" s="3">
        <v>45631</v>
      </c>
      <c r="B1109" s="46">
        <v>13200</v>
      </c>
      <c r="C1109" s="9" t="s">
        <v>7</v>
      </c>
      <c r="D1109" s="48">
        <v>1485</v>
      </c>
      <c r="E1109" s="49"/>
      <c r="F1109" s="15">
        <f t="shared" si="18"/>
        <v>11499093.880000014</v>
      </c>
    </row>
    <row r="1110" spans="1:6" x14ac:dyDescent="0.2">
      <c r="A1110" s="3">
        <v>45631</v>
      </c>
      <c r="B1110" s="44">
        <v>13200</v>
      </c>
      <c r="C1110" s="22" t="s">
        <v>199</v>
      </c>
      <c r="D1110" s="23">
        <v>311.85000000000002</v>
      </c>
      <c r="E1110" s="24"/>
      <c r="F1110" s="15">
        <f t="shared" si="18"/>
        <v>11498782.030000014</v>
      </c>
    </row>
    <row r="1111" spans="1:6" x14ac:dyDescent="0.2">
      <c r="A1111" s="3">
        <v>45632</v>
      </c>
      <c r="B1111" s="43">
        <v>31937</v>
      </c>
      <c r="C1111" s="20" t="s">
        <v>97</v>
      </c>
      <c r="D1111" s="18">
        <v>50000</v>
      </c>
      <c r="E1111" s="19"/>
      <c r="F1111" s="15">
        <f t="shared" si="18"/>
        <v>11448782.030000014</v>
      </c>
    </row>
    <row r="1112" spans="1:6" x14ac:dyDescent="0.2">
      <c r="A1112" s="3">
        <v>45632</v>
      </c>
      <c r="B1112" s="43">
        <v>13798</v>
      </c>
      <c r="C1112" s="20" t="s">
        <v>21</v>
      </c>
      <c r="D1112" s="19"/>
      <c r="E1112" s="18">
        <v>106272.09</v>
      </c>
      <c r="F1112" s="15">
        <f t="shared" ref="F1112:F1175" si="19">+F1111+E1112-D1112</f>
        <v>11555054.120000014</v>
      </c>
    </row>
    <row r="1113" spans="1:6" x14ac:dyDescent="0.2">
      <c r="A1113" s="3">
        <v>45632</v>
      </c>
      <c r="B1113" s="45"/>
      <c r="C1113" s="17" t="s">
        <v>16</v>
      </c>
      <c r="D1113" s="18">
        <v>10.78</v>
      </c>
      <c r="E1113" s="19"/>
      <c r="F1113" s="15">
        <f t="shared" si="19"/>
        <v>11555043.340000015</v>
      </c>
    </row>
    <row r="1114" spans="1:6" x14ac:dyDescent="0.2">
      <c r="A1114" s="3">
        <v>45632</v>
      </c>
      <c r="B1114" s="45"/>
      <c r="C1114" s="17" t="s">
        <v>22</v>
      </c>
      <c r="D1114" s="18">
        <v>637.63</v>
      </c>
      <c r="E1114" s="19"/>
      <c r="F1114" s="15">
        <f t="shared" si="19"/>
        <v>11554405.710000014</v>
      </c>
    </row>
    <row r="1115" spans="1:6" x14ac:dyDescent="0.2">
      <c r="A1115" s="3">
        <v>45632</v>
      </c>
      <c r="B1115" s="45"/>
      <c r="C1115" s="17" t="s">
        <v>34</v>
      </c>
      <c r="D1115" s="18">
        <v>600</v>
      </c>
      <c r="E1115" s="19"/>
      <c r="F1115" s="15">
        <f t="shared" si="19"/>
        <v>11553805.710000014</v>
      </c>
    </row>
    <row r="1116" spans="1:6" x14ac:dyDescent="0.2">
      <c r="A1116" s="3">
        <v>45635</v>
      </c>
      <c r="B1116" s="43">
        <v>5000005</v>
      </c>
      <c r="C1116" s="17" t="s">
        <v>24</v>
      </c>
      <c r="D1116" s="19"/>
      <c r="E1116" s="18">
        <v>82250</v>
      </c>
      <c r="F1116" s="15">
        <f t="shared" si="19"/>
        <v>11636055.710000014</v>
      </c>
    </row>
    <row r="1117" spans="1:6" x14ac:dyDescent="0.2">
      <c r="A1117" s="3">
        <v>45635</v>
      </c>
      <c r="B1117" s="45"/>
      <c r="C1117" s="20" t="s">
        <v>207</v>
      </c>
      <c r="D1117" s="18">
        <v>1100</v>
      </c>
      <c r="E1117" s="19"/>
      <c r="F1117" s="15">
        <f t="shared" si="19"/>
        <v>11634955.710000014</v>
      </c>
    </row>
    <row r="1118" spans="1:6" x14ac:dyDescent="0.2">
      <c r="A1118" s="3">
        <v>45635</v>
      </c>
      <c r="B1118" s="45"/>
      <c r="C1118" s="17" t="s">
        <v>199</v>
      </c>
      <c r="D1118" s="18">
        <v>231</v>
      </c>
      <c r="E1118" s="19"/>
      <c r="F1118" s="15">
        <f t="shared" si="19"/>
        <v>11634724.710000014</v>
      </c>
    </row>
    <row r="1119" spans="1:6" x14ac:dyDescent="0.2">
      <c r="A1119" s="3">
        <v>45635</v>
      </c>
      <c r="B1119" s="43">
        <v>31938</v>
      </c>
      <c r="C1119" s="20" t="s">
        <v>97</v>
      </c>
      <c r="D1119" s="18">
        <v>50000</v>
      </c>
      <c r="E1119" s="19"/>
      <c r="F1119" s="15">
        <f t="shared" si="19"/>
        <v>11584724.710000014</v>
      </c>
    </row>
    <row r="1120" spans="1:6" x14ac:dyDescent="0.2">
      <c r="A1120" s="3">
        <v>45635</v>
      </c>
      <c r="B1120" s="43">
        <v>62674627</v>
      </c>
      <c r="C1120" s="20" t="s">
        <v>44</v>
      </c>
      <c r="D1120" s="18">
        <v>500000</v>
      </c>
      <c r="E1120" s="19"/>
      <c r="F1120" s="15">
        <f t="shared" si="19"/>
        <v>11084724.710000014</v>
      </c>
    </row>
    <row r="1121" spans="1:6" x14ac:dyDescent="0.2">
      <c r="A1121" s="3">
        <v>45635</v>
      </c>
      <c r="B1121" s="43">
        <v>31889</v>
      </c>
      <c r="C1121" s="17" t="s">
        <v>12</v>
      </c>
      <c r="D1121" s="18">
        <v>181546.98</v>
      </c>
      <c r="E1121" s="19"/>
      <c r="F1121" s="15">
        <f t="shared" si="19"/>
        <v>10903177.730000013</v>
      </c>
    </row>
    <row r="1122" spans="1:6" x14ac:dyDescent="0.2">
      <c r="A1122" s="3">
        <v>45635</v>
      </c>
      <c r="B1122" s="45"/>
      <c r="C1122" s="17" t="s">
        <v>22</v>
      </c>
      <c r="D1122" s="18">
        <v>493.5</v>
      </c>
      <c r="E1122" s="19"/>
      <c r="F1122" s="15">
        <f t="shared" si="19"/>
        <v>10902684.230000013</v>
      </c>
    </row>
    <row r="1123" spans="1:6" x14ac:dyDescent="0.2">
      <c r="A1123" s="3">
        <v>45635</v>
      </c>
      <c r="B1123" s="45"/>
      <c r="C1123" s="17" t="s">
        <v>16</v>
      </c>
      <c r="D1123" s="18">
        <v>4097.2700000000004</v>
      </c>
      <c r="E1123" s="19"/>
      <c r="F1123" s="15">
        <f t="shared" si="19"/>
        <v>10898586.960000014</v>
      </c>
    </row>
    <row r="1124" spans="1:6" x14ac:dyDescent="0.2">
      <c r="A1124" s="3">
        <v>45635</v>
      </c>
      <c r="B1124" s="45"/>
      <c r="C1124" s="17" t="s">
        <v>34</v>
      </c>
      <c r="D1124" s="18">
        <v>600</v>
      </c>
      <c r="E1124" s="19"/>
      <c r="F1124" s="15">
        <f t="shared" si="19"/>
        <v>10897986.960000014</v>
      </c>
    </row>
    <row r="1125" spans="1:6" x14ac:dyDescent="0.2">
      <c r="A1125" s="3">
        <v>45636</v>
      </c>
      <c r="B1125" s="43">
        <v>31823</v>
      </c>
      <c r="C1125" s="17" t="s">
        <v>9</v>
      </c>
      <c r="D1125" s="18">
        <v>332139.12</v>
      </c>
      <c r="E1125" s="19"/>
      <c r="F1125" s="15">
        <f t="shared" si="19"/>
        <v>10565847.840000015</v>
      </c>
    </row>
    <row r="1126" spans="1:6" x14ac:dyDescent="0.2">
      <c r="A1126" s="3">
        <v>45636</v>
      </c>
      <c r="B1126" s="45"/>
      <c r="C1126" s="20" t="s">
        <v>207</v>
      </c>
      <c r="D1126" s="18">
        <v>1100</v>
      </c>
      <c r="E1126" s="19"/>
      <c r="F1126" s="15">
        <f t="shared" si="19"/>
        <v>10564747.840000015</v>
      </c>
    </row>
    <row r="1127" spans="1:6" x14ac:dyDescent="0.2">
      <c r="A1127" s="3">
        <v>45636</v>
      </c>
      <c r="B1127" s="45"/>
      <c r="C1127" s="17" t="s">
        <v>199</v>
      </c>
      <c r="D1127" s="18">
        <v>231</v>
      </c>
      <c r="E1127" s="19"/>
      <c r="F1127" s="15">
        <f t="shared" si="19"/>
        <v>10564516.840000015</v>
      </c>
    </row>
    <row r="1128" spans="1:6" x14ac:dyDescent="0.2">
      <c r="A1128" s="3">
        <v>45636</v>
      </c>
      <c r="B1128" s="43">
        <v>7246893</v>
      </c>
      <c r="C1128" s="20" t="s">
        <v>208</v>
      </c>
      <c r="D1128" s="19"/>
      <c r="E1128" s="18">
        <v>72193.78</v>
      </c>
      <c r="F1128" s="15">
        <f t="shared" si="19"/>
        <v>10636710.620000014</v>
      </c>
    </row>
    <row r="1129" spans="1:6" x14ac:dyDescent="0.2">
      <c r="A1129" s="3">
        <v>45636</v>
      </c>
      <c r="B1129" s="45"/>
      <c r="C1129" s="17" t="s">
        <v>16</v>
      </c>
      <c r="D1129" s="18">
        <v>2000.82</v>
      </c>
      <c r="E1129" s="19"/>
      <c r="F1129" s="15">
        <f t="shared" si="19"/>
        <v>10634709.800000014</v>
      </c>
    </row>
    <row r="1130" spans="1:6" x14ac:dyDescent="0.2">
      <c r="A1130" s="3">
        <v>45636</v>
      </c>
      <c r="B1130" s="45"/>
      <c r="C1130" s="17" t="s">
        <v>22</v>
      </c>
      <c r="D1130" s="18">
        <v>433.16</v>
      </c>
      <c r="E1130" s="19"/>
      <c r="F1130" s="15">
        <f t="shared" si="19"/>
        <v>10634276.640000014</v>
      </c>
    </row>
    <row r="1131" spans="1:6" x14ac:dyDescent="0.2">
      <c r="A1131" s="3">
        <v>45637</v>
      </c>
      <c r="B1131" s="43">
        <v>31936</v>
      </c>
      <c r="C1131" s="17" t="s">
        <v>9</v>
      </c>
      <c r="D1131" s="18">
        <v>187500</v>
      </c>
      <c r="E1131" s="19"/>
      <c r="F1131" s="15">
        <f t="shared" si="19"/>
        <v>10446776.640000014</v>
      </c>
    </row>
    <row r="1132" spans="1:6" x14ac:dyDescent="0.2">
      <c r="A1132" s="3">
        <v>45637</v>
      </c>
      <c r="B1132" s="45"/>
      <c r="C1132" s="17" t="s">
        <v>16</v>
      </c>
      <c r="D1132" s="18">
        <v>1125</v>
      </c>
      <c r="E1132" s="19"/>
      <c r="F1132" s="15">
        <f t="shared" si="19"/>
        <v>10445651.640000014</v>
      </c>
    </row>
    <row r="1133" spans="1:6" x14ac:dyDescent="0.2">
      <c r="A1133" s="3">
        <v>45638</v>
      </c>
      <c r="B1133" s="43">
        <v>7546314</v>
      </c>
      <c r="C1133" s="20" t="s">
        <v>209</v>
      </c>
      <c r="D1133" s="19"/>
      <c r="E1133" s="18">
        <v>192529.78</v>
      </c>
      <c r="F1133" s="15">
        <f t="shared" si="19"/>
        <v>10638181.420000013</v>
      </c>
    </row>
    <row r="1134" spans="1:6" x14ac:dyDescent="0.2">
      <c r="A1134" s="3">
        <v>45638</v>
      </c>
      <c r="B1134" s="43">
        <v>163353</v>
      </c>
      <c r="C1134" s="20" t="s">
        <v>38</v>
      </c>
      <c r="D1134" s="19"/>
      <c r="E1134" s="18">
        <v>99351.23</v>
      </c>
      <c r="F1134" s="15">
        <f t="shared" si="19"/>
        <v>10737532.650000013</v>
      </c>
    </row>
    <row r="1135" spans="1:6" x14ac:dyDescent="0.2">
      <c r="A1135" s="3">
        <v>45638</v>
      </c>
      <c r="B1135" s="51"/>
      <c r="C1135" s="47" t="s">
        <v>22</v>
      </c>
      <c r="D1135" s="48">
        <v>1751.29</v>
      </c>
      <c r="E1135" s="49"/>
      <c r="F1135" s="15">
        <f t="shared" si="19"/>
        <v>10735781.360000014</v>
      </c>
    </row>
    <row r="1136" spans="1:6" x14ac:dyDescent="0.2">
      <c r="A1136" s="3">
        <v>45639</v>
      </c>
      <c r="B1136" s="44">
        <v>18000006</v>
      </c>
      <c r="C1136" s="22" t="s">
        <v>24</v>
      </c>
      <c r="D1136" s="30"/>
      <c r="E1136" s="31">
        <v>79489.2</v>
      </c>
      <c r="F1136" s="15">
        <f t="shared" si="19"/>
        <v>10815270.560000014</v>
      </c>
    </row>
    <row r="1137" spans="1:6" x14ac:dyDescent="0.2">
      <c r="A1137" s="3">
        <v>45639</v>
      </c>
      <c r="B1137" s="43">
        <v>88317</v>
      </c>
      <c r="C1137" s="20" t="s">
        <v>10</v>
      </c>
      <c r="D1137" s="25"/>
      <c r="E1137" s="25">
        <v>20000000</v>
      </c>
      <c r="F1137" s="15">
        <f t="shared" si="19"/>
        <v>30815270.560000014</v>
      </c>
    </row>
    <row r="1138" spans="1:6" x14ac:dyDescent="0.2">
      <c r="A1138" s="3">
        <v>45639</v>
      </c>
      <c r="B1138" s="43">
        <v>112087</v>
      </c>
      <c r="C1138" s="20" t="s">
        <v>10</v>
      </c>
      <c r="D1138" s="25"/>
      <c r="E1138" s="25">
        <v>20000000</v>
      </c>
      <c r="F1138" s="15">
        <f t="shared" si="19"/>
        <v>50815270.560000017</v>
      </c>
    </row>
    <row r="1139" spans="1:6" x14ac:dyDescent="0.2">
      <c r="A1139" s="3">
        <v>45639</v>
      </c>
      <c r="B1139" s="43">
        <v>88381</v>
      </c>
      <c r="C1139" s="20" t="s">
        <v>10</v>
      </c>
      <c r="D1139" s="25"/>
      <c r="E1139" s="25">
        <v>20000000</v>
      </c>
      <c r="F1139" s="15">
        <f t="shared" si="19"/>
        <v>70815270.560000017</v>
      </c>
    </row>
    <row r="1140" spans="1:6" x14ac:dyDescent="0.2">
      <c r="A1140" s="3">
        <v>45639</v>
      </c>
      <c r="B1140" s="43">
        <v>117356</v>
      </c>
      <c r="C1140" s="20" t="s">
        <v>10</v>
      </c>
      <c r="D1140" s="25"/>
      <c r="E1140" s="25">
        <v>20000000</v>
      </c>
      <c r="F1140" s="15">
        <f t="shared" si="19"/>
        <v>90815270.560000017</v>
      </c>
    </row>
    <row r="1141" spans="1:6" x14ac:dyDescent="0.2">
      <c r="A1141" s="3">
        <v>45639</v>
      </c>
      <c r="B1141" s="43">
        <v>4052908</v>
      </c>
      <c r="C1141" s="20" t="s">
        <v>139</v>
      </c>
      <c r="D1141" s="18">
        <v>1049263.26</v>
      </c>
      <c r="E1141" s="19"/>
      <c r="F1141" s="15">
        <f t="shared" si="19"/>
        <v>89766007.300000012</v>
      </c>
    </row>
    <row r="1142" spans="1:6" x14ac:dyDescent="0.2">
      <c r="A1142" s="3">
        <v>45639</v>
      </c>
      <c r="B1142" s="43">
        <v>4052909</v>
      </c>
      <c r="C1142" s="20" t="s">
        <v>210</v>
      </c>
      <c r="D1142" s="18">
        <v>506034.95</v>
      </c>
      <c r="E1142" s="19"/>
      <c r="F1142" s="15">
        <f t="shared" si="19"/>
        <v>89259972.350000009</v>
      </c>
    </row>
    <row r="1143" spans="1:6" x14ac:dyDescent="0.2">
      <c r="A1143" s="3">
        <v>45639</v>
      </c>
      <c r="B1143" s="43">
        <v>4052910</v>
      </c>
      <c r="C1143" s="20" t="s">
        <v>211</v>
      </c>
      <c r="D1143" s="18">
        <v>18000</v>
      </c>
      <c r="E1143" s="19"/>
      <c r="F1143" s="15">
        <f t="shared" si="19"/>
        <v>89241972.350000009</v>
      </c>
    </row>
    <row r="1144" spans="1:6" x14ac:dyDescent="0.2">
      <c r="A1144" s="3">
        <v>45639</v>
      </c>
      <c r="B1144" s="43">
        <v>4052911</v>
      </c>
      <c r="C1144" s="20" t="s">
        <v>123</v>
      </c>
      <c r="D1144" s="18">
        <v>1647656.41</v>
      </c>
      <c r="E1144" s="19"/>
      <c r="F1144" s="15">
        <f t="shared" si="19"/>
        <v>87594315.940000013</v>
      </c>
    </row>
    <row r="1145" spans="1:6" x14ac:dyDescent="0.2">
      <c r="A1145" s="3">
        <v>45639</v>
      </c>
      <c r="B1145" s="43">
        <v>4052912</v>
      </c>
      <c r="C1145" s="20" t="s">
        <v>51</v>
      </c>
      <c r="D1145" s="18">
        <v>240000</v>
      </c>
      <c r="E1145" s="19"/>
      <c r="F1145" s="15">
        <f t="shared" si="19"/>
        <v>87354315.940000013</v>
      </c>
    </row>
    <row r="1146" spans="1:6" x14ac:dyDescent="0.2">
      <c r="A1146" s="3">
        <v>45639</v>
      </c>
      <c r="B1146" s="43">
        <v>15105223</v>
      </c>
      <c r="C1146" s="20" t="s">
        <v>212</v>
      </c>
      <c r="D1146" s="18">
        <v>584396</v>
      </c>
      <c r="E1146" s="19"/>
      <c r="F1146" s="15">
        <f t="shared" si="19"/>
        <v>86769919.940000013</v>
      </c>
    </row>
    <row r="1147" spans="1:6" x14ac:dyDescent="0.2">
      <c r="A1147" s="3">
        <v>45639</v>
      </c>
      <c r="B1147" s="43">
        <v>35905</v>
      </c>
      <c r="C1147" s="20" t="s">
        <v>11</v>
      </c>
      <c r="D1147" s="18">
        <v>1344634</v>
      </c>
      <c r="E1147" s="19"/>
      <c r="F1147" s="15">
        <f t="shared" si="19"/>
        <v>85425285.940000013</v>
      </c>
    </row>
    <row r="1148" spans="1:6" x14ac:dyDescent="0.2">
      <c r="A1148" s="3">
        <v>45639</v>
      </c>
      <c r="B1148" s="43">
        <v>66192317</v>
      </c>
      <c r="C1148" s="20" t="s">
        <v>44</v>
      </c>
      <c r="D1148" s="18">
        <v>950000</v>
      </c>
      <c r="E1148" s="19"/>
      <c r="F1148" s="15">
        <f t="shared" si="19"/>
        <v>84475285.940000013</v>
      </c>
    </row>
    <row r="1149" spans="1:6" x14ac:dyDescent="0.2">
      <c r="A1149" s="3">
        <v>45639</v>
      </c>
      <c r="B1149" s="43">
        <v>5885762</v>
      </c>
      <c r="C1149" s="17" t="s">
        <v>106</v>
      </c>
      <c r="D1149" s="25"/>
      <c r="E1149" s="25">
        <v>15012352.49</v>
      </c>
      <c r="F1149" s="15">
        <f t="shared" si="19"/>
        <v>99487638.430000007</v>
      </c>
    </row>
    <row r="1150" spans="1:6" x14ac:dyDescent="0.2">
      <c r="A1150" s="3">
        <v>45639</v>
      </c>
      <c r="B1150" s="45"/>
      <c r="C1150" s="17" t="s">
        <v>13</v>
      </c>
      <c r="D1150" s="18">
        <v>19219947</v>
      </c>
      <c r="E1150" s="19"/>
      <c r="F1150" s="15">
        <f t="shared" si="19"/>
        <v>80267691.430000007</v>
      </c>
    </row>
    <row r="1151" spans="1:6" x14ac:dyDescent="0.2">
      <c r="A1151" s="3">
        <v>45639</v>
      </c>
      <c r="B1151" s="45"/>
      <c r="C1151" s="17" t="s">
        <v>202</v>
      </c>
      <c r="D1151" s="18">
        <v>98.83</v>
      </c>
      <c r="E1151" s="19"/>
      <c r="F1151" s="15">
        <f t="shared" si="19"/>
        <v>80267592.600000009</v>
      </c>
    </row>
    <row r="1152" spans="1:6" x14ac:dyDescent="0.2">
      <c r="A1152" s="3">
        <v>45639</v>
      </c>
      <c r="B1152" s="45"/>
      <c r="C1152" s="17" t="s">
        <v>14</v>
      </c>
      <c r="D1152" s="18">
        <v>470.63</v>
      </c>
      <c r="E1152" s="19"/>
      <c r="F1152" s="15">
        <f t="shared" si="19"/>
        <v>80267121.970000014</v>
      </c>
    </row>
    <row r="1153" spans="1:6" x14ac:dyDescent="0.2">
      <c r="A1153" s="3">
        <v>45639</v>
      </c>
      <c r="B1153" s="45"/>
      <c r="C1153" s="17" t="s">
        <v>22</v>
      </c>
      <c r="D1153" s="18">
        <v>476.94</v>
      </c>
      <c r="E1153" s="19"/>
      <c r="F1153" s="15">
        <f t="shared" si="19"/>
        <v>80266645.030000016</v>
      </c>
    </row>
    <row r="1154" spans="1:6" x14ac:dyDescent="0.2">
      <c r="A1154" s="3">
        <v>45639</v>
      </c>
      <c r="B1154" s="45"/>
      <c r="C1154" s="17" t="s">
        <v>16</v>
      </c>
      <c r="D1154" s="18">
        <v>153363</v>
      </c>
      <c r="E1154" s="19"/>
      <c r="F1154" s="15">
        <f t="shared" si="19"/>
        <v>80113282.030000016</v>
      </c>
    </row>
    <row r="1155" spans="1:6" x14ac:dyDescent="0.2">
      <c r="A1155" s="3">
        <v>45639</v>
      </c>
      <c r="B1155" s="43">
        <v>16834</v>
      </c>
      <c r="C1155" s="20" t="s">
        <v>7</v>
      </c>
      <c r="D1155" s="18">
        <v>120</v>
      </c>
      <c r="E1155" s="19"/>
      <c r="F1155" s="15">
        <f t="shared" si="19"/>
        <v>80113162.030000016</v>
      </c>
    </row>
    <row r="1156" spans="1:6" x14ac:dyDescent="0.2">
      <c r="A1156" s="3">
        <v>45639</v>
      </c>
      <c r="B1156" s="43">
        <v>16834</v>
      </c>
      <c r="C1156" s="17" t="s">
        <v>199</v>
      </c>
      <c r="D1156" s="18">
        <v>25.2</v>
      </c>
      <c r="E1156" s="19"/>
      <c r="F1156" s="15">
        <f t="shared" si="19"/>
        <v>80113136.830000013</v>
      </c>
    </row>
    <row r="1157" spans="1:6" x14ac:dyDescent="0.2">
      <c r="A1157" s="3">
        <v>45639</v>
      </c>
      <c r="B1157" s="43">
        <v>16835</v>
      </c>
      <c r="C1157" s="20" t="s">
        <v>7</v>
      </c>
      <c r="D1157" s="18">
        <v>720</v>
      </c>
      <c r="E1157" s="19"/>
      <c r="F1157" s="15">
        <f t="shared" si="19"/>
        <v>80112416.830000013</v>
      </c>
    </row>
    <row r="1158" spans="1:6" x14ac:dyDescent="0.2">
      <c r="A1158" s="3">
        <v>45639</v>
      </c>
      <c r="B1158" s="43">
        <v>16835</v>
      </c>
      <c r="C1158" s="17" t="s">
        <v>199</v>
      </c>
      <c r="D1158" s="18">
        <v>151.19999999999999</v>
      </c>
      <c r="E1158" s="19"/>
      <c r="F1158" s="15">
        <f t="shared" si="19"/>
        <v>80112265.63000001</v>
      </c>
    </row>
    <row r="1159" spans="1:6" x14ac:dyDescent="0.2">
      <c r="A1159" s="3">
        <v>45639</v>
      </c>
      <c r="B1159" s="43">
        <v>16836</v>
      </c>
      <c r="C1159" s="20" t="s">
        <v>7</v>
      </c>
      <c r="D1159" s="18">
        <v>1485</v>
      </c>
      <c r="E1159" s="19"/>
      <c r="F1159" s="15">
        <f t="shared" si="19"/>
        <v>80110780.63000001</v>
      </c>
    </row>
    <row r="1160" spans="1:6" x14ac:dyDescent="0.2">
      <c r="A1160" s="3">
        <v>45639</v>
      </c>
      <c r="B1160" s="43">
        <v>16836</v>
      </c>
      <c r="C1160" s="17" t="s">
        <v>199</v>
      </c>
      <c r="D1160" s="18">
        <v>311.85000000000002</v>
      </c>
      <c r="E1160" s="19"/>
      <c r="F1160" s="15">
        <f t="shared" si="19"/>
        <v>80110468.780000016</v>
      </c>
    </row>
    <row r="1161" spans="1:6" x14ac:dyDescent="0.2">
      <c r="A1161" s="3">
        <v>45639</v>
      </c>
      <c r="B1161" s="46">
        <v>16837</v>
      </c>
      <c r="C1161" s="9" t="s">
        <v>7</v>
      </c>
      <c r="D1161" s="48">
        <v>1485</v>
      </c>
      <c r="E1161" s="49"/>
      <c r="F1161" s="15">
        <f t="shared" si="19"/>
        <v>80108983.780000016</v>
      </c>
    </row>
    <row r="1162" spans="1:6" x14ac:dyDescent="0.2">
      <c r="A1162" s="3">
        <v>45639</v>
      </c>
      <c r="B1162" s="44">
        <v>16837</v>
      </c>
      <c r="C1162" s="22" t="s">
        <v>199</v>
      </c>
      <c r="D1162" s="23">
        <v>311.85000000000002</v>
      </c>
      <c r="E1162" s="24"/>
      <c r="F1162" s="15">
        <f t="shared" si="19"/>
        <v>80108671.930000022</v>
      </c>
    </row>
    <row r="1163" spans="1:6" x14ac:dyDescent="0.2">
      <c r="A1163" s="3">
        <v>45639</v>
      </c>
      <c r="B1163" s="43">
        <v>16838</v>
      </c>
      <c r="C1163" s="20" t="s">
        <v>7</v>
      </c>
      <c r="D1163" s="18">
        <v>1485</v>
      </c>
      <c r="E1163" s="19"/>
      <c r="F1163" s="15">
        <f t="shared" si="19"/>
        <v>80107186.930000022</v>
      </c>
    </row>
    <row r="1164" spans="1:6" x14ac:dyDescent="0.2">
      <c r="A1164" s="3">
        <v>45639</v>
      </c>
      <c r="B1164" s="43">
        <v>16838</v>
      </c>
      <c r="C1164" s="17" t="s">
        <v>199</v>
      </c>
      <c r="D1164" s="18">
        <v>311.85000000000002</v>
      </c>
      <c r="E1164" s="19"/>
      <c r="F1164" s="15">
        <f t="shared" si="19"/>
        <v>80106875.080000028</v>
      </c>
    </row>
    <row r="1165" spans="1:6" x14ac:dyDescent="0.2">
      <c r="A1165" s="3">
        <v>45642</v>
      </c>
      <c r="B1165" s="43">
        <v>122922</v>
      </c>
      <c r="C1165" s="20" t="s">
        <v>46</v>
      </c>
      <c r="D1165" s="18">
        <v>47846.239999999998</v>
      </c>
      <c r="E1165" s="19"/>
      <c r="F1165" s="15">
        <f t="shared" si="19"/>
        <v>80059028.840000033</v>
      </c>
    </row>
    <row r="1166" spans="1:6" x14ac:dyDescent="0.2">
      <c r="A1166" s="3">
        <v>45642</v>
      </c>
      <c r="B1166" s="43">
        <v>122923</v>
      </c>
      <c r="C1166" s="20" t="s">
        <v>46</v>
      </c>
      <c r="D1166" s="18">
        <v>580130.26</v>
      </c>
      <c r="E1166" s="19"/>
      <c r="F1166" s="15">
        <f t="shared" si="19"/>
        <v>79478898.580000028</v>
      </c>
    </row>
    <row r="1167" spans="1:6" x14ac:dyDescent="0.2">
      <c r="A1167" s="3">
        <v>45642</v>
      </c>
      <c r="B1167" s="43">
        <v>172157</v>
      </c>
      <c r="C1167" s="20" t="s">
        <v>46</v>
      </c>
      <c r="D1167" s="18">
        <v>276415.25</v>
      </c>
      <c r="E1167" s="19"/>
      <c r="F1167" s="15">
        <f t="shared" si="19"/>
        <v>79202483.330000028</v>
      </c>
    </row>
    <row r="1168" spans="1:6" x14ac:dyDescent="0.2">
      <c r="A1168" s="3">
        <v>45642</v>
      </c>
      <c r="B1168" s="43">
        <v>261521</v>
      </c>
      <c r="C1168" s="20" t="s">
        <v>46</v>
      </c>
      <c r="D1168" s="18">
        <v>2051744.02</v>
      </c>
      <c r="E1168" s="19"/>
      <c r="F1168" s="15">
        <f t="shared" si="19"/>
        <v>77150739.310000032</v>
      </c>
    </row>
    <row r="1169" spans="1:6" x14ac:dyDescent="0.2">
      <c r="A1169" s="3">
        <v>45642</v>
      </c>
      <c r="B1169" s="43">
        <v>261522</v>
      </c>
      <c r="C1169" s="20" t="s">
        <v>46</v>
      </c>
      <c r="D1169" s="18">
        <v>3850125.79</v>
      </c>
      <c r="E1169" s="19"/>
      <c r="F1169" s="15">
        <f t="shared" si="19"/>
        <v>73300613.520000026</v>
      </c>
    </row>
    <row r="1170" spans="1:6" x14ac:dyDescent="0.2">
      <c r="A1170" s="3">
        <v>45642</v>
      </c>
      <c r="B1170" s="43">
        <v>261523</v>
      </c>
      <c r="C1170" s="20" t="s">
        <v>46</v>
      </c>
      <c r="D1170" s="18">
        <v>2680479.87</v>
      </c>
      <c r="E1170" s="19"/>
      <c r="F1170" s="15">
        <f t="shared" si="19"/>
        <v>70620133.650000021</v>
      </c>
    </row>
    <row r="1171" spans="1:6" x14ac:dyDescent="0.2">
      <c r="A1171" s="3">
        <v>45642</v>
      </c>
      <c r="B1171" s="43">
        <v>261524</v>
      </c>
      <c r="C1171" s="20" t="s">
        <v>46</v>
      </c>
      <c r="D1171" s="18">
        <v>2701040.94</v>
      </c>
      <c r="E1171" s="19"/>
      <c r="F1171" s="15">
        <f t="shared" si="19"/>
        <v>67919092.710000023</v>
      </c>
    </row>
    <row r="1172" spans="1:6" x14ac:dyDescent="0.2">
      <c r="A1172" s="3">
        <v>45642</v>
      </c>
      <c r="B1172" s="43">
        <v>261525</v>
      </c>
      <c r="C1172" s="20" t="s">
        <v>46</v>
      </c>
      <c r="D1172" s="18">
        <v>2771406.99</v>
      </c>
      <c r="E1172" s="19"/>
      <c r="F1172" s="15">
        <f t="shared" si="19"/>
        <v>65147685.720000021</v>
      </c>
    </row>
    <row r="1173" spans="1:6" x14ac:dyDescent="0.2">
      <c r="A1173" s="3">
        <v>45642</v>
      </c>
      <c r="B1173" s="43">
        <v>261526</v>
      </c>
      <c r="C1173" s="20" t="s">
        <v>46</v>
      </c>
      <c r="D1173" s="18">
        <v>2971286.58</v>
      </c>
      <c r="E1173" s="19"/>
      <c r="F1173" s="15">
        <f t="shared" si="19"/>
        <v>62176399.140000023</v>
      </c>
    </row>
    <row r="1174" spans="1:6" x14ac:dyDescent="0.2">
      <c r="A1174" s="3">
        <v>45642</v>
      </c>
      <c r="B1174" s="43">
        <v>328187</v>
      </c>
      <c r="C1174" s="20" t="s">
        <v>46</v>
      </c>
      <c r="D1174" s="18">
        <v>517354.04</v>
      </c>
      <c r="E1174" s="19"/>
      <c r="F1174" s="15">
        <f t="shared" si="19"/>
        <v>61659045.100000024</v>
      </c>
    </row>
    <row r="1175" spans="1:6" x14ac:dyDescent="0.2">
      <c r="A1175" s="3">
        <v>45642</v>
      </c>
      <c r="B1175" s="43">
        <v>8040743</v>
      </c>
      <c r="C1175" s="20" t="s">
        <v>213</v>
      </c>
      <c r="D1175" s="19"/>
      <c r="E1175" s="18">
        <v>21906.799999999999</v>
      </c>
      <c r="F1175" s="15">
        <f t="shared" si="19"/>
        <v>61680951.900000021</v>
      </c>
    </row>
    <row r="1176" spans="1:6" x14ac:dyDescent="0.2">
      <c r="A1176" s="3">
        <v>45642</v>
      </c>
      <c r="B1176" s="43">
        <v>4165318</v>
      </c>
      <c r="C1176" s="20" t="s">
        <v>139</v>
      </c>
      <c r="D1176" s="18">
        <v>96599.81</v>
      </c>
      <c r="E1176" s="19"/>
      <c r="F1176" s="15">
        <f t="shared" ref="F1176:F1239" si="20">+F1175+E1176-D1176</f>
        <v>61584352.090000018</v>
      </c>
    </row>
    <row r="1177" spans="1:6" x14ac:dyDescent="0.2">
      <c r="A1177" s="3">
        <v>45642</v>
      </c>
      <c r="B1177" s="43">
        <v>4165319</v>
      </c>
      <c r="C1177" s="20" t="s">
        <v>59</v>
      </c>
      <c r="D1177" s="18">
        <v>2180388.91</v>
      </c>
      <c r="E1177" s="19"/>
      <c r="F1177" s="15">
        <f t="shared" si="20"/>
        <v>59403963.180000022</v>
      </c>
    </row>
    <row r="1178" spans="1:6" x14ac:dyDescent="0.2">
      <c r="A1178" s="3">
        <v>45642</v>
      </c>
      <c r="B1178" s="43">
        <v>33953824</v>
      </c>
      <c r="C1178" s="20" t="s">
        <v>53</v>
      </c>
      <c r="D1178" s="18">
        <v>25654.71</v>
      </c>
      <c r="E1178" s="19"/>
      <c r="F1178" s="15">
        <f t="shared" si="20"/>
        <v>59378308.470000021</v>
      </c>
    </row>
    <row r="1179" spans="1:6" x14ac:dyDescent="0.2">
      <c r="A1179" s="3">
        <v>45642</v>
      </c>
      <c r="B1179" s="43">
        <v>35342047</v>
      </c>
      <c r="C1179" s="20" t="s">
        <v>65</v>
      </c>
      <c r="D1179" s="18">
        <v>155971.4</v>
      </c>
      <c r="E1179" s="19"/>
      <c r="F1179" s="15">
        <f t="shared" si="20"/>
        <v>59222337.070000023</v>
      </c>
    </row>
    <row r="1180" spans="1:6" x14ac:dyDescent="0.2">
      <c r="A1180" s="3">
        <v>45642</v>
      </c>
      <c r="B1180" s="43">
        <v>36549992</v>
      </c>
      <c r="C1180" s="20" t="s">
        <v>66</v>
      </c>
      <c r="D1180" s="18">
        <v>539954.41</v>
      </c>
      <c r="E1180" s="19"/>
      <c r="F1180" s="15">
        <f t="shared" si="20"/>
        <v>58682382.660000026</v>
      </c>
    </row>
    <row r="1181" spans="1:6" x14ac:dyDescent="0.2">
      <c r="A1181" s="3">
        <v>45642</v>
      </c>
      <c r="B1181" s="43">
        <v>37582548</v>
      </c>
      <c r="C1181" s="20" t="s">
        <v>64</v>
      </c>
      <c r="D1181" s="18">
        <v>152404.17000000001</v>
      </c>
      <c r="E1181" s="19"/>
      <c r="F1181" s="15">
        <f t="shared" si="20"/>
        <v>58529978.490000024</v>
      </c>
    </row>
    <row r="1182" spans="1:6" x14ac:dyDescent="0.2">
      <c r="A1182" s="3">
        <v>45642</v>
      </c>
      <c r="B1182" s="43">
        <v>38758497</v>
      </c>
      <c r="C1182" s="20" t="s">
        <v>54</v>
      </c>
      <c r="D1182" s="18">
        <v>72463.61</v>
      </c>
      <c r="E1182" s="19"/>
      <c r="F1182" s="15">
        <f t="shared" si="20"/>
        <v>58457514.880000025</v>
      </c>
    </row>
    <row r="1183" spans="1:6" x14ac:dyDescent="0.2">
      <c r="A1183" s="3">
        <v>45642</v>
      </c>
      <c r="B1183" s="43">
        <v>39914435</v>
      </c>
      <c r="C1183" s="20" t="s">
        <v>55</v>
      </c>
      <c r="D1183" s="18">
        <v>97526.399999999994</v>
      </c>
      <c r="E1183" s="19"/>
      <c r="F1183" s="15">
        <f t="shared" si="20"/>
        <v>58359988.480000027</v>
      </c>
    </row>
    <row r="1184" spans="1:6" x14ac:dyDescent="0.2">
      <c r="A1184" s="3">
        <v>45642</v>
      </c>
      <c r="B1184" s="46">
        <v>41280684</v>
      </c>
      <c r="C1184" s="9" t="s">
        <v>56</v>
      </c>
      <c r="D1184" s="48">
        <v>118472.35</v>
      </c>
      <c r="E1184" s="49"/>
      <c r="F1184" s="15">
        <f t="shared" si="20"/>
        <v>58241516.130000025</v>
      </c>
    </row>
    <row r="1185" spans="1:6" x14ac:dyDescent="0.2">
      <c r="A1185" s="3">
        <v>45642</v>
      </c>
      <c r="B1185" s="44">
        <v>42295193</v>
      </c>
      <c r="C1185" s="28" t="s">
        <v>57</v>
      </c>
      <c r="D1185" s="23">
        <v>138388</v>
      </c>
      <c r="E1185" s="24"/>
      <c r="F1185" s="15">
        <f t="shared" si="20"/>
        <v>58103128.130000025</v>
      </c>
    </row>
    <row r="1186" spans="1:6" x14ac:dyDescent="0.2">
      <c r="A1186" s="3">
        <v>45642</v>
      </c>
      <c r="B1186" s="43">
        <v>66073065</v>
      </c>
      <c r="C1186" s="20" t="s">
        <v>62</v>
      </c>
      <c r="D1186" s="18">
        <v>5432.11</v>
      </c>
      <c r="E1186" s="19"/>
      <c r="F1186" s="15">
        <f t="shared" si="20"/>
        <v>58097696.020000026</v>
      </c>
    </row>
    <row r="1187" spans="1:6" x14ac:dyDescent="0.2">
      <c r="A1187" s="3">
        <v>45642</v>
      </c>
      <c r="B1187" s="43">
        <v>67290943</v>
      </c>
      <c r="C1187" s="20" t="s">
        <v>70</v>
      </c>
      <c r="D1187" s="18">
        <v>22540.400000000001</v>
      </c>
      <c r="E1187" s="19"/>
      <c r="F1187" s="15">
        <f t="shared" si="20"/>
        <v>58075155.620000027</v>
      </c>
    </row>
    <row r="1188" spans="1:6" x14ac:dyDescent="0.2">
      <c r="A1188" s="3">
        <v>45642</v>
      </c>
      <c r="B1188" s="43">
        <v>68617807</v>
      </c>
      <c r="C1188" s="20" t="s">
        <v>67</v>
      </c>
      <c r="D1188" s="18">
        <v>21934.7</v>
      </c>
      <c r="E1188" s="19"/>
      <c r="F1188" s="15">
        <f t="shared" si="20"/>
        <v>58053220.920000024</v>
      </c>
    </row>
    <row r="1189" spans="1:6" x14ac:dyDescent="0.2">
      <c r="A1189" s="3">
        <v>45642</v>
      </c>
      <c r="B1189" s="43">
        <v>69788739</v>
      </c>
      <c r="C1189" s="20" t="s">
        <v>68</v>
      </c>
      <c r="D1189" s="18">
        <v>15774.44</v>
      </c>
      <c r="E1189" s="19"/>
      <c r="F1189" s="15">
        <f t="shared" si="20"/>
        <v>58037446.480000027</v>
      </c>
    </row>
    <row r="1190" spans="1:6" x14ac:dyDescent="0.2">
      <c r="A1190" s="3">
        <v>45642</v>
      </c>
      <c r="B1190" s="43">
        <v>71060087</v>
      </c>
      <c r="C1190" s="20" t="s">
        <v>69</v>
      </c>
      <c r="D1190" s="18">
        <v>29857.119999999999</v>
      </c>
      <c r="E1190" s="19"/>
      <c r="F1190" s="15">
        <f t="shared" si="20"/>
        <v>58007589.360000029</v>
      </c>
    </row>
    <row r="1191" spans="1:6" x14ac:dyDescent="0.2">
      <c r="A1191" s="3">
        <v>45642</v>
      </c>
      <c r="B1191" s="43">
        <v>72210514</v>
      </c>
      <c r="C1191" s="20" t="s">
        <v>101</v>
      </c>
      <c r="D1191" s="18">
        <v>394991.48</v>
      </c>
      <c r="E1191" s="19"/>
      <c r="F1191" s="15">
        <f t="shared" si="20"/>
        <v>57612597.880000032</v>
      </c>
    </row>
    <row r="1192" spans="1:6" x14ac:dyDescent="0.2">
      <c r="A1192" s="3">
        <v>45642</v>
      </c>
      <c r="B1192" s="43">
        <v>73201031</v>
      </c>
      <c r="C1192" s="20" t="s">
        <v>69</v>
      </c>
      <c r="D1192" s="18">
        <v>30306.14</v>
      </c>
      <c r="E1192" s="19"/>
      <c r="F1192" s="15">
        <f t="shared" si="20"/>
        <v>57582291.740000032</v>
      </c>
    </row>
    <row r="1193" spans="1:6" x14ac:dyDescent="0.2">
      <c r="A1193" s="3">
        <v>45642</v>
      </c>
      <c r="B1193" s="43">
        <v>74240675</v>
      </c>
      <c r="C1193" s="20" t="s">
        <v>61</v>
      </c>
      <c r="D1193" s="18">
        <v>84758.75</v>
      </c>
      <c r="E1193" s="19"/>
      <c r="F1193" s="15">
        <f t="shared" si="20"/>
        <v>57497532.990000032</v>
      </c>
    </row>
    <row r="1194" spans="1:6" x14ac:dyDescent="0.2">
      <c r="A1194" s="3">
        <v>45642</v>
      </c>
      <c r="B1194" s="45"/>
      <c r="C1194" s="17" t="s">
        <v>22</v>
      </c>
      <c r="D1194" s="18">
        <v>131.44</v>
      </c>
      <c r="E1194" s="19"/>
      <c r="F1194" s="15">
        <f t="shared" si="20"/>
        <v>57497401.550000034</v>
      </c>
    </row>
    <row r="1195" spans="1:6" x14ac:dyDescent="0.2">
      <c r="A1195" s="3">
        <v>45642</v>
      </c>
      <c r="B1195" s="45"/>
      <c r="C1195" s="17" t="s">
        <v>16</v>
      </c>
      <c r="D1195" s="18">
        <v>135825.93</v>
      </c>
      <c r="E1195" s="19"/>
      <c r="F1195" s="15">
        <f t="shared" si="20"/>
        <v>57361575.620000035</v>
      </c>
    </row>
    <row r="1196" spans="1:6" x14ac:dyDescent="0.2">
      <c r="A1196" s="3">
        <v>45642</v>
      </c>
      <c r="B1196" s="43">
        <v>14536</v>
      </c>
      <c r="C1196" s="20" t="s">
        <v>7</v>
      </c>
      <c r="D1196" s="18">
        <v>720</v>
      </c>
      <c r="E1196" s="19"/>
      <c r="F1196" s="15">
        <f t="shared" si="20"/>
        <v>57360855.620000035</v>
      </c>
    </row>
    <row r="1197" spans="1:6" x14ac:dyDescent="0.2">
      <c r="A1197" s="3">
        <v>45642</v>
      </c>
      <c r="B1197" s="43">
        <v>14536</v>
      </c>
      <c r="C1197" s="17" t="s">
        <v>199</v>
      </c>
      <c r="D1197" s="18">
        <v>151.19999999999999</v>
      </c>
      <c r="E1197" s="19"/>
      <c r="F1197" s="15">
        <f t="shared" si="20"/>
        <v>57360704.420000032</v>
      </c>
    </row>
    <row r="1198" spans="1:6" x14ac:dyDescent="0.2">
      <c r="A1198" s="3">
        <v>45642</v>
      </c>
      <c r="B1198" s="43">
        <v>14537</v>
      </c>
      <c r="C1198" s="20" t="s">
        <v>7</v>
      </c>
      <c r="D1198" s="18">
        <v>1485</v>
      </c>
      <c r="E1198" s="19"/>
      <c r="F1198" s="15">
        <f t="shared" si="20"/>
        <v>57359219.420000032</v>
      </c>
    </row>
    <row r="1199" spans="1:6" x14ac:dyDescent="0.2">
      <c r="A1199" s="3">
        <v>45642</v>
      </c>
      <c r="B1199" s="43">
        <v>14537</v>
      </c>
      <c r="C1199" s="17" t="s">
        <v>199</v>
      </c>
      <c r="D1199" s="18">
        <v>311.85000000000002</v>
      </c>
      <c r="E1199" s="19"/>
      <c r="F1199" s="15">
        <f t="shared" si="20"/>
        <v>57358907.57000003</v>
      </c>
    </row>
    <row r="1200" spans="1:6" x14ac:dyDescent="0.2">
      <c r="A1200" s="3">
        <v>45643</v>
      </c>
      <c r="B1200" s="43">
        <v>8286745</v>
      </c>
      <c r="C1200" s="20" t="s">
        <v>214</v>
      </c>
      <c r="D1200" s="19"/>
      <c r="E1200" s="18">
        <v>31088.28</v>
      </c>
      <c r="F1200" s="15">
        <f t="shared" si="20"/>
        <v>57389995.850000031</v>
      </c>
    </row>
    <row r="1201" spans="1:6" x14ac:dyDescent="0.2">
      <c r="A1201" s="3">
        <v>45643</v>
      </c>
      <c r="B1201" s="43">
        <v>674647</v>
      </c>
      <c r="C1201" s="20" t="s">
        <v>215</v>
      </c>
      <c r="D1201" s="19"/>
      <c r="E1201" s="18">
        <v>721025.43</v>
      </c>
      <c r="F1201" s="15">
        <f t="shared" si="20"/>
        <v>58111021.280000031</v>
      </c>
    </row>
    <row r="1202" spans="1:6" x14ac:dyDescent="0.2">
      <c r="A1202" s="3">
        <v>45643</v>
      </c>
      <c r="B1202" s="43">
        <v>669262</v>
      </c>
      <c r="C1202" s="20" t="s">
        <v>216</v>
      </c>
      <c r="D1202" s="19"/>
      <c r="E1202" s="18">
        <v>6500</v>
      </c>
      <c r="F1202" s="15">
        <f t="shared" si="20"/>
        <v>58117521.280000031</v>
      </c>
    </row>
    <row r="1203" spans="1:6" x14ac:dyDescent="0.2">
      <c r="A1203" s="3">
        <v>45643</v>
      </c>
      <c r="B1203" s="45"/>
      <c r="C1203" s="17" t="s">
        <v>22</v>
      </c>
      <c r="D1203" s="18">
        <v>4551.68</v>
      </c>
      <c r="E1203" s="19"/>
      <c r="F1203" s="15">
        <f t="shared" si="20"/>
        <v>58112969.600000031</v>
      </c>
    </row>
    <row r="1204" spans="1:6" x14ac:dyDescent="0.2">
      <c r="A1204" s="3">
        <v>45643</v>
      </c>
      <c r="B1204" s="45"/>
      <c r="C1204" s="17" t="s">
        <v>16</v>
      </c>
      <c r="D1204" s="18">
        <v>16.010000000000002</v>
      </c>
      <c r="E1204" s="19"/>
      <c r="F1204" s="15">
        <f t="shared" si="20"/>
        <v>58112953.590000033</v>
      </c>
    </row>
    <row r="1205" spans="1:6" x14ac:dyDescent="0.2">
      <c r="A1205" s="3">
        <v>45644</v>
      </c>
      <c r="B1205" s="43">
        <v>31958</v>
      </c>
      <c r="C1205" s="20" t="s">
        <v>30</v>
      </c>
      <c r="D1205" s="18">
        <v>50000</v>
      </c>
      <c r="E1205" s="19"/>
      <c r="F1205" s="15">
        <f t="shared" si="20"/>
        <v>58062953.590000033</v>
      </c>
    </row>
    <row r="1206" spans="1:6" x14ac:dyDescent="0.2">
      <c r="A1206" s="3">
        <v>45644</v>
      </c>
      <c r="B1206" s="43">
        <v>31960</v>
      </c>
      <c r="C1206" s="20" t="s">
        <v>98</v>
      </c>
      <c r="D1206" s="18">
        <v>50000</v>
      </c>
      <c r="E1206" s="19"/>
      <c r="F1206" s="15">
        <f t="shared" si="20"/>
        <v>58012953.590000033</v>
      </c>
    </row>
    <row r="1207" spans="1:6" x14ac:dyDescent="0.2">
      <c r="A1207" s="3">
        <v>45644</v>
      </c>
      <c r="B1207" s="43">
        <v>31959</v>
      </c>
      <c r="C1207" s="20" t="s">
        <v>29</v>
      </c>
      <c r="D1207" s="18">
        <v>50000</v>
      </c>
      <c r="E1207" s="19"/>
      <c r="F1207" s="15">
        <f t="shared" si="20"/>
        <v>57962953.590000033</v>
      </c>
    </row>
    <row r="1208" spans="1:6" x14ac:dyDescent="0.2">
      <c r="A1208" s="3">
        <v>45644</v>
      </c>
      <c r="B1208" s="43">
        <v>31957</v>
      </c>
      <c r="C1208" s="20" t="s">
        <v>98</v>
      </c>
      <c r="D1208" s="18">
        <v>50000</v>
      </c>
      <c r="E1208" s="19"/>
      <c r="F1208" s="15">
        <f t="shared" si="20"/>
        <v>57912953.590000033</v>
      </c>
    </row>
    <row r="1209" spans="1:6" x14ac:dyDescent="0.2">
      <c r="A1209" s="3">
        <v>45644</v>
      </c>
      <c r="B1209" s="45"/>
      <c r="C1209" s="17" t="s">
        <v>34</v>
      </c>
      <c r="D1209" s="18">
        <v>1200</v>
      </c>
      <c r="E1209" s="19"/>
      <c r="F1209" s="15">
        <f t="shared" si="20"/>
        <v>57911753.590000033</v>
      </c>
    </row>
    <row r="1210" spans="1:6" x14ac:dyDescent="0.2">
      <c r="A1210" s="3">
        <v>45644</v>
      </c>
      <c r="B1210" s="51"/>
      <c r="C1210" s="47" t="s">
        <v>16</v>
      </c>
      <c r="D1210" s="48">
        <v>600</v>
      </c>
      <c r="E1210" s="49"/>
      <c r="F1210" s="15">
        <f t="shared" si="20"/>
        <v>57911153.590000033</v>
      </c>
    </row>
    <row r="1211" spans="1:6" x14ac:dyDescent="0.2">
      <c r="A1211" s="3">
        <v>45645</v>
      </c>
      <c r="B1211" s="44">
        <v>2583</v>
      </c>
      <c r="C1211" s="28" t="s">
        <v>76</v>
      </c>
      <c r="D1211" s="23">
        <v>600701</v>
      </c>
      <c r="E1211" s="24"/>
      <c r="F1211" s="15">
        <f t="shared" si="20"/>
        <v>57310452.590000033</v>
      </c>
    </row>
    <row r="1212" spans="1:6" x14ac:dyDescent="0.2">
      <c r="A1212" s="3">
        <v>45645</v>
      </c>
      <c r="B1212" s="45"/>
      <c r="C1212" s="20" t="s">
        <v>103</v>
      </c>
      <c r="D1212" s="18">
        <v>2000</v>
      </c>
      <c r="E1212" s="19"/>
      <c r="F1212" s="15">
        <f t="shared" si="20"/>
        <v>57308452.590000033</v>
      </c>
    </row>
    <row r="1213" spans="1:6" x14ac:dyDescent="0.2">
      <c r="A1213" s="3">
        <v>45645</v>
      </c>
      <c r="B1213" s="45"/>
      <c r="C1213" s="17" t="s">
        <v>199</v>
      </c>
      <c r="D1213" s="18">
        <v>420</v>
      </c>
      <c r="E1213" s="19"/>
      <c r="F1213" s="15">
        <f t="shared" si="20"/>
        <v>57308032.590000033</v>
      </c>
    </row>
    <row r="1214" spans="1:6" x14ac:dyDescent="0.2">
      <c r="A1214" s="3">
        <v>45645</v>
      </c>
      <c r="B1214" s="45"/>
      <c r="C1214" s="17" t="s">
        <v>37</v>
      </c>
      <c r="D1214" s="18">
        <v>60</v>
      </c>
      <c r="E1214" s="19"/>
      <c r="F1214" s="15">
        <f t="shared" si="20"/>
        <v>57307972.590000033</v>
      </c>
    </row>
    <row r="1215" spans="1:6" x14ac:dyDescent="0.2">
      <c r="A1215" s="3">
        <v>45645</v>
      </c>
      <c r="B1215" s="43">
        <v>691967</v>
      </c>
      <c r="C1215" s="20" t="s">
        <v>217</v>
      </c>
      <c r="D1215" s="25"/>
      <c r="E1215" s="25">
        <v>50000000</v>
      </c>
      <c r="F1215" s="15">
        <f t="shared" si="20"/>
        <v>107307972.59000003</v>
      </c>
    </row>
    <row r="1216" spans="1:6" x14ac:dyDescent="0.2">
      <c r="A1216" s="3">
        <v>45645</v>
      </c>
      <c r="B1216" s="43">
        <v>4188682</v>
      </c>
      <c r="C1216" s="20" t="s">
        <v>20</v>
      </c>
      <c r="D1216" s="18">
        <v>1037500</v>
      </c>
      <c r="E1216" s="19"/>
      <c r="F1216" s="15">
        <f t="shared" si="20"/>
        <v>106270472.59000003</v>
      </c>
    </row>
    <row r="1217" spans="1:6" x14ac:dyDescent="0.2">
      <c r="A1217" s="3">
        <v>45645</v>
      </c>
      <c r="B1217" s="43">
        <v>4188688</v>
      </c>
      <c r="C1217" s="20" t="s">
        <v>218</v>
      </c>
      <c r="D1217" s="18">
        <v>2934520</v>
      </c>
      <c r="E1217" s="19"/>
      <c r="F1217" s="15">
        <f t="shared" si="20"/>
        <v>103335952.59000003</v>
      </c>
    </row>
    <row r="1218" spans="1:6" x14ac:dyDescent="0.2">
      <c r="A1218" s="3">
        <v>45645</v>
      </c>
      <c r="B1218" s="43">
        <v>93508</v>
      </c>
      <c r="C1218" s="20" t="s">
        <v>11</v>
      </c>
      <c r="D1218" s="18">
        <v>4118488</v>
      </c>
      <c r="E1218" s="19"/>
      <c r="F1218" s="15">
        <f t="shared" si="20"/>
        <v>99217464.590000033</v>
      </c>
    </row>
    <row r="1219" spans="1:6" x14ac:dyDescent="0.2">
      <c r="A1219" s="3">
        <v>45645</v>
      </c>
      <c r="B1219" s="45"/>
      <c r="C1219" s="17" t="s">
        <v>13</v>
      </c>
      <c r="D1219" s="18">
        <v>47730918</v>
      </c>
      <c r="E1219" s="19"/>
      <c r="F1219" s="15">
        <f t="shared" si="20"/>
        <v>51486546.590000033</v>
      </c>
    </row>
    <row r="1220" spans="1:6" x14ac:dyDescent="0.2">
      <c r="A1220" s="3">
        <v>45645</v>
      </c>
      <c r="B1220" s="45"/>
      <c r="C1220" s="17" t="s">
        <v>14</v>
      </c>
      <c r="D1220" s="18">
        <v>1441.46</v>
      </c>
      <c r="E1220" s="19"/>
      <c r="F1220" s="15">
        <f t="shared" si="20"/>
        <v>51485105.130000032</v>
      </c>
    </row>
    <row r="1221" spans="1:6" x14ac:dyDescent="0.2">
      <c r="A1221" s="3">
        <v>45645</v>
      </c>
      <c r="B1221" s="45"/>
      <c r="C1221" s="17" t="s">
        <v>202</v>
      </c>
      <c r="D1221" s="18">
        <v>302.69</v>
      </c>
      <c r="E1221" s="19"/>
      <c r="F1221" s="15">
        <f t="shared" si="20"/>
        <v>51484802.440000035</v>
      </c>
    </row>
    <row r="1222" spans="1:6" x14ac:dyDescent="0.2">
      <c r="A1222" s="3">
        <v>45645</v>
      </c>
      <c r="B1222" s="45"/>
      <c r="C1222" s="17" t="s">
        <v>16</v>
      </c>
      <c r="D1222" s="18">
        <v>338558.12</v>
      </c>
      <c r="E1222" s="19"/>
      <c r="F1222" s="15">
        <f t="shared" si="20"/>
        <v>51146244.320000038</v>
      </c>
    </row>
    <row r="1223" spans="1:6" x14ac:dyDescent="0.2">
      <c r="A1223" s="3">
        <v>45645</v>
      </c>
      <c r="B1223" s="43">
        <v>15015</v>
      </c>
      <c r="C1223" s="20" t="s">
        <v>7</v>
      </c>
      <c r="D1223" s="18">
        <v>1485</v>
      </c>
      <c r="E1223" s="19"/>
      <c r="F1223" s="15">
        <f t="shared" si="20"/>
        <v>51144759.320000038</v>
      </c>
    </row>
    <row r="1224" spans="1:6" x14ac:dyDescent="0.2">
      <c r="A1224" s="3">
        <v>45645</v>
      </c>
      <c r="B1224" s="43">
        <v>15015</v>
      </c>
      <c r="C1224" s="17" t="s">
        <v>199</v>
      </c>
      <c r="D1224" s="18">
        <v>311.85000000000002</v>
      </c>
      <c r="E1224" s="19"/>
      <c r="F1224" s="15">
        <f t="shared" si="20"/>
        <v>51144447.470000036</v>
      </c>
    </row>
    <row r="1225" spans="1:6" x14ac:dyDescent="0.2">
      <c r="A1225" s="3">
        <v>45645</v>
      </c>
      <c r="B1225" s="43">
        <v>15016</v>
      </c>
      <c r="C1225" s="20" t="s">
        <v>7</v>
      </c>
      <c r="D1225" s="18">
        <v>1485</v>
      </c>
      <c r="E1225" s="19"/>
      <c r="F1225" s="15">
        <f t="shared" si="20"/>
        <v>51142962.470000036</v>
      </c>
    </row>
    <row r="1226" spans="1:6" x14ac:dyDescent="0.2">
      <c r="A1226" s="3">
        <v>45645</v>
      </c>
      <c r="B1226" s="43">
        <v>15016</v>
      </c>
      <c r="C1226" s="17" t="s">
        <v>199</v>
      </c>
      <c r="D1226" s="18">
        <v>311.85000000000002</v>
      </c>
      <c r="E1226" s="19"/>
      <c r="F1226" s="15">
        <f t="shared" si="20"/>
        <v>51142650.620000035</v>
      </c>
    </row>
    <row r="1227" spans="1:6" x14ac:dyDescent="0.2">
      <c r="A1227" s="3">
        <v>45646</v>
      </c>
      <c r="B1227" s="43">
        <v>31894</v>
      </c>
      <c r="C1227" s="17" t="s">
        <v>9</v>
      </c>
      <c r="D1227" s="18">
        <v>64966.84</v>
      </c>
      <c r="E1227" s="19"/>
      <c r="F1227" s="15">
        <f t="shared" si="20"/>
        <v>51077683.780000031</v>
      </c>
    </row>
    <row r="1228" spans="1:6" x14ac:dyDescent="0.2">
      <c r="A1228" s="3">
        <v>45646</v>
      </c>
      <c r="B1228" s="43">
        <v>4066131</v>
      </c>
      <c r="C1228" s="20" t="s">
        <v>219</v>
      </c>
      <c r="D1228" s="18">
        <v>96000</v>
      </c>
      <c r="E1228" s="19"/>
      <c r="F1228" s="15">
        <f t="shared" si="20"/>
        <v>50981683.780000031</v>
      </c>
    </row>
    <row r="1229" spans="1:6" x14ac:dyDescent="0.2">
      <c r="A1229" s="3">
        <v>45646</v>
      </c>
      <c r="B1229" s="43">
        <v>4066133</v>
      </c>
      <c r="C1229" s="20" t="s">
        <v>178</v>
      </c>
      <c r="D1229" s="18">
        <v>26233.62</v>
      </c>
      <c r="E1229" s="19"/>
      <c r="F1229" s="15">
        <f t="shared" si="20"/>
        <v>50955450.160000034</v>
      </c>
    </row>
    <row r="1230" spans="1:6" x14ac:dyDescent="0.2">
      <c r="A1230" s="3">
        <v>45646</v>
      </c>
      <c r="B1230" s="43">
        <v>4066137</v>
      </c>
      <c r="C1230" s="20" t="s">
        <v>220</v>
      </c>
      <c r="D1230" s="18">
        <v>360909.8</v>
      </c>
      <c r="E1230" s="19"/>
      <c r="F1230" s="15">
        <f t="shared" si="20"/>
        <v>50594540.360000037</v>
      </c>
    </row>
    <row r="1231" spans="1:6" x14ac:dyDescent="0.2">
      <c r="A1231" s="3">
        <v>45646</v>
      </c>
      <c r="B1231" s="43">
        <v>31908</v>
      </c>
      <c r="C1231" s="17" t="s">
        <v>12</v>
      </c>
      <c r="D1231" s="18">
        <v>85638.42</v>
      </c>
      <c r="E1231" s="19"/>
      <c r="F1231" s="15">
        <f t="shared" si="20"/>
        <v>50508901.940000035</v>
      </c>
    </row>
    <row r="1232" spans="1:6" x14ac:dyDescent="0.2">
      <c r="A1232" s="3">
        <v>45646</v>
      </c>
      <c r="B1232" s="45"/>
      <c r="C1232" s="17" t="s">
        <v>16</v>
      </c>
      <c r="D1232" s="18">
        <v>3824.05</v>
      </c>
      <c r="E1232" s="19"/>
      <c r="F1232" s="15">
        <f t="shared" si="20"/>
        <v>50505077.890000038</v>
      </c>
    </row>
    <row r="1233" spans="1:6" x14ac:dyDescent="0.2">
      <c r="A1233" s="3">
        <v>45646</v>
      </c>
      <c r="B1233" s="43">
        <v>19865</v>
      </c>
      <c r="C1233" s="20" t="s">
        <v>7</v>
      </c>
      <c r="D1233" s="18">
        <v>315</v>
      </c>
      <c r="E1233" s="19"/>
      <c r="F1233" s="15">
        <f t="shared" si="20"/>
        <v>50504762.890000038</v>
      </c>
    </row>
    <row r="1234" spans="1:6" x14ac:dyDescent="0.2">
      <c r="A1234" s="3">
        <v>45646</v>
      </c>
      <c r="B1234" s="43">
        <v>19865</v>
      </c>
      <c r="C1234" s="17" t="s">
        <v>199</v>
      </c>
      <c r="D1234" s="18">
        <v>66.150000000000006</v>
      </c>
      <c r="E1234" s="19"/>
      <c r="F1234" s="15">
        <f t="shared" si="20"/>
        <v>50504696.740000039</v>
      </c>
    </row>
    <row r="1235" spans="1:6" x14ac:dyDescent="0.2">
      <c r="A1235" s="3">
        <v>45646</v>
      </c>
      <c r="B1235" s="43">
        <v>19866</v>
      </c>
      <c r="C1235" s="20" t="s">
        <v>7</v>
      </c>
      <c r="D1235" s="18">
        <v>720</v>
      </c>
      <c r="E1235" s="19"/>
      <c r="F1235" s="15">
        <f t="shared" si="20"/>
        <v>50503976.740000039</v>
      </c>
    </row>
    <row r="1236" spans="1:6" x14ac:dyDescent="0.2">
      <c r="A1236" s="3">
        <v>45646</v>
      </c>
      <c r="B1236" s="43">
        <v>19866</v>
      </c>
      <c r="C1236" s="17" t="s">
        <v>199</v>
      </c>
      <c r="D1236" s="18">
        <v>151.19999999999999</v>
      </c>
      <c r="E1236" s="19"/>
      <c r="F1236" s="15">
        <f t="shared" si="20"/>
        <v>50503825.540000036</v>
      </c>
    </row>
    <row r="1237" spans="1:6" x14ac:dyDescent="0.2">
      <c r="A1237" s="3">
        <v>45646</v>
      </c>
      <c r="B1237" s="46">
        <v>19867</v>
      </c>
      <c r="C1237" s="9" t="s">
        <v>7</v>
      </c>
      <c r="D1237" s="48">
        <v>1485</v>
      </c>
      <c r="E1237" s="49"/>
      <c r="F1237" s="15">
        <f t="shared" si="20"/>
        <v>50502340.540000036</v>
      </c>
    </row>
    <row r="1238" spans="1:6" x14ac:dyDescent="0.2">
      <c r="A1238" s="3">
        <v>45646</v>
      </c>
      <c r="B1238" s="44">
        <v>19867</v>
      </c>
      <c r="C1238" s="22" t="s">
        <v>199</v>
      </c>
      <c r="D1238" s="23">
        <v>311.85000000000002</v>
      </c>
      <c r="E1238" s="24"/>
      <c r="F1238" s="15">
        <f t="shared" si="20"/>
        <v>50502028.690000035</v>
      </c>
    </row>
    <row r="1239" spans="1:6" x14ac:dyDescent="0.2">
      <c r="A1239" s="3">
        <v>45649</v>
      </c>
      <c r="B1239" s="43">
        <v>31827</v>
      </c>
      <c r="C1239" s="17" t="s">
        <v>9</v>
      </c>
      <c r="D1239" s="18">
        <v>104864.5</v>
      </c>
      <c r="E1239" s="19"/>
      <c r="F1239" s="15">
        <f t="shared" si="20"/>
        <v>50397164.190000035</v>
      </c>
    </row>
    <row r="1240" spans="1:6" x14ac:dyDescent="0.2">
      <c r="A1240" s="3">
        <v>45649</v>
      </c>
      <c r="B1240" s="43">
        <v>31915</v>
      </c>
      <c r="C1240" s="17" t="s">
        <v>9</v>
      </c>
      <c r="D1240" s="18">
        <v>253551.52</v>
      </c>
      <c r="E1240" s="19"/>
      <c r="F1240" s="15">
        <f t="shared" ref="F1240:F1303" si="21">+F1239+E1240-D1240</f>
        <v>50143612.670000032</v>
      </c>
    </row>
    <row r="1241" spans="1:6" x14ac:dyDescent="0.2">
      <c r="A1241" s="3">
        <v>45649</v>
      </c>
      <c r="B1241" s="43">
        <v>31795</v>
      </c>
      <c r="C1241" s="17" t="s">
        <v>9</v>
      </c>
      <c r="D1241" s="18">
        <v>517526.75</v>
      </c>
      <c r="E1241" s="19"/>
      <c r="F1241" s="15">
        <f t="shared" si="21"/>
        <v>49626085.920000032</v>
      </c>
    </row>
    <row r="1242" spans="1:6" x14ac:dyDescent="0.2">
      <c r="A1242" s="3">
        <v>45649</v>
      </c>
      <c r="B1242" s="43">
        <v>31873</v>
      </c>
      <c r="C1242" s="17" t="s">
        <v>9</v>
      </c>
      <c r="D1242" s="18">
        <v>953000</v>
      </c>
      <c r="E1242" s="19"/>
      <c r="F1242" s="15">
        <f t="shared" si="21"/>
        <v>48673085.920000032</v>
      </c>
    </row>
    <row r="1243" spans="1:6" x14ac:dyDescent="0.2">
      <c r="A1243" s="3">
        <v>45649</v>
      </c>
      <c r="B1243" s="43">
        <v>31796</v>
      </c>
      <c r="C1243" s="17" t="s">
        <v>9</v>
      </c>
      <c r="D1243" s="18">
        <v>996140.97</v>
      </c>
      <c r="E1243" s="19"/>
      <c r="F1243" s="15">
        <f t="shared" si="21"/>
        <v>47676944.950000033</v>
      </c>
    </row>
    <row r="1244" spans="1:6" x14ac:dyDescent="0.2">
      <c r="A1244" s="3">
        <v>45649</v>
      </c>
      <c r="B1244" s="43">
        <v>2336534</v>
      </c>
      <c r="C1244" s="20" t="s">
        <v>221</v>
      </c>
      <c r="D1244" s="19"/>
      <c r="E1244" s="18">
        <v>15278</v>
      </c>
      <c r="F1244" s="15">
        <f t="shared" si="21"/>
        <v>47692222.950000033</v>
      </c>
    </row>
    <row r="1245" spans="1:6" x14ac:dyDescent="0.2">
      <c r="A1245" s="3">
        <v>45649</v>
      </c>
      <c r="B1245" s="43">
        <v>722545</v>
      </c>
      <c r="C1245" s="20" t="s">
        <v>217</v>
      </c>
      <c r="D1245" s="25"/>
      <c r="E1245" s="25">
        <v>80000000</v>
      </c>
      <c r="F1245" s="15">
        <f t="shared" si="21"/>
        <v>127692222.95000003</v>
      </c>
    </row>
    <row r="1246" spans="1:6" x14ac:dyDescent="0.2">
      <c r="A1246" s="3">
        <v>45649</v>
      </c>
      <c r="B1246" s="43">
        <v>14748883</v>
      </c>
      <c r="C1246" s="20" t="s">
        <v>84</v>
      </c>
      <c r="D1246" s="18">
        <v>3950000</v>
      </c>
      <c r="E1246" s="19"/>
      <c r="F1246" s="15">
        <f t="shared" si="21"/>
        <v>123742222.95000003</v>
      </c>
    </row>
    <row r="1247" spans="1:6" x14ac:dyDescent="0.2">
      <c r="A1247" s="3">
        <v>45649</v>
      </c>
      <c r="B1247" s="43">
        <v>14748884</v>
      </c>
      <c r="C1247" s="20" t="s">
        <v>84</v>
      </c>
      <c r="D1247" s="18">
        <v>1098434</v>
      </c>
      <c r="E1247" s="19"/>
      <c r="F1247" s="15">
        <f t="shared" si="21"/>
        <v>122643788.95000003</v>
      </c>
    </row>
    <row r="1248" spans="1:6" x14ac:dyDescent="0.2">
      <c r="A1248" s="3">
        <v>45649</v>
      </c>
      <c r="B1248" s="43">
        <v>14748885</v>
      </c>
      <c r="C1248" s="20" t="s">
        <v>84</v>
      </c>
      <c r="D1248" s="18">
        <v>1835202</v>
      </c>
      <c r="E1248" s="19"/>
      <c r="F1248" s="15">
        <f t="shared" si="21"/>
        <v>120808586.95000003</v>
      </c>
    </row>
    <row r="1249" spans="1:6" x14ac:dyDescent="0.2">
      <c r="A1249" s="3">
        <v>45649</v>
      </c>
      <c r="B1249" s="43">
        <v>14748886</v>
      </c>
      <c r="C1249" s="20" t="s">
        <v>84</v>
      </c>
      <c r="D1249" s="18">
        <v>1214400</v>
      </c>
      <c r="E1249" s="19"/>
      <c r="F1249" s="15">
        <f t="shared" si="21"/>
        <v>119594186.95000003</v>
      </c>
    </row>
    <row r="1250" spans="1:6" x14ac:dyDescent="0.2">
      <c r="A1250" s="3">
        <v>45649</v>
      </c>
      <c r="B1250" s="43">
        <v>14748887</v>
      </c>
      <c r="C1250" s="20" t="s">
        <v>84</v>
      </c>
      <c r="D1250" s="18">
        <v>707570</v>
      </c>
      <c r="E1250" s="19"/>
      <c r="F1250" s="15">
        <f t="shared" si="21"/>
        <v>118886616.95000003</v>
      </c>
    </row>
    <row r="1251" spans="1:6" x14ac:dyDescent="0.2">
      <c r="A1251" s="3">
        <v>45649</v>
      </c>
      <c r="B1251" s="43">
        <v>14748888</v>
      </c>
      <c r="C1251" s="20" t="s">
        <v>84</v>
      </c>
      <c r="D1251" s="18">
        <v>200000</v>
      </c>
      <c r="E1251" s="19"/>
      <c r="F1251" s="15">
        <f t="shared" si="21"/>
        <v>118686616.95000003</v>
      </c>
    </row>
    <row r="1252" spans="1:6" x14ac:dyDescent="0.2">
      <c r="A1252" s="3">
        <v>45649</v>
      </c>
      <c r="B1252" s="43">
        <v>14748889</v>
      </c>
      <c r="C1252" s="20" t="s">
        <v>84</v>
      </c>
      <c r="D1252" s="18">
        <v>4129100</v>
      </c>
      <c r="E1252" s="19"/>
      <c r="F1252" s="15">
        <f t="shared" si="21"/>
        <v>114557516.95000003</v>
      </c>
    </row>
    <row r="1253" spans="1:6" x14ac:dyDescent="0.2">
      <c r="A1253" s="3">
        <v>45649</v>
      </c>
      <c r="B1253" s="43">
        <v>14748890</v>
      </c>
      <c r="C1253" s="20" t="s">
        <v>84</v>
      </c>
      <c r="D1253" s="18">
        <v>187500</v>
      </c>
      <c r="E1253" s="19"/>
      <c r="F1253" s="15">
        <f t="shared" si="21"/>
        <v>114370016.95000003</v>
      </c>
    </row>
    <row r="1254" spans="1:6" x14ac:dyDescent="0.2">
      <c r="A1254" s="3">
        <v>45649</v>
      </c>
      <c r="B1254" s="43">
        <v>14748891</v>
      </c>
      <c r="C1254" s="20" t="s">
        <v>84</v>
      </c>
      <c r="D1254" s="18">
        <v>627750</v>
      </c>
      <c r="E1254" s="19"/>
      <c r="F1254" s="15">
        <f t="shared" si="21"/>
        <v>113742266.95000003</v>
      </c>
    </row>
    <row r="1255" spans="1:6" x14ac:dyDescent="0.2">
      <c r="A1255" s="3">
        <v>45649</v>
      </c>
      <c r="B1255" s="43">
        <v>14748892</v>
      </c>
      <c r="C1255" s="20" t="s">
        <v>84</v>
      </c>
      <c r="D1255" s="18">
        <v>1906935</v>
      </c>
      <c r="E1255" s="19"/>
      <c r="F1255" s="15">
        <f t="shared" si="21"/>
        <v>111835331.95000003</v>
      </c>
    </row>
    <row r="1256" spans="1:6" x14ac:dyDescent="0.2">
      <c r="A1256" s="3">
        <v>45649</v>
      </c>
      <c r="B1256" s="43">
        <v>14748893</v>
      </c>
      <c r="C1256" s="20" t="s">
        <v>84</v>
      </c>
      <c r="D1256" s="18">
        <v>829825</v>
      </c>
      <c r="E1256" s="19"/>
      <c r="F1256" s="15">
        <f t="shared" si="21"/>
        <v>111005506.95000003</v>
      </c>
    </row>
    <row r="1257" spans="1:6" x14ac:dyDescent="0.2">
      <c r="A1257" s="3">
        <v>45649</v>
      </c>
      <c r="B1257" s="43">
        <v>14748894</v>
      </c>
      <c r="C1257" s="20" t="s">
        <v>84</v>
      </c>
      <c r="D1257" s="18">
        <v>2100000</v>
      </c>
      <c r="E1257" s="19"/>
      <c r="F1257" s="15">
        <f t="shared" si="21"/>
        <v>108905506.95000003</v>
      </c>
    </row>
    <row r="1258" spans="1:6" x14ac:dyDescent="0.2">
      <c r="A1258" s="3">
        <v>45649</v>
      </c>
      <c r="B1258" s="43">
        <v>14748895</v>
      </c>
      <c r="C1258" s="20" t="s">
        <v>84</v>
      </c>
      <c r="D1258" s="18">
        <v>150000</v>
      </c>
      <c r="E1258" s="19"/>
      <c r="F1258" s="15">
        <f t="shared" si="21"/>
        <v>108755506.95000003</v>
      </c>
    </row>
    <row r="1259" spans="1:6" x14ac:dyDescent="0.2">
      <c r="A1259" s="3">
        <v>45649</v>
      </c>
      <c r="B1259" s="43">
        <v>14748896</v>
      </c>
      <c r="C1259" s="20" t="s">
        <v>84</v>
      </c>
      <c r="D1259" s="18">
        <v>134400</v>
      </c>
      <c r="E1259" s="19"/>
      <c r="F1259" s="15">
        <f t="shared" si="21"/>
        <v>108621106.95000003</v>
      </c>
    </row>
    <row r="1260" spans="1:6" x14ac:dyDescent="0.2">
      <c r="A1260" s="3">
        <v>45649</v>
      </c>
      <c r="B1260" s="46">
        <v>14748897</v>
      </c>
      <c r="C1260" s="9" t="s">
        <v>84</v>
      </c>
      <c r="D1260" s="48">
        <v>421990</v>
      </c>
      <c r="E1260" s="49"/>
      <c r="F1260" s="15">
        <f t="shared" si="21"/>
        <v>108199116.95000003</v>
      </c>
    </row>
    <row r="1261" spans="1:6" x14ac:dyDescent="0.2">
      <c r="A1261" s="3">
        <v>45649</v>
      </c>
      <c r="B1261" s="44">
        <v>14748898</v>
      </c>
      <c r="C1261" s="28" t="s">
        <v>84</v>
      </c>
      <c r="D1261" s="23">
        <v>89300</v>
      </c>
      <c r="E1261" s="24"/>
      <c r="F1261" s="15">
        <f t="shared" si="21"/>
        <v>108109816.95000003</v>
      </c>
    </row>
    <row r="1262" spans="1:6" x14ac:dyDescent="0.2">
      <c r="A1262" s="3">
        <v>45649</v>
      </c>
      <c r="B1262" s="43">
        <v>14748899</v>
      </c>
      <c r="C1262" s="20" t="s">
        <v>84</v>
      </c>
      <c r="D1262" s="18">
        <v>755210</v>
      </c>
      <c r="E1262" s="19"/>
      <c r="F1262" s="15">
        <f t="shared" si="21"/>
        <v>107354606.95000003</v>
      </c>
    </row>
    <row r="1263" spans="1:6" x14ac:dyDescent="0.2">
      <c r="A1263" s="3">
        <v>45649</v>
      </c>
      <c r="B1263" s="43">
        <v>14748900</v>
      </c>
      <c r="C1263" s="20" t="s">
        <v>84</v>
      </c>
      <c r="D1263" s="18">
        <v>1034550</v>
      </c>
      <c r="E1263" s="19"/>
      <c r="F1263" s="15">
        <f t="shared" si="21"/>
        <v>106320056.95000003</v>
      </c>
    </row>
    <row r="1264" spans="1:6" x14ac:dyDescent="0.2">
      <c r="A1264" s="3">
        <v>45649</v>
      </c>
      <c r="B1264" s="43">
        <v>14748901</v>
      </c>
      <c r="C1264" s="20" t="s">
        <v>84</v>
      </c>
      <c r="D1264" s="18">
        <v>607980</v>
      </c>
      <c r="E1264" s="19"/>
      <c r="F1264" s="15">
        <f t="shared" si="21"/>
        <v>105712076.95000003</v>
      </c>
    </row>
    <row r="1265" spans="1:6" x14ac:dyDescent="0.2">
      <c r="A1265" s="3">
        <v>45649</v>
      </c>
      <c r="B1265" s="43">
        <v>14748902</v>
      </c>
      <c r="C1265" s="20" t="s">
        <v>84</v>
      </c>
      <c r="D1265" s="18">
        <v>180000</v>
      </c>
      <c r="E1265" s="19"/>
      <c r="F1265" s="15">
        <f t="shared" si="21"/>
        <v>105532076.95000003</v>
      </c>
    </row>
    <row r="1266" spans="1:6" x14ac:dyDescent="0.2">
      <c r="A1266" s="3">
        <v>45649</v>
      </c>
      <c r="B1266" s="43">
        <v>14748903</v>
      </c>
      <c r="C1266" s="20" t="s">
        <v>84</v>
      </c>
      <c r="D1266" s="18">
        <v>160000</v>
      </c>
      <c r="E1266" s="19"/>
      <c r="F1266" s="15">
        <f t="shared" si="21"/>
        <v>105372076.95000003</v>
      </c>
    </row>
    <row r="1267" spans="1:6" x14ac:dyDescent="0.2">
      <c r="A1267" s="3">
        <v>45649</v>
      </c>
      <c r="B1267" s="43">
        <v>14748904</v>
      </c>
      <c r="C1267" s="20" t="s">
        <v>84</v>
      </c>
      <c r="D1267" s="18">
        <v>422400</v>
      </c>
      <c r="E1267" s="19"/>
      <c r="F1267" s="15">
        <f t="shared" si="21"/>
        <v>104949676.95000003</v>
      </c>
    </row>
    <row r="1268" spans="1:6" x14ac:dyDescent="0.2">
      <c r="A1268" s="3">
        <v>45649</v>
      </c>
      <c r="B1268" s="43">
        <v>14748905</v>
      </c>
      <c r="C1268" s="20" t="s">
        <v>84</v>
      </c>
      <c r="D1268" s="18">
        <v>710900</v>
      </c>
      <c r="E1268" s="19"/>
      <c r="F1268" s="15">
        <f t="shared" si="21"/>
        <v>104238776.95000003</v>
      </c>
    </row>
    <row r="1269" spans="1:6" x14ac:dyDescent="0.2">
      <c r="A1269" s="3">
        <v>45649</v>
      </c>
      <c r="B1269" s="43">
        <v>14748906</v>
      </c>
      <c r="C1269" s="20" t="s">
        <v>84</v>
      </c>
      <c r="D1269" s="18">
        <v>598500</v>
      </c>
      <c r="E1269" s="19"/>
      <c r="F1269" s="15">
        <f t="shared" si="21"/>
        <v>103640276.95000003</v>
      </c>
    </row>
    <row r="1270" spans="1:6" x14ac:dyDescent="0.2">
      <c r="A1270" s="3">
        <v>45649</v>
      </c>
      <c r="B1270" s="43">
        <v>14748907</v>
      </c>
      <c r="C1270" s="20" t="s">
        <v>84</v>
      </c>
      <c r="D1270" s="18">
        <v>57000</v>
      </c>
      <c r="E1270" s="19"/>
      <c r="F1270" s="15">
        <f t="shared" si="21"/>
        <v>103583276.95000003</v>
      </c>
    </row>
    <row r="1271" spans="1:6" x14ac:dyDescent="0.2">
      <c r="A1271" s="3">
        <v>45649</v>
      </c>
      <c r="B1271" s="43">
        <v>14748908</v>
      </c>
      <c r="C1271" s="20" t="s">
        <v>84</v>
      </c>
      <c r="D1271" s="18">
        <v>237000</v>
      </c>
      <c r="E1271" s="19"/>
      <c r="F1271" s="15">
        <f t="shared" si="21"/>
        <v>103346276.95000003</v>
      </c>
    </row>
    <row r="1272" spans="1:6" x14ac:dyDescent="0.2">
      <c r="A1272" s="3">
        <v>45649</v>
      </c>
      <c r="B1272" s="43">
        <v>14748909</v>
      </c>
      <c r="C1272" s="20" t="s">
        <v>84</v>
      </c>
      <c r="D1272" s="18">
        <v>1055000</v>
      </c>
      <c r="E1272" s="19"/>
      <c r="F1272" s="15">
        <f t="shared" si="21"/>
        <v>102291276.95000003</v>
      </c>
    </row>
    <row r="1273" spans="1:6" x14ac:dyDescent="0.2">
      <c r="A1273" s="3">
        <v>45649</v>
      </c>
      <c r="B1273" s="43">
        <v>14748910</v>
      </c>
      <c r="C1273" s="20" t="s">
        <v>84</v>
      </c>
      <c r="D1273" s="18">
        <v>136000</v>
      </c>
      <c r="E1273" s="19"/>
      <c r="F1273" s="15">
        <f t="shared" si="21"/>
        <v>102155276.95000003</v>
      </c>
    </row>
    <row r="1274" spans="1:6" x14ac:dyDescent="0.2">
      <c r="A1274" s="3">
        <v>45649</v>
      </c>
      <c r="B1274" s="43">
        <v>14748911</v>
      </c>
      <c r="C1274" s="20" t="s">
        <v>84</v>
      </c>
      <c r="D1274" s="18">
        <v>903000</v>
      </c>
      <c r="E1274" s="19"/>
      <c r="F1274" s="15">
        <f t="shared" si="21"/>
        <v>101252276.95000003</v>
      </c>
    </row>
    <row r="1275" spans="1:6" x14ac:dyDescent="0.2">
      <c r="A1275" s="3">
        <v>45649</v>
      </c>
      <c r="B1275" s="43">
        <v>14748912</v>
      </c>
      <c r="C1275" s="20" t="s">
        <v>84</v>
      </c>
      <c r="D1275" s="18">
        <v>640000</v>
      </c>
      <c r="E1275" s="19"/>
      <c r="F1275" s="15">
        <f t="shared" si="21"/>
        <v>100612276.95000003</v>
      </c>
    </row>
    <row r="1276" spans="1:6" x14ac:dyDescent="0.2">
      <c r="A1276" s="3">
        <v>45649</v>
      </c>
      <c r="B1276" s="43">
        <v>14748913</v>
      </c>
      <c r="C1276" s="20" t="s">
        <v>84</v>
      </c>
      <c r="D1276" s="18">
        <v>2127500</v>
      </c>
      <c r="E1276" s="19"/>
      <c r="F1276" s="15">
        <f t="shared" si="21"/>
        <v>98484776.950000033</v>
      </c>
    </row>
    <row r="1277" spans="1:6" x14ac:dyDescent="0.2">
      <c r="A1277" s="3">
        <v>45649</v>
      </c>
      <c r="B1277" s="43">
        <v>14748914</v>
      </c>
      <c r="C1277" s="20" t="s">
        <v>84</v>
      </c>
      <c r="D1277" s="18">
        <v>300000</v>
      </c>
      <c r="E1277" s="19"/>
      <c r="F1277" s="15">
        <f t="shared" si="21"/>
        <v>98184776.950000033</v>
      </c>
    </row>
    <row r="1278" spans="1:6" x14ac:dyDescent="0.2">
      <c r="A1278" s="3">
        <v>45649</v>
      </c>
      <c r="B1278" s="43">
        <v>14748915</v>
      </c>
      <c r="C1278" s="20" t="s">
        <v>84</v>
      </c>
      <c r="D1278" s="18">
        <v>1773890</v>
      </c>
      <c r="E1278" s="19"/>
      <c r="F1278" s="15">
        <f t="shared" si="21"/>
        <v>96410886.950000033</v>
      </c>
    </row>
    <row r="1279" spans="1:6" x14ac:dyDescent="0.2">
      <c r="A1279" s="3">
        <v>45649</v>
      </c>
      <c r="B1279" s="43">
        <v>14748916</v>
      </c>
      <c r="C1279" s="20" t="s">
        <v>84</v>
      </c>
      <c r="D1279" s="18">
        <v>466000</v>
      </c>
      <c r="E1279" s="19"/>
      <c r="F1279" s="15">
        <f t="shared" si="21"/>
        <v>95944886.950000033</v>
      </c>
    </row>
    <row r="1280" spans="1:6" x14ac:dyDescent="0.2">
      <c r="A1280" s="3">
        <v>45649</v>
      </c>
      <c r="B1280" s="43">
        <v>14748917</v>
      </c>
      <c r="C1280" s="20" t="s">
        <v>84</v>
      </c>
      <c r="D1280" s="18">
        <v>2094000</v>
      </c>
      <c r="E1280" s="19"/>
      <c r="F1280" s="15">
        <f t="shared" si="21"/>
        <v>93850886.950000033</v>
      </c>
    </row>
    <row r="1281" spans="1:6" x14ac:dyDescent="0.2">
      <c r="A1281" s="3">
        <v>45649</v>
      </c>
      <c r="B1281" s="43">
        <v>14748918</v>
      </c>
      <c r="C1281" s="20" t="s">
        <v>84</v>
      </c>
      <c r="D1281" s="18">
        <v>1665600</v>
      </c>
      <c r="E1281" s="19"/>
      <c r="F1281" s="15">
        <f t="shared" si="21"/>
        <v>92185286.950000033</v>
      </c>
    </row>
    <row r="1282" spans="1:6" x14ac:dyDescent="0.2">
      <c r="A1282" s="3">
        <v>45649</v>
      </c>
      <c r="B1282" s="43">
        <v>14748919</v>
      </c>
      <c r="C1282" s="20" t="s">
        <v>84</v>
      </c>
      <c r="D1282" s="18">
        <v>2437700</v>
      </c>
      <c r="E1282" s="19"/>
      <c r="F1282" s="15">
        <f t="shared" si="21"/>
        <v>89747586.950000033</v>
      </c>
    </row>
    <row r="1283" spans="1:6" x14ac:dyDescent="0.2">
      <c r="A1283" s="3">
        <v>45649</v>
      </c>
      <c r="B1283" s="46">
        <v>14748920</v>
      </c>
      <c r="C1283" s="9" t="s">
        <v>84</v>
      </c>
      <c r="D1283" s="48">
        <v>2084000</v>
      </c>
      <c r="E1283" s="49"/>
      <c r="F1283" s="15">
        <f t="shared" si="21"/>
        <v>87663586.950000033</v>
      </c>
    </row>
    <row r="1284" spans="1:6" x14ac:dyDescent="0.2">
      <c r="A1284" s="3">
        <v>45649</v>
      </c>
      <c r="B1284" s="44">
        <v>14748921</v>
      </c>
      <c r="C1284" s="28" t="s">
        <v>84</v>
      </c>
      <c r="D1284" s="23">
        <v>800000</v>
      </c>
      <c r="E1284" s="24"/>
      <c r="F1284" s="15">
        <f t="shared" si="21"/>
        <v>86863586.950000033</v>
      </c>
    </row>
    <row r="1285" spans="1:6" x14ac:dyDescent="0.2">
      <c r="A1285" s="3">
        <v>45649</v>
      </c>
      <c r="B1285" s="43">
        <v>14748922</v>
      </c>
      <c r="C1285" s="20" t="s">
        <v>84</v>
      </c>
      <c r="D1285" s="18">
        <v>724679</v>
      </c>
      <c r="E1285" s="19"/>
      <c r="F1285" s="15">
        <f t="shared" si="21"/>
        <v>86138907.950000033</v>
      </c>
    </row>
    <row r="1286" spans="1:6" x14ac:dyDescent="0.2">
      <c r="A1286" s="3">
        <v>45649</v>
      </c>
      <c r="B1286" s="43">
        <v>14748923</v>
      </c>
      <c r="C1286" s="20" t="s">
        <v>84</v>
      </c>
      <c r="D1286" s="18">
        <v>116700</v>
      </c>
      <c r="E1286" s="19"/>
      <c r="F1286" s="15">
        <f t="shared" si="21"/>
        <v>86022207.950000033</v>
      </c>
    </row>
    <row r="1287" spans="1:6" x14ac:dyDescent="0.2">
      <c r="A1287" s="3">
        <v>45649</v>
      </c>
      <c r="B1287" s="43">
        <v>14748924</v>
      </c>
      <c r="C1287" s="20" t="s">
        <v>84</v>
      </c>
      <c r="D1287" s="18">
        <v>184300</v>
      </c>
      <c r="E1287" s="19"/>
      <c r="F1287" s="15">
        <f t="shared" si="21"/>
        <v>85837907.950000033</v>
      </c>
    </row>
    <row r="1288" spans="1:6" x14ac:dyDescent="0.2">
      <c r="A1288" s="3">
        <v>45649</v>
      </c>
      <c r="B1288" s="43">
        <v>14748925</v>
      </c>
      <c r="C1288" s="20" t="s">
        <v>84</v>
      </c>
      <c r="D1288" s="18">
        <v>872400</v>
      </c>
      <c r="E1288" s="19"/>
      <c r="F1288" s="15">
        <f t="shared" si="21"/>
        <v>84965507.950000033</v>
      </c>
    </row>
    <row r="1289" spans="1:6" x14ac:dyDescent="0.2">
      <c r="A1289" s="3">
        <v>45649</v>
      </c>
      <c r="B1289" s="43">
        <v>14748926</v>
      </c>
      <c r="C1289" s="20" t="s">
        <v>84</v>
      </c>
      <c r="D1289" s="18">
        <v>300000</v>
      </c>
      <c r="E1289" s="19"/>
      <c r="F1289" s="15">
        <f t="shared" si="21"/>
        <v>84665507.950000033</v>
      </c>
    </row>
    <row r="1290" spans="1:6" x14ac:dyDescent="0.2">
      <c r="A1290" s="3">
        <v>45649</v>
      </c>
      <c r="B1290" s="43">
        <v>14748927</v>
      </c>
      <c r="C1290" s="20" t="s">
        <v>84</v>
      </c>
      <c r="D1290" s="18">
        <v>1311600</v>
      </c>
      <c r="E1290" s="19"/>
      <c r="F1290" s="15">
        <f t="shared" si="21"/>
        <v>83353907.950000033</v>
      </c>
    </row>
    <row r="1291" spans="1:6" x14ac:dyDescent="0.2">
      <c r="A1291" s="3">
        <v>45649</v>
      </c>
      <c r="B1291" s="43">
        <v>14748928</v>
      </c>
      <c r="C1291" s="20" t="s">
        <v>84</v>
      </c>
      <c r="D1291" s="18">
        <v>836000</v>
      </c>
      <c r="E1291" s="19"/>
      <c r="F1291" s="15">
        <f t="shared" si="21"/>
        <v>82517907.950000033</v>
      </c>
    </row>
    <row r="1292" spans="1:6" x14ac:dyDescent="0.2">
      <c r="A1292" s="3">
        <v>45649</v>
      </c>
      <c r="B1292" s="43">
        <v>14748929</v>
      </c>
      <c r="C1292" s="20" t="s">
        <v>84</v>
      </c>
      <c r="D1292" s="18">
        <v>79800</v>
      </c>
      <c r="E1292" s="19"/>
      <c r="F1292" s="15">
        <f t="shared" si="21"/>
        <v>82438107.950000033</v>
      </c>
    </row>
    <row r="1293" spans="1:6" x14ac:dyDescent="0.2">
      <c r="A1293" s="3">
        <v>45649</v>
      </c>
      <c r="B1293" s="43">
        <v>14748930</v>
      </c>
      <c r="C1293" s="20" t="s">
        <v>84</v>
      </c>
      <c r="D1293" s="18">
        <v>242000</v>
      </c>
      <c r="E1293" s="19"/>
      <c r="F1293" s="15">
        <f t="shared" si="21"/>
        <v>82196107.950000033</v>
      </c>
    </row>
    <row r="1294" spans="1:6" x14ac:dyDescent="0.2">
      <c r="A1294" s="3">
        <v>45649</v>
      </c>
      <c r="B1294" s="43">
        <v>14748931</v>
      </c>
      <c r="C1294" s="20" t="s">
        <v>84</v>
      </c>
      <c r="D1294" s="18">
        <v>472625</v>
      </c>
      <c r="E1294" s="19"/>
      <c r="F1294" s="15">
        <f t="shared" si="21"/>
        <v>81723482.950000033</v>
      </c>
    </row>
    <row r="1295" spans="1:6" x14ac:dyDescent="0.2">
      <c r="A1295" s="3">
        <v>45649</v>
      </c>
      <c r="B1295" s="43">
        <v>14748932</v>
      </c>
      <c r="C1295" s="20" t="s">
        <v>84</v>
      </c>
      <c r="D1295" s="18">
        <v>363000</v>
      </c>
      <c r="E1295" s="19"/>
      <c r="F1295" s="15">
        <f t="shared" si="21"/>
        <v>81360482.950000033</v>
      </c>
    </row>
    <row r="1296" spans="1:6" x14ac:dyDescent="0.2">
      <c r="A1296" s="3">
        <v>45649</v>
      </c>
      <c r="B1296" s="43">
        <v>14748933</v>
      </c>
      <c r="C1296" s="20" t="s">
        <v>84</v>
      </c>
      <c r="D1296" s="18">
        <v>1554200</v>
      </c>
      <c r="E1296" s="19"/>
      <c r="F1296" s="15">
        <f t="shared" si="21"/>
        <v>79806282.950000033</v>
      </c>
    </row>
    <row r="1297" spans="1:6" x14ac:dyDescent="0.2">
      <c r="A1297" s="3">
        <v>45649</v>
      </c>
      <c r="B1297" s="43">
        <v>14748934</v>
      </c>
      <c r="C1297" s="20" t="s">
        <v>84</v>
      </c>
      <c r="D1297" s="18">
        <v>120000</v>
      </c>
      <c r="E1297" s="19"/>
      <c r="F1297" s="15">
        <f t="shared" si="21"/>
        <v>79686282.950000033</v>
      </c>
    </row>
    <row r="1298" spans="1:6" x14ac:dyDescent="0.2">
      <c r="A1298" s="3">
        <v>45649</v>
      </c>
      <c r="B1298" s="43">
        <v>14748935</v>
      </c>
      <c r="C1298" s="20" t="s">
        <v>84</v>
      </c>
      <c r="D1298" s="18">
        <v>780000</v>
      </c>
      <c r="E1298" s="19"/>
      <c r="F1298" s="15">
        <f t="shared" si="21"/>
        <v>78906282.950000033</v>
      </c>
    </row>
    <row r="1299" spans="1:6" x14ac:dyDescent="0.2">
      <c r="A1299" s="3">
        <v>45649</v>
      </c>
      <c r="B1299" s="43">
        <v>14748936</v>
      </c>
      <c r="C1299" s="20" t="s">
        <v>84</v>
      </c>
      <c r="D1299" s="18">
        <v>1406950</v>
      </c>
      <c r="E1299" s="19"/>
      <c r="F1299" s="15">
        <f t="shared" si="21"/>
        <v>77499332.950000033</v>
      </c>
    </row>
    <row r="1300" spans="1:6" x14ac:dyDescent="0.2">
      <c r="A1300" s="3">
        <v>45649</v>
      </c>
      <c r="B1300" s="43">
        <v>14748937</v>
      </c>
      <c r="C1300" s="20" t="s">
        <v>84</v>
      </c>
      <c r="D1300" s="18">
        <v>85500</v>
      </c>
      <c r="E1300" s="19"/>
      <c r="F1300" s="15">
        <f t="shared" si="21"/>
        <v>77413832.950000033</v>
      </c>
    </row>
    <row r="1301" spans="1:6" x14ac:dyDescent="0.2">
      <c r="A1301" s="3">
        <v>45649</v>
      </c>
      <c r="B1301" s="43">
        <v>14748938</v>
      </c>
      <c r="C1301" s="20" t="s">
        <v>84</v>
      </c>
      <c r="D1301" s="18">
        <v>175500</v>
      </c>
      <c r="E1301" s="19"/>
      <c r="F1301" s="15">
        <f t="shared" si="21"/>
        <v>77238332.950000033</v>
      </c>
    </row>
    <row r="1302" spans="1:6" x14ac:dyDescent="0.2">
      <c r="A1302" s="3">
        <v>45649</v>
      </c>
      <c r="B1302" s="43">
        <v>14748939</v>
      </c>
      <c r="C1302" s="20" t="s">
        <v>84</v>
      </c>
      <c r="D1302" s="18">
        <v>649600</v>
      </c>
      <c r="E1302" s="19"/>
      <c r="F1302" s="15">
        <f t="shared" si="21"/>
        <v>76588732.950000033</v>
      </c>
    </row>
    <row r="1303" spans="1:6" x14ac:dyDescent="0.2">
      <c r="A1303" s="3">
        <v>45649</v>
      </c>
      <c r="B1303" s="43">
        <v>14748940</v>
      </c>
      <c r="C1303" s="20" t="s">
        <v>84</v>
      </c>
      <c r="D1303" s="18">
        <v>502000</v>
      </c>
      <c r="E1303" s="19"/>
      <c r="F1303" s="15">
        <f t="shared" si="21"/>
        <v>76086732.950000033</v>
      </c>
    </row>
    <row r="1304" spans="1:6" x14ac:dyDescent="0.2">
      <c r="A1304" s="3">
        <v>45649</v>
      </c>
      <c r="B1304" s="43">
        <v>14748941</v>
      </c>
      <c r="C1304" s="20" t="s">
        <v>84</v>
      </c>
      <c r="D1304" s="18">
        <v>665000</v>
      </c>
      <c r="E1304" s="19"/>
      <c r="F1304" s="15">
        <f t="shared" ref="F1304:F1367" si="22">+F1303+E1304-D1304</f>
        <v>75421732.950000033</v>
      </c>
    </row>
    <row r="1305" spans="1:6" x14ac:dyDescent="0.2">
      <c r="A1305" s="3">
        <v>45649</v>
      </c>
      <c r="B1305" s="43">
        <v>4162314</v>
      </c>
      <c r="C1305" s="20" t="s">
        <v>85</v>
      </c>
      <c r="D1305" s="18">
        <v>2000000</v>
      </c>
      <c r="E1305" s="19"/>
      <c r="F1305" s="15">
        <f t="shared" si="22"/>
        <v>73421732.950000033</v>
      </c>
    </row>
    <row r="1306" spans="1:6" x14ac:dyDescent="0.2">
      <c r="A1306" s="3">
        <v>45649</v>
      </c>
      <c r="B1306" s="46">
        <v>4162315</v>
      </c>
      <c r="C1306" s="9" t="s">
        <v>86</v>
      </c>
      <c r="D1306" s="48">
        <v>514800</v>
      </c>
      <c r="E1306" s="49"/>
      <c r="F1306" s="15">
        <f t="shared" si="22"/>
        <v>72906932.950000033</v>
      </c>
    </row>
    <row r="1307" spans="1:6" x14ac:dyDescent="0.2">
      <c r="A1307" s="3">
        <v>45649</v>
      </c>
      <c r="B1307" s="44">
        <v>160674</v>
      </c>
      <c r="C1307" s="28" t="s">
        <v>193</v>
      </c>
      <c r="D1307" s="30"/>
      <c r="E1307" s="31">
        <v>300000</v>
      </c>
      <c r="F1307" s="15">
        <f t="shared" si="22"/>
        <v>73206932.950000033</v>
      </c>
    </row>
    <row r="1308" spans="1:6" x14ac:dyDescent="0.2">
      <c r="A1308" s="3">
        <v>45649</v>
      </c>
      <c r="B1308" s="45"/>
      <c r="C1308" s="17" t="s">
        <v>88</v>
      </c>
      <c r="D1308" s="18">
        <v>22030145</v>
      </c>
      <c r="E1308" s="19"/>
      <c r="F1308" s="15">
        <f t="shared" si="22"/>
        <v>51176787.950000033</v>
      </c>
    </row>
    <row r="1309" spans="1:6" x14ac:dyDescent="0.2">
      <c r="A1309" s="3">
        <v>45649</v>
      </c>
      <c r="B1309" s="45"/>
      <c r="C1309" s="17" t="s">
        <v>156</v>
      </c>
      <c r="D1309" s="19"/>
      <c r="E1309" s="18">
        <v>1800</v>
      </c>
      <c r="F1309" s="15">
        <f t="shared" si="22"/>
        <v>51178587.950000033</v>
      </c>
    </row>
    <row r="1310" spans="1:6" x14ac:dyDescent="0.2">
      <c r="A1310" s="3">
        <v>45649</v>
      </c>
      <c r="B1310" s="45"/>
      <c r="C1310" s="17" t="s">
        <v>16</v>
      </c>
      <c r="D1310" s="18">
        <v>477861.41</v>
      </c>
      <c r="E1310" s="19"/>
      <c r="F1310" s="15">
        <f t="shared" si="22"/>
        <v>50700726.540000036</v>
      </c>
    </row>
    <row r="1311" spans="1:6" x14ac:dyDescent="0.2">
      <c r="A1311" s="3">
        <v>45649</v>
      </c>
      <c r="B1311" s="45"/>
      <c r="C1311" s="17" t="s">
        <v>22</v>
      </c>
      <c r="D1311" s="18">
        <v>91.67</v>
      </c>
      <c r="E1311" s="19"/>
      <c r="F1311" s="15">
        <f t="shared" si="22"/>
        <v>50700634.870000035</v>
      </c>
    </row>
    <row r="1312" spans="1:6" x14ac:dyDescent="0.2">
      <c r="A1312" s="3">
        <v>45649</v>
      </c>
      <c r="B1312" s="43">
        <v>17244</v>
      </c>
      <c r="C1312" s="20" t="s">
        <v>7</v>
      </c>
      <c r="D1312" s="18">
        <v>1485</v>
      </c>
      <c r="E1312" s="19"/>
      <c r="F1312" s="15">
        <f t="shared" si="22"/>
        <v>50699149.870000035</v>
      </c>
    </row>
    <row r="1313" spans="1:6" x14ac:dyDescent="0.2">
      <c r="A1313" s="3">
        <v>45649</v>
      </c>
      <c r="B1313" s="43">
        <v>17244</v>
      </c>
      <c r="C1313" s="17" t="s">
        <v>199</v>
      </c>
      <c r="D1313" s="18">
        <v>311.85000000000002</v>
      </c>
      <c r="E1313" s="19"/>
      <c r="F1313" s="15">
        <f t="shared" si="22"/>
        <v>50698838.020000033</v>
      </c>
    </row>
    <row r="1314" spans="1:6" x14ac:dyDescent="0.2">
      <c r="A1314" s="3">
        <v>45649</v>
      </c>
      <c r="B1314" s="43">
        <v>17245</v>
      </c>
      <c r="C1314" s="20" t="s">
        <v>7</v>
      </c>
      <c r="D1314" s="18">
        <v>1485</v>
      </c>
      <c r="E1314" s="19"/>
      <c r="F1314" s="15">
        <f t="shared" si="22"/>
        <v>50697353.020000033</v>
      </c>
    </row>
    <row r="1315" spans="1:6" x14ac:dyDescent="0.2">
      <c r="A1315" s="3">
        <v>45649</v>
      </c>
      <c r="B1315" s="43">
        <v>17245</v>
      </c>
      <c r="C1315" s="17" t="s">
        <v>199</v>
      </c>
      <c r="D1315" s="18">
        <v>311.85000000000002</v>
      </c>
      <c r="E1315" s="19"/>
      <c r="F1315" s="15">
        <f t="shared" si="22"/>
        <v>50697041.170000032</v>
      </c>
    </row>
    <row r="1316" spans="1:6" x14ac:dyDescent="0.2">
      <c r="A1316" s="3">
        <v>45652</v>
      </c>
      <c r="B1316" s="43">
        <v>31854</v>
      </c>
      <c r="C1316" s="17" t="s">
        <v>9</v>
      </c>
      <c r="D1316" s="18">
        <v>114270</v>
      </c>
      <c r="E1316" s="19"/>
      <c r="F1316" s="15">
        <f t="shared" si="22"/>
        <v>50582771.170000032</v>
      </c>
    </row>
    <row r="1317" spans="1:6" x14ac:dyDescent="0.2">
      <c r="A1317" s="3">
        <v>45652</v>
      </c>
      <c r="B1317" s="43">
        <v>31788</v>
      </c>
      <c r="C1317" s="17" t="s">
        <v>9</v>
      </c>
      <c r="D1317" s="18">
        <v>298418.93</v>
      </c>
      <c r="E1317" s="19"/>
      <c r="F1317" s="15">
        <f t="shared" si="22"/>
        <v>50284352.240000032</v>
      </c>
    </row>
    <row r="1318" spans="1:6" x14ac:dyDescent="0.2">
      <c r="A1318" s="3">
        <v>45652</v>
      </c>
      <c r="B1318" s="43">
        <v>31871</v>
      </c>
      <c r="C1318" s="17" t="s">
        <v>9</v>
      </c>
      <c r="D1318" s="18">
        <v>713000</v>
      </c>
      <c r="E1318" s="19"/>
      <c r="F1318" s="15">
        <f t="shared" si="22"/>
        <v>49571352.240000032</v>
      </c>
    </row>
    <row r="1319" spans="1:6" x14ac:dyDescent="0.2">
      <c r="A1319" s="3">
        <v>45652</v>
      </c>
      <c r="B1319" s="43">
        <v>31737</v>
      </c>
      <c r="C1319" s="17" t="s">
        <v>9</v>
      </c>
      <c r="D1319" s="18">
        <v>2180002.75</v>
      </c>
      <c r="E1319" s="19"/>
      <c r="F1319" s="15">
        <f t="shared" si="22"/>
        <v>47391349.490000032</v>
      </c>
    </row>
    <row r="1320" spans="1:6" x14ac:dyDescent="0.2">
      <c r="A1320" s="3">
        <v>45652</v>
      </c>
      <c r="B1320" s="43">
        <v>36996565</v>
      </c>
      <c r="C1320" s="20" t="s">
        <v>117</v>
      </c>
      <c r="D1320" s="18">
        <v>179402.37</v>
      </c>
      <c r="E1320" s="19"/>
      <c r="F1320" s="15">
        <f t="shared" si="22"/>
        <v>47211947.120000035</v>
      </c>
    </row>
    <row r="1321" spans="1:6" x14ac:dyDescent="0.2">
      <c r="A1321" s="3">
        <v>45652</v>
      </c>
      <c r="B1321" s="43">
        <v>38207797</v>
      </c>
      <c r="C1321" s="20" t="s">
        <v>222</v>
      </c>
      <c r="D1321" s="18">
        <v>329456.48</v>
      </c>
      <c r="E1321" s="19"/>
      <c r="F1321" s="15">
        <f t="shared" si="22"/>
        <v>46882490.640000038</v>
      </c>
    </row>
    <row r="1322" spans="1:6" x14ac:dyDescent="0.2">
      <c r="A1322" s="3">
        <v>45652</v>
      </c>
      <c r="B1322" s="43">
        <v>39345647</v>
      </c>
      <c r="C1322" s="20" t="s">
        <v>63</v>
      </c>
      <c r="D1322" s="18">
        <v>24373.59</v>
      </c>
      <c r="E1322" s="19"/>
      <c r="F1322" s="15">
        <f t="shared" si="22"/>
        <v>46858117.050000034</v>
      </c>
    </row>
    <row r="1323" spans="1:6" x14ac:dyDescent="0.2">
      <c r="A1323" s="3">
        <v>45652</v>
      </c>
      <c r="B1323" s="43">
        <v>40472781</v>
      </c>
      <c r="C1323" s="20" t="s">
        <v>177</v>
      </c>
      <c r="D1323" s="18">
        <v>2223593.9700000002</v>
      </c>
      <c r="E1323" s="19"/>
      <c r="F1323" s="15">
        <f t="shared" si="22"/>
        <v>44634523.080000035</v>
      </c>
    </row>
    <row r="1324" spans="1:6" x14ac:dyDescent="0.2">
      <c r="A1324" s="3">
        <v>45652</v>
      </c>
      <c r="B1324" s="43">
        <v>41715832</v>
      </c>
      <c r="C1324" s="20" t="s">
        <v>100</v>
      </c>
      <c r="D1324" s="18">
        <v>210170.07</v>
      </c>
      <c r="E1324" s="19"/>
      <c r="F1324" s="15">
        <f t="shared" si="22"/>
        <v>44424353.010000035</v>
      </c>
    </row>
    <row r="1325" spans="1:6" x14ac:dyDescent="0.2">
      <c r="A1325" s="3">
        <v>45652</v>
      </c>
      <c r="B1325" s="43">
        <v>42768955</v>
      </c>
      <c r="C1325" s="20" t="s">
        <v>71</v>
      </c>
      <c r="D1325" s="18">
        <v>69452.69</v>
      </c>
      <c r="E1325" s="19"/>
      <c r="F1325" s="15">
        <f t="shared" si="22"/>
        <v>44354900.320000038</v>
      </c>
    </row>
    <row r="1326" spans="1:6" x14ac:dyDescent="0.2">
      <c r="A1326" s="3">
        <v>45652</v>
      </c>
      <c r="B1326" s="43">
        <v>31950</v>
      </c>
      <c r="C1326" s="20" t="s">
        <v>98</v>
      </c>
      <c r="D1326" s="18">
        <v>50000</v>
      </c>
      <c r="E1326" s="19"/>
      <c r="F1326" s="15">
        <f t="shared" si="22"/>
        <v>44304900.320000038</v>
      </c>
    </row>
    <row r="1327" spans="1:6" x14ac:dyDescent="0.2">
      <c r="A1327" s="3">
        <v>45652</v>
      </c>
      <c r="B1327" s="43">
        <v>31951</v>
      </c>
      <c r="C1327" s="20" t="s">
        <v>98</v>
      </c>
      <c r="D1327" s="18">
        <v>50000</v>
      </c>
      <c r="E1327" s="19"/>
      <c r="F1327" s="15">
        <f t="shared" si="22"/>
        <v>44254900.320000038</v>
      </c>
    </row>
    <row r="1328" spans="1:6" x14ac:dyDescent="0.2">
      <c r="A1328" s="3">
        <v>45652</v>
      </c>
      <c r="B1328" s="43">
        <v>31949</v>
      </c>
      <c r="C1328" s="20" t="s">
        <v>28</v>
      </c>
      <c r="D1328" s="18">
        <v>50000</v>
      </c>
      <c r="E1328" s="19"/>
      <c r="F1328" s="15">
        <f t="shared" si="22"/>
        <v>44204900.320000038</v>
      </c>
    </row>
    <row r="1329" spans="1:6" x14ac:dyDescent="0.2">
      <c r="A1329" s="3">
        <v>45652</v>
      </c>
      <c r="B1329" s="43">
        <v>31948</v>
      </c>
      <c r="C1329" s="20" t="s">
        <v>97</v>
      </c>
      <c r="D1329" s="18">
        <v>50000</v>
      </c>
      <c r="E1329" s="19"/>
      <c r="F1329" s="15">
        <f t="shared" si="22"/>
        <v>44154900.320000038</v>
      </c>
    </row>
    <row r="1330" spans="1:6" x14ac:dyDescent="0.2">
      <c r="A1330" s="3">
        <v>45652</v>
      </c>
      <c r="B1330" s="43">
        <v>3165283</v>
      </c>
      <c r="C1330" s="20" t="s">
        <v>223</v>
      </c>
      <c r="D1330" s="19"/>
      <c r="E1330" s="18">
        <v>120629.19</v>
      </c>
      <c r="F1330" s="15">
        <f t="shared" si="22"/>
        <v>44275529.510000035</v>
      </c>
    </row>
    <row r="1331" spans="1:6" x14ac:dyDescent="0.2">
      <c r="A1331" s="3">
        <v>45652</v>
      </c>
      <c r="B1331" s="43">
        <v>625098</v>
      </c>
      <c r="C1331" s="20" t="s">
        <v>89</v>
      </c>
      <c r="D1331" s="25"/>
      <c r="E1331" s="25">
        <v>2719539.04</v>
      </c>
      <c r="F1331" s="15">
        <f t="shared" si="22"/>
        <v>46995068.550000034</v>
      </c>
    </row>
    <row r="1332" spans="1:6" x14ac:dyDescent="0.2">
      <c r="A1332" s="3">
        <v>45652</v>
      </c>
      <c r="B1332" s="46">
        <v>306222</v>
      </c>
      <c r="C1332" s="9" t="s">
        <v>224</v>
      </c>
      <c r="D1332" s="62"/>
      <c r="E1332" s="63">
        <v>9207</v>
      </c>
      <c r="F1332" s="15">
        <f t="shared" si="22"/>
        <v>47004275.550000034</v>
      </c>
    </row>
    <row r="1333" spans="1:6" x14ac:dyDescent="0.2">
      <c r="A1333" s="3">
        <v>45652</v>
      </c>
      <c r="B1333" s="50"/>
      <c r="C1333" s="22" t="s">
        <v>34</v>
      </c>
      <c r="D1333" s="23">
        <v>1200</v>
      </c>
      <c r="E1333" s="24"/>
      <c r="F1333" s="15">
        <f t="shared" si="22"/>
        <v>47003075.550000034</v>
      </c>
    </row>
    <row r="1334" spans="1:6" x14ac:dyDescent="0.2">
      <c r="A1334" s="3">
        <v>45652</v>
      </c>
      <c r="B1334" s="45"/>
      <c r="C1334" s="17" t="s">
        <v>16</v>
      </c>
      <c r="D1334" s="18">
        <v>38674.400000000001</v>
      </c>
      <c r="E1334" s="19"/>
      <c r="F1334" s="15">
        <f t="shared" si="22"/>
        <v>46964401.150000036</v>
      </c>
    </row>
    <row r="1335" spans="1:6" x14ac:dyDescent="0.2">
      <c r="A1335" s="3">
        <v>45652</v>
      </c>
      <c r="B1335" s="45"/>
      <c r="C1335" s="17" t="s">
        <v>22</v>
      </c>
      <c r="D1335" s="18">
        <v>17096.25</v>
      </c>
      <c r="E1335" s="19"/>
      <c r="F1335" s="15">
        <f t="shared" si="22"/>
        <v>46947304.900000036</v>
      </c>
    </row>
    <row r="1336" spans="1:6" x14ac:dyDescent="0.2">
      <c r="A1336" s="3">
        <v>45653</v>
      </c>
      <c r="B1336" s="43">
        <v>31944</v>
      </c>
      <c r="C1336" s="17" t="s">
        <v>9</v>
      </c>
      <c r="D1336" s="18">
        <v>200000</v>
      </c>
      <c r="E1336" s="19"/>
      <c r="F1336" s="15">
        <f t="shared" si="22"/>
        <v>46747304.900000036</v>
      </c>
    </row>
    <row r="1337" spans="1:6" x14ac:dyDescent="0.2">
      <c r="A1337" s="3">
        <v>45653</v>
      </c>
      <c r="B1337" s="43">
        <v>31868</v>
      </c>
      <c r="C1337" s="17" t="s">
        <v>9</v>
      </c>
      <c r="D1337" s="18">
        <v>1547153.4</v>
      </c>
      <c r="E1337" s="19"/>
      <c r="F1337" s="15">
        <f t="shared" si="22"/>
        <v>45200151.500000037</v>
      </c>
    </row>
    <row r="1338" spans="1:6" x14ac:dyDescent="0.2">
      <c r="A1338" s="3">
        <v>45653</v>
      </c>
      <c r="B1338" s="45"/>
      <c r="C1338" s="20" t="s">
        <v>103</v>
      </c>
      <c r="D1338" s="18">
        <v>2000</v>
      </c>
      <c r="E1338" s="19"/>
      <c r="F1338" s="15">
        <f t="shared" si="22"/>
        <v>45198151.500000037</v>
      </c>
    </row>
    <row r="1339" spans="1:6" x14ac:dyDescent="0.2">
      <c r="A1339" s="3">
        <v>45653</v>
      </c>
      <c r="B1339" s="45"/>
      <c r="C1339" s="17" t="s">
        <v>199</v>
      </c>
      <c r="D1339" s="18">
        <v>420</v>
      </c>
      <c r="E1339" s="19"/>
      <c r="F1339" s="15">
        <f t="shared" si="22"/>
        <v>45197731.500000037</v>
      </c>
    </row>
    <row r="1340" spans="1:6" x14ac:dyDescent="0.2">
      <c r="A1340" s="3">
        <v>45653</v>
      </c>
      <c r="B1340" s="45"/>
      <c r="C1340" s="17" t="s">
        <v>37</v>
      </c>
      <c r="D1340" s="18">
        <v>60</v>
      </c>
      <c r="E1340" s="19"/>
      <c r="F1340" s="15">
        <f t="shared" si="22"/>
        <v>45197671.500000037</v>
      </c>
    </row>
    <row r="1341" spans="1:6" x14ac:dyDescent="0.2">
      <c r="A1341" s="3">
        <v>45653</v>
      </c>
      <c r="B1341" s="43">
        <v>31954</v>
      </c>
      <c r="C1341" s="20" t="s">
        <v>30</v>
      </c>
      <c r="D1341" s="18">
        <v>50000</v>
      </c>
      <c r="E1341" s="19"/>
      <c r="F1341" s="15">
        <f t="shared" si="22"/>
        <v>45147671.500000037</v>
      </c>
    </row>
    <row r="1342" spans="1:6" x14ac:dyDescent="0.2">
      <c r="A1342" s="3">
        <v>45653</v>
      </c>
      <c r="B1342" s="43">
        <v>31955</v>
      </c>
      <c r="C1342" s="20" t="s">
        <v>29</v>
      </c>
      <c r="D1342" s="18">
        <v>50000</v>
      </c>
      <c r="E1342" s="19"/>
      <c r="F1342" s="15">
        <f t="shared" si="22"/>
        <v>45097671.500000037</v>
      </c>
    </row>
    <row r="1343" spans="1:6" x14ac:dyDescent="0.2">
      <c r="A1343" s="3">
        <v>45653</v>
      </c>
      <c r="B1343" s="43">
        <v>31953</v>
      </c>
      <c r="C1343" s="20" t="s">
        <v>28</v>
      </c>
      <c r="D1343" s="18">
        <v>50000</v>
      </c>
      <c r="E1343" s="19"/>
      <c r="F1343" s="15">
        <f t="shared" si="22"/>
        <v>45047671.500000037</v>
      </c>
    </row>
    <row r="1344" spans="1:6" x14ac:dyDescent="0.2">
      <c r="A1344" s="3">
        <v>45653</v>
      </c>
      <c r="B1344" s="43">
        <v>31952</v>
      </c>
      <c r="C1344" s="20" t="s">
        <v>97</v>
      </c>
      <c r="D1344" s="18">
        <v>50000</v>
      </c>
      <c r="E1344" s="19"/>
      <c r="F1344" s="15">
        <f t="shared" si="22"/>
        <v>44997671.500000037</v>
      </c>
    </row>
    <row r="1345" spans="1:6" x14ac:dyDescent="0.2">
      <c r="A1345" s="3">
        <v>45653</v>
      </c>
      <c r="B1345" s="43">
        <v>529373</v>
      </c>
      <c r="C1345" s="20" t="s">
        <v>94</v>
      </c>
      <c r="D1345" s="25"/>
      <c r="E1345" s="25">
        <v>1195263.29</v>
      </c>
      <c r="F1345" s="15">
        <f t="shared" si="22"/>
        <v>46192934.790000036</v>
      </c>
    </row>
    <row r="1346" spans="1:6" x14ac:dyDescent="0.2">
      <c r="A1346" s="3">
        <v>45653</v>
      </c>
      <c r="B1346" s="43">
        <v>4074668</v>
      </c>
      <c r="C1346" s="20" t="s">
        <v>225</v>
      </c>
      <c r="D1346" s="18">
        <v>60000</v>
      </c>
      <c r="E1346" s="19"/>
      <c r="F1346" s="15">
        <f t="shared" si="22"/>
        <v>46132934.790000036</v>
      </c>
    </row>
    <row r="1347" spans="1:6" x14ac:dyDescent="0.2">
      <c r="A1347" s="3">
        <v>45653</v>
      </c>
      <c r="B1347" s="43">
        <v>31940</v>
      </c>
      <c r="C1347" s="17" t="s">
        <v>12</v>
      </c>
      <c r="D1347" s="18">
        <v>256113.12</v>
      </c>
      <c r="E1347" s="19"/>
      <c r="F1347" s="15">
        <f t="shared" si="22"/>
        <v>45876821.670000039</v>
      </c>
    </row>
    <row r="1348" spans="1:6" x14ac:dyDescent="0.2">
      <c r="A1348" s="3">
        <v>45653</v>
      </c>
      <c r="B1348" s="43">
        <v>31885</v>
      </c>
      <c r="C1348" s="17" t="s">
        <v>12</v>
      </c>
      <c r="D1348" s="18">
        <v>2048906.24</v>
      </c>
      <c r="E1348" s="19"/>
      <c r="F1348" s="15">
        <f t="shared" si="22"/>
        <v>43827915.430000037</v>
      </c>
    </row>
    <row r="1349" spans="1:6" x14ac:dyDescent="0.2">
      <c r="A1349" s="3">
        <v>45653</v>
      </c>
      <c r="B1349" s="45"/>
      <c r="C1349" s="17" t="s">
        <v>22</v>
      </c>
      <c r="D1349" s="18">
        <v>7171.58</v>
      </c>
      <c r="E1349" s="19"/>
      <c r="F1349" s="15">
        <f t="shared" si="22"/>
        <v>43820743.850000039</v>
      </c>
    </row>
    <row r="1350" spans="1:6" x14ac:dyDescent="0.2">
      <c r="A1350" s="3">
        <v>45653</v>
      </c>
      <c r="B1350" s="45"/>
      <c r="C1350" s="17" t="s">
        <v>16</v>
      </c>
      <c r="D1350" s="18">
        <v>24687.919999999998</v>
      </c>
      <c r="E1350" s="19"/>
      <c r="F1350" s="15">
        <f t="shared" si="22"/>
        <v>43796055.930000037</v>
      </c>
    </row>
    <row r="1351" spans="1:6" x14ac:dyDescent="0.2">
      <c r="A1351" s="3">
        <v>45653</v>
      </c>
      <c r="B1351" s="45"/>
      <c r="C1351" s="17" t="s">
        <v>34</v>
      </c>
      <c r="D1351" s="18">
        <v>2400</v>
      </c>
      <c r="E1351" s="19"/>
      <c r="F1351" s="15">
        <f t="shared" si="22"/>
        <v>43793655.930000037</v>
      </c>
    </row>
    <row r="1352" spans="1:6" x14ac:dyDescent="0.2">
      <c r="A1352" s="3">
        <v>45653</v>
      </c>
      <c r="B1352" s="43">
        <v>16938</v>
      </c>
      <c r="C1352" s="20" t="s">
        <v>7</v>
      </c>
      <c r="D1352" s="18">
        <v>720</v>
      </c>
      <c r="E1352" s="19"/>
      <c r="F1352" s="15">
        <f t="shared" si="22"/>
        <v>43792935.930000037</v>
      </c>
    </row>
    <row r="1353" spans="1:6" x14ac:dyDescent="0.2">
      <c r="A1353" s="3">
        <v>45653</v>
      </c>
      <c r="B1353" s="43">
        <v>16938</v>
      </c>
      <c r="C1353" s="17" t="s">
        <v>199</v>
      </c>
      <c r="D1353" s="18">
        <v>151.19999999999999</v>
      </c>
      <c r="E1353" s="19"/>
      <c r="F1353" s="15">
        <f t="shared" si="22"/>
        <v>43792784.730000034</v>
      </c>
    </row>
    <row r="1354" spans="1:6" x14ac:dyDescent="0.2">
      <c r="A1354" s="3">
        <v>45656</v>
      </c>
      <c r="B1354" s="43">
        <v>31865</v>
      </c>
      <c r="C1354" s="17" t="s">
        <v>9</v>
      </c>
      <c r="D1354" s="18">
        <v>117500.08</v>
      </c>
      <c r="E1354" s="19"/>
      <c r="F1354" s="15">
        <f t="shared" si="22"/>
        <v>43675284.650000036</v>
      </c>
    </row>
    <row r="1355" spans="1:6" x14ac:dyDescent="0.2">
      <c r="A1355" s="3">
        <v>45656</v>
      </c>
      <c r="B1355" s="43">
        <v>31773</v>
      </c>
      <c r="C1355" s="17" t="s">
        <v>9</v>
      </c>
      <c r="D1355" s="18">
        <v>408768.25</v>
      </c>
      <c r="E1355" s="19"/>
      <c r="F1355" s="15">
        <f t="shared" si="22"/>
        <v>43266516.400000036</v>
      </c>
    </row>
    <row r="1356" spans="1:6" x14ac:dyDescent="0.2">
      <c r="A1356" s="3">
        <v>45656</v>
      </c>
      <c r="B1356" s="43">
        <v>31941</v>
      </c>
      <c r="C1356" s="17" t="s">
        <v>9</v>
      </c>
      <c r="D1356" s="18">
        <v>561381.31999999995</v>
      </c>
      <c r="E1356" s="19"/>
      <c r="F1356" s="15">
        <f t="shared" si="22"/>
        <v>42705135.080000035</v>
      </c>
    </row>
    <row r="1357" spans="1:6" x14ac:dyDescent="0.2">
      <c r="A1357" s="3">
        <v>45656</v>
      </c>
      <c r="B1357" s="45"/>
      <c r="C1357" s="20" t="s">
        <v>35</v>
      </c>
      <c r="D1357" s="18">
        <v>4000</v>
      </c>
      <c r="E1357" s="19"/>
      <c r="F1357" s="15">
        <f t="shared" si="22"/>
        <v>42701135.080000035</v>
      </c>
    </row>
    <row r="1358" spans="1:6" x14ac:dyDescent="0.2">
      <c r="A1358" s="3">
        <v>45656</v>
      </c>
      <c r="B1358" s="45"/>
      <c r="C1358" s="17" t="s">
        <v>36</v>
      </c>
      <c r="D1358" s="18">
        <v>60</v>
      </c>
      <c r="E1358" s="19"/>
      <c r="F1358" s="15">
        <f t="shared" si="22"/>
        <v>42701075.080000035</v>
      </c>
    </row>
    <row r="1359" spans="1:6" x14ac:dyDescent="0.2">
      <c r="A1359" s="3">
        <v>45656</v>
      </c>
      <c r="B1359" s="45"/>
      <c r="C1359" s="17" t="s">
        <v>199</v>
      </c>
      <c r="D1359" s="18">
        <v>840</v>
      </c>
      <c r="E1359" s="19"/>
      <c r="F1359" s="15">
        <f t="shared" si="22"/>
        <v>42700235.080000035</v>
      </c>
    </row>
    <row r="1360" spans="1:6" x14ac:dyDescent="0.2">
      <c r="A1360" s="3">
        <v>45656</v>
      </c>
      <c r="B1360" s="51"/>
      <c r="C1360" s="47" t="s">
        <v>37</v>
      </c>
      <c r="D1360" s="48">
        <v>120</v>
      </c>
      <c r="E1360" s="49"/>
      <c r="F1360" s="15">
        <f t="shared" si="22"/>
        <v>42700115.080000035</v>
      </c>
    </row>
    <row r="1361" spans="1:6" x14ac:dyDescent="0.2">
      <c r="A1361" s="3">
        <v>45656</v>
      </c>
      <c r="B1361" s="50"/>
      <c r="C1361" s="22" t="s">
        <v>92</v>
      </c>
      <c r="D1361" s="53">
        <v>44400</v>
      </c>
      <c r="E1361" s="24"/>
      <c r="F1361" s="15">
        <f t="shared" si="22"/>
        <v>42655715.080000035</v>
      </c>
    </row>
    <row r="1362" spans="1:6" x14ac:dyDescent="0.2">
      <c r="A1362" s="3">
        <v>45656</v>
      </c>
      <c r="B1362" s="45"/>
      <c r="C1362" s="17" t="s">
        <v>36</v>
      </c>
      <c r="D1362" s="25">
        <v>666</v>
      </c>
      <c r="E1362" s="19"/>
      <c r="F1362" s="15">
        <f t="shared" si="22"/>
        <v>42655049.080000035</v>
      </c>
    </row>
    <row r="1363" spans="1:6" x14ac:dyDescent="0.2">
      <c r="A1363" s="3">
        <v>45656</v>
      </c>
      <c r="B1363" s="45"/>
      <c r="C1363" s="17" t="s">
        <v>199</v>
      </c>
      <c r="D1363" s="25">
        <v>9324</v>
      </c>
      <c r="E1363" s="19"/>
      <c r="F1363" s="15">
        <f t="shared" si="22"/>
        <v>42645725.080000035</v>
      </c>
    </row>
    <row r="1364" spans="1:6" x14ac:dyDescent="0.2">
      <c r="A1364" s="3">
        <v>45656</v>
      </c>
      <c r="B1364" s="45"/>
      <c r="C1364" s="17" t="s">
        <v>37</v>
      </c>
      <c r="D1364" s="25">
        <v>1332</v>
      </c>
      <c r="E1364" s="19"/>
      <c r="F1364" s="15">
        <f t="shared" si="22"/>
        <v>42644393.080000035</v>
      </c>
    </row>
    <row r="1365" spans="1:6" x14ac:dyDescent="0.2">
      <c r="A1365" s="3">
        <v>45656</v>
      </c>
      <c r="B1365" s="45"/>
      <c r="C1365" s="17" t="s">
        <v>93</v>
      </c>
      <c r="D1365" s="25">
        <v>45920</v>
      </c>
      <c r="E1365" s="19"/>
      <c r="F1365" s="15">
        <f t="shared" si="22"/>
        <v>42598473.080000035</v>
      </c>
    </row>
    <row r="1366" spans="1:6" x14ac:dyDescent="0.2">
      <c r="A1366" s="3">
        <v>45656</v>
      </c>
      <c r="B1366" s="45"/>
      <c r="C1366" s="17" t="s">
        <v>36</v>
      </c>
      <c r="D1366" s="25">
        <v>688.8</v>
      </c>
      <c r="E1366" s="19"/>
      <c r="F1366" s="15">
        <f t="shared" si="22"/>
        <v>42597784.280000038</v>
      </c>
    </row>
    <row r="1367" spans="1:6" x14ac:dyDescent="0.2">
      <c r="A1367" s="3">
        <v>45656</v>
      </c>
      <c r="B1367" s="45"/>
      <c r="C1367" s="17" t="s">
        <v>199</v>
      </c>
      <c r="D1367" s="25">
        <v>9643.2000000000007</v>
      </c>
      <c r="E1367" s="19"/>
      <c r="F1367" s="15">
        <f t="shared" si="22"/>
        <v>42588141.080000035</v>
      </c>
    </row>
    <row r="1368" spans="1:6" x14ac:dyDescent="0.2">
      <c r="A1368" s="3">
        <v>45656</v>
      </c>
      <c r="B1368" s="45"/>
      <c r="C1368" s="17" t="s">
        <v>37</v>
      </c>
      <c r="D1368" s="25">
        <v>1377.6</v>
      </c>
      <c r="E1368" s="19"/>
      <c r="F1368" s="15">
        <f t="shared" ref="F1368:F1375" si="23">+F1367+E1368-D1368</f>
        <v>42586763.480000034</v>
      </c>
    </row>
    <row r="1369" spans="1:6" x14ac:dyDescent="0.2">
      <c r="A1369" s="3">
        <v>45656</v>
      </c>
      <c r="B1369" s="43">
        <v>31956</v>
      </c>
      <c r="C1369" s="20" t="s">
        <v>28</v>
      </c>
      <c r="D1369" s="25">
        <v>50000</v>
      </c>
      <c r="E1369" s="19"/>
      <c r="F1369" s="15">
        <f t="shared" si="23"/>
        <v>42536763.480000034</v>
      </c>
    </row>
    <row r="1370" spans="1:6" x14ac:dyDescent="0.2">
      <c r="A1370" s="3">
        <v>45656</v>
      </c>
      <c r="B1370" s="43">
        <v>78838341</v>
      </c>
      <c r="C1370" s="20" t="s">
        <v>226</v>
      </c>
      <c r="D1370" s="25">
        <v>500000</v>
      </c>
      <c r="E1370" s="19"/>
      <c r="F1370" s="15">
        <f t="shared" si="23"/>
        <v>42036763.480000034</v>
      </c>
    </row>
    <row r="1371" spans="1:6" x14ac:dyDescent="0.2">
      <c r="A1371" s="3">
        <v>45656</v>
      </c>
      <c r="B1371" s="43">
        <v>31668</v>
      </c>
      <c r="C1371" s="17" t="s">
        <v>12</v>
      </c>
      <c r="D1371" s="25">
        <v>2739605.6</v>
      </c>
      <c r="E1371" s="19"/>
      <c r="F1371" s="15">
        <f t="shared" si="23"/>
        <v>39297157.880000032</v>
      </c>
    </row>
    <row r="1372" spans="1:6" x14ac:dyDescent="0.2">
      <c r="A1372" s="3">
        <v>45656</v>
      </c>
      <c r="B1372" s="45"/>
      <c r="C1372" s="17" t="s">
        <v>95</v>
      </c>
      <c r="D1372" s="25">
        <v>2301</v>
      </c>
      <c r="E1372" s="19"/>
      <c r="F1372" s="15">
        <f t="shared" si="23"/>
        <v>39294856.880000032</v>
      </c>
    </row>
    <row r="1373" spans="1:6" x14ac:dyDescent="0.2">
      <c r="A1373" s="3">
        <v>45656</v>
      </c>
      <c r="B1373" s="45"/>
      <c r="C1373" s="17" t="s">
        <v>202</v>
      </c>
      <c r="D1373" s="25">
        <v>483.21</v>
      </c>
      <c r="E1373" s="19"/>
      <c r="F1373" s="15">
        <f t="shared" si="23"/>
        <v>39294373.670000032</v>
      </c>
    </row>
    <row r="1374" spans="1:6" x14ac:dyDescent="0.2">
      <c r="A1374" s="3">
        <v>45656</v>
      </c>
      <c r="B1374" s="45"/>
      <c r="C1374" s="17" t="s">
        <v>34</v>
      </c>
      <c r="D1374" s="25">
        <v>600</v>
      </c>
      <c r="E1374" s="19"/>
      <c r="F1374" s="15">
        <f t="shared" si="23"/>
        <v>39293773.670000032</v>
      </c>
    </row>
    <row r="1375" spans="1:6" x14ac:dyDescent="0.2">
      <c r="A1375" s="3">
        <v>45656</v>
      </c>
      <c r="B1375" s="54"/>
      <c r="C1375" s="33" t="s">
        <v>16</v>
      </c>
      <c r="D1375" s="34">
        <v>26695.7</v>
      </c>
      <c r="E1375" s="35"/>
      <c r="F1375" s="15">
        <f t="shared" si="23"/>
        <v>39267077.970000029</v>
      </c>
    </row>
    <row r="1378" spans="1:6" x14ac:dyDescent="0.2">
      <c r="A1378" s="1" t="s">
        <v>0</v>
      </c>
      <c r="B1378" s="1" t="s">
        <v>1</v>
      </c>
      <c r="C1378" s="1" t="s">
        <v>2</v>
      </c>
      <c r="D1378" s="1" t="s">
        <v>3</v>
      </c>
      <c r="E1378" s="1" t="s">
        <v>4</v>
      </c>
      <c r="F1378" s="1" t="s">
        <v>5</v>
      </c>
    </row>
    <row r="1379" spans="1:6" x14ac:dyDescent="0.2">
      <c r="A1379" s="3">
        <v>45657</v>
      </c>
      <c r="B1379" s="41"/>
      <c r="C1379" s="5" t="s">
        <v>6</v>
      </c>
      <c r="D1379" s="6"/>
      <c r="E1379" s="7"/>
      <c r="F1379" s="8">
        <v>39267077.969999999</v>
      </c>
    </row>
    <row r="1380" spans="1:6" x14ac:dyDescent="0.2">
      <c r="A1380" s="3">
        <v>45659</v>
      </c>
      <c r="B1380" s="60">
        <v>31775</v>
      </c>
      <c r="C1380" s="61" t="s">
        <v>9</v>
      </c>
      <c r="D1380" s="13">
        <v>448350</v>
      </c>
      <c r="E1380" s="14"/>
      <c r="F1380" s="15">
        <f t="shared" ref="F1380:F1443" si="24">+F1379+E1380-D1380</f>
        <v>38818727.969999999</v>
      </c>
    </row>
    <row r="1381" spans="1:6" x14ac:dyDescent="0.2">
      <c r="A1381" s="3">
        <v>45659</v>
      </c>
      <c r="B1381" s="43">
        <v>31602</v>
      </c>
      <c r="C1381" s="17" t="s">
        <v>9</v>
      </c>
      <c r="D1381" s="18">
        <v>1257839.25</v>
      </c>
      <c r="E1381" s="19"/>
      <c r="F1381" s="15">
        <f t="shared" si="24"/>
        <v>37560888.719999999</v>
      </c>
    </row>
    <row r="1382" spans="1:6" x14ac:dyDescent="0.2">
      <c r="A1382" s="3">
        <v>45659</v>
      </c>
      <c r="B1382" s="43">
        <v>31853</v>
      </c>
      <c r="C1382" s="17" t="s">
        <v>9</v>
      </c>
      <c r="D1382" s="18">
        <v>2625697.64</v>
      </c>
      <c r="E1382" s="19"/>
      <c r="F1382" s="15">
        <f t="shared" si="24"/>
        <v>34935191.079999998</v>
      </c>
    </row>
    <row r="1383" spans="1:6" x14ac:dyDescent="0.2">
      <c r="A1383" s="3">
        <v>45659</v>
      </c>
      <c r="B1383" s="43">
        <v>31877</v>
      </c>
      <c r="C1383" s="17" t="s">
        <v>9</v>
      </c>
      <c r="D1383" s="18">
        <v>3921665.8</v>
      </c>
      <c r="E1383" s="19"/>
      <c r="F1383" s="15">
        <f t="shared" si="24"/>
        <v>31013525.279999997</v>
      </c>
    </row>
    <row r="1384" spans="1:6" x14ac:dyDescent="0.2">
      <c r="A1384" s="3">
        <v>45659</v>
      </c>
      <c r="B1384" s="43">
        <v>31879</v>
      </c>
      <c r="C1384" s="17" t="s">
        <v>9</v>
      </c>
      <c r="D1384" s="18">
        <v>6269984</v>
      </c>
      <c r="E1384" s="19"/>
      <c r="F1384" s="15">
        <f t="shared" si="24"/>
        <v>24743541.279999997</v>
      </c>
    </row>
    <row r="1385" spans="1:6" x14ac:dyDescent="0.2">
      <c r="A1385" s="3">
        <v>45659</v>
      </c>
      <c r="B1385" s="45"/>
      <c r="C1385" s="20" t="s">
        <v>207</v>
      </c>
      <c r="D1385" s="18">
        <v>1100</v>
      </c>
      <c r="E1385" s="19"/>
      <c r="F1385" s="15">
        <f t="shared" si="24"/>
        <v>24742441.279999997</v>
      </c>
    </row>
    <row r="1386" spans="1:6" x14ac:dyDescent="0.2">
      <c r="A1386" s="3">
        <v>45659</v>
      </c>
      <c r="B1386" s="45"/>
      <c r="C1386" s="17" t="s">
        <v>143</v>
      </c>
      <c r="D1386" s="18">
        <v>490</v>
      </c>
      <c r="E1386" s="19"/>
      <c r="F1386" s="15">
        <f t="shared" si="24"/>
        <v>24741951.279999997</v>
      </c>
    </row>
    <row r="1387" spans="1:6" x14ac:dyDescent="0.2">
      <c r="A1387" s="3">
        <v>45659</v>
      </c>
      <c r="B1387" s="45"/>
      <c r="C1387" s="17" t="s">
        <v>227</v>
      </c>
      <c r="D1387" s="18">
        <v>102.9</v>
      </c>
      <c r="E1387" s="19"/>
      <c r="F1387" s="15">
        <f t="shared" si="24"/>
        <v>24741848.379999999</v>
      </c>
    </row>
    <row r="1388" spans="1:6" x14ac:dyDescent="0.2">
      <c r="A1388" s="3">
        <v>45659</v>
      </c>
      <c r="B1388" s="45"/>
      <c r="C1388" s="17" t="s">
        <v>227</v>
      </c>
      <c r="D1388" s="18">
        <v>231</v>
      </c>
      <c r="E1388" s="19"/>
      <c r="F1388" s="15">
        <f t="shared" si="24"/>
        <v>24741617.379999999</v>
      </c>
    </row>
    <row r="1389" spans="1:6" x14ac:dyDescent="0.2">
      <c r="A1389" s="3">
        <v>45659</v>
      </c>
      <c r="B1389" s="43">
        <v>762371</v>
      </c>
      <c r="C1389" s="20" t="s">
        <v>217</v>
      </c>
      <c r="D1389" s="25"/>
      <c r="E1389" s="25">
        <v>100000000</v>
      </c>
      <c r="F1389" s="15">
        <f t="shared" si="24"/>
        <v>124741617.38</v>
      </c>
    </row>
    <row r="1390" spans="1:6" x14ac:dyDescent="0.2">
      <c r="A1390" s="3">
        <v>45659</v>
      </c>
      <c r="B1390" s="43">
        <v>31675</v>
      </c>
      <c r="C1390" s="17" t="s">
        <v>12</v>
      </c>
      <c r="D1390" s="18">
        <v>5281087.83</v>
      </c>
      <c r="E1390" s="19"/>
      <c r="F1390" s="15">
        <f t="shared" si="24"/>
        <v>119460529.55</v>
      </c>
    </row>
    <row r="1391" spans="1:6" x14ac:dyDescent="0.2">
      <c r="A1391" s="3">
        <v>45659</v>
      </c>
      <c r="B1391" s="43">
        <v>31718</v>
      </c>
      <c r="C1391" s="17" t="s">
        <v>12</v>
      </c>
      <c r="D1391" s="18">
        <v>8369723</v>
      </c>
      <c r="E1391" s="19"/>
      <c r="F1391" s="15">
        <f t="shared" si="24"/>
        <v>111090806.55</v>
      </c>
    </row>
    <row r="1392" spans="1:6" x14ac:dyDescent="0.2">
      <c r="A1392" s="3">
        <v>45659</v>
      </c>
      <c r="B1392" s="45"/>
      <c r="C1392" s="17" t="s">
        <v>16</v>
      </c>
      <c r="D1392" s="18">
        <v>169057.64</v>
      </c>
      <c r="E1392" s="19"/>
      <c r="F1392" s="15">
        <f t="shared" si="24"/>
        <v>110921748.91</v>
      </c>
    </row>
    <row r="1393" spans="1:6" x14ac:dyDescent="0.2">
      <c r="A1393" s="3">
        <v>45660</v>
      </c>
      <c r="B1393" s="43">
        <v>31761</v>
      </c>
      <c r="C1393" s="17" t="s">
        <v>9</v>
      </c>
      <c r="D1393" s="18">
        <v>110589.45</v>
      </c>
      <c r="E1393" s="19"/>
      <c r="F1393" s="15">
        <f t="shared" si="24"/>
        <v>110811159.45999999</v>
      </c>
    </row>
    <row r="1394" spans="1:6" x14ac:dyDescent="0.2">
      <c r="A1394" s="3">
        <v>45660</v>
      </c>
      <c r="B1394" s="43">
        <v>31942</v>
      </c>
      <c r="C1394" s="17" t="s">
        <v>9</v>
      </c>
      <c r="D1394" s="18">
        <v>3455340.03</v>
      </c>
      <c r="E1394" s="19"/>
      <c r="F1394" s="15">
        <f t="shared" si="24"/>
        <v>107355819.42999999</v>
      </c>
    </row>
    <row r="1395" spans="1:6" x14ac:dyDescent="0.2">
      <c r="A1395" s="3">
        <v>45660</v>
      </c>
      <c r="B1395" s="43">
        <v>31883</v>
      </c>
      <c r="C1395" s="17" t="s">
        <v>9</v>
      </c>
      <c r="D1395" s="18">
        <v>5758625.8799999999</v>
      </c>
      <c r="E1395" s="19"/>
      <c r="F1395" s="15">
        <f t="shared" si="24"/>
        <v>101597193.55</v>
      </c>
    </row>
    <row r="1396" spans="1:6" x14ac:dyDescent="0.2">
      <c r="A1396" s="3">
        <v>45660</v>
      </c>
      <c r="B1396" s="43">
        <v>31964</v>
      </c>
      <c r="C1396" s="17" t="s">
        <v>9</v>
      </c>
      <c r="D1396" s="18">
        <v>5969020.5</v>
      </c>
      <c r="E1396" s="19"/>
      <c r="F1396" s="15">
        <f t="shared" si="24"/>
        <v>95628173.049999997</v>
      </c>
    </row>
    <row r="1397" spans="1:6" x14ac:dyDescent="0.2">
      <c r="A1397" s="3">
        <v>45660</v>
      </c>
      <c r="B1397" s="43">
        <v>4126442</v>
      </c>
      <c r="C1397" s="20" t="s">
        <v>228</v>
      </c>
      <c r="D1397" s="18">
        <v>2075000</v>
      </c>
      <c r="E1397" s="19"/>
      <c r="F1397" s="15">
        <f t="shared" si="24"/>
        <v>93553173.049999997</v>
      </c>
    </row>
    <row r="1398" spans="1:6" x14ac:dyDescent="0.2">
      <c r="A1398" s="3">
        <v>45660</v>
      </c>
      <c r="B1398" s="43">
        <v>4126443</v>
      </c>
      <c r="C1398" s="20" t="s">
        <v>162</v>
      </c>
      <c r="D1398" s="18">
        <v>1350000</v>
      </c>
      <c r="E1398" s="19"/>
      <c r="F1398" s="15">
        <f t="shared" si="24"/>
        <v>92203173.049999997</v>
      </c>
    </row>
    <row r="1399" spans="1:6" x14ac:dyDescent="0.2">
      <c r="A1399" s="3">
        <v>45660</v>
      </c>
      <c r="B1399" s="46">
        <v>29521</v>
      </c>
      <c r="C1399" s="9" t="s">
        <v>11</v>
      </c>
      <c r="D1399" s="48">
        <v>8356589</v>
      </c>
      <c r="E1399" s="49"/>
      <c r="F1399" s="15">
        <f t="shared" si="24"/>
        <v>83846584.049999997</v>
      </c>
    </row>
    <row r="1400" spans="1:6" x14ac:dyDescent="0.2">
      <c r="A1400" s="3">
        <v>45660</v>
      </c>
      <c r="B1400" s="44">
        <v>780712</v>
      </c>
      <c r="C1400" s="28" t="s">
        <v>229</v>
      </c>
      <c r="D1400" s="30"/>
      <c r="E1400" s="31">
        <v>86166.52</v>
      </c>
      <c r="F1400" s="15">
        <f t="shared" si="24"/>
        <v>83932750.569999993</v>
      </c>
    </row>
    <row r="1401" spans="1:6" x14ac:dyDescent="0.2">
      <c r="A1401" s="3">
        <v>45660</v>
      </c>
      <c r="B1401" s="43">
        <v>4165468</v>
      </c>
      <c r="C1401" s="20" t="s">
        <v>123</v>
      </c>
      <c r="D1401" s="18">
        <v>856935.77</v>
      </c>
      <c r="E1401" s="19"/>
      <c r="F1401" s="15">
        <f t="shared" si="24"/>
        <v>83075814.799999997</v>
      </c>
    </row>
    <row r="1402" spans="1:6" x14ac:dyDescent="0.2">
      <c r="A1402" s="3">
        <v>45660</v>
      </c>
      <c r="B1402" s="43">
        <v>4165469</v>
      </c>
      <c r="C1402" s="20" t="s">
        <v>230</v>
      </c>
      <c r="D1402" s="18">
        <v>298144</v>
      </c>
      <c r="E1402" s="19"/>
      <c r="F1402" s="15">
        <f t="shared" si="24"/>
        <v>82777670.799999997</v>
      </c>
    </row>
    <row r="1403" spans="1:6" x14ac:dyDescent="0.2">
      <c r="A1403" s="3">
        <v>45660</v>
      </c>
      <c r="B1403" s="43">
        <v>4165470</v>
      </c>
      <c r="C1403" s="20" t="s">
        <v>78</v>
      </c>
      <c r="D1403" s="18">
        <v>195000</v>
      </c>
      <c r="E1403" s="19"/>
      <c r="F1403" s="15">
        <f t="shared" si="24"/>
        <v>82582670.799999997</v>
      </c>
    </row>
    <row r="1404" spans="1:6" x14ac:dyDescent="0.2">
      <c r="A1404" s="3">
        <v>45660</v>
      </c>
      <c r="B1404" s="43">
        <v>18115674</v>
      </c>
      <c r="C1404" s="20" t="s">
        <v>231</v>
      </c>
      <c r="D1404" s="18">
        <v>1377475.15</v>
      </c>
      <c r="E1404" s="19"/>
      <c r="F1404" s="15">
        <f t="shared" si="24"/>
        <v>81205195.649999991</v>
      </c>
    </row>
    <row r="1405" spans="1:6" x14ac:dyDescent="0.2">
      <c r="A1405" s="3">
        <v>45660</v>
      </c>
      <c r="B1405" s="45"/>
      <c r="C1405" s="17" t="s">
        <v>13</v>
      </c>
      <c r="D1405" s="18">
        <v>76882476</v>
      </c>
      <c r="E1405" s="19"/>
      <c r="F1405" s="15">
        <f t="shared" si="24"/>
        <v>4322719.6499999911</v>
      </c>
    </row>
    <row r="1406" spans="1:6" x14ac:dyDescent="0.2">
      <c r="A1406" s="3">
        <v>45660</v>
      </c>
      <c r="B1406" s="45"/>
      <c r="C1406" s="17" t="s">
        <v>14</v>
      </c>
      <c r="D1406" s="18">
        <v>2924.82</v>
      </c>
      <c r="E1406" s="19"/>
      <c r="F1406" s="15">
        <f t="shared" si="24"/>
        <v>4319794.8299999908</v>
      </c>
    </row>
    <row r="1407" spans="1:6" x14ac:dyDescent="0.2">
      <c r="A1407" s="3">
        <v>45660</v>
      </c>
      <c r="B1407" s="45"/>
      <c r="C1407" s="17" t="s">
        <v>232</v>
      </c>
      <c r="D1407" s="18">
        <v>614.21</v>
      </c>
      <c r="E1407" s="19"/>
      <c r="F1407" s="15">
        <f t="shared" si="24"/>
        <v>4319180.6199999908</v>
      </c>
    </row>
    <row r="1408" spans="1:6" x14ac:dyDescent="0.2">
      <c r="A1408" s="3">
        <v>45660</v>
      </c>
      <c r="B1408" s="45"/>
      <c r="C1408" s="17" t="s">
        <v>16</v>
      </c>
      <c r="D1408" s="18">
        <v>640132.41</v>
      </c>
      <c r="E1408" s="19"/>
      <c r="F1408" s="15">
        <f t="shared" si="24"/>
        <v>3679048.2099999906</v>
      </c>
    </row>
    <row r="1409" spans="1:6" x14ac:dyDescent="0.2">
      <c r="A1409" s="3">
        <v>45660</v>
      </c>
      <c r="B1409" s="45"/>
      <c r="C1409" s="17" t="s">
        <v>22</v>
      </c>
      <c r="D1409" s="18">
        <v>517</v>
      </c>
      <c r="E1409" s="19"/>
      <c r="F1409" s="15">
        <f t="shared" si="24"/>
        <v>3678531.2099999906</v>
      </c>
    </row>
    <row r="1410" spans="1:6" x14ac:dyDescent="0.2">
      <c r="A1410" s="3">
        <v>45660</v>
      </c>
      <c r="B1410" s="45"/>
      <c r="C1410" s="20" t="s">
        <v>233</v>
      </c>
      <c r="D1410" s="18">
        <v>86.17</v>
      </c>
      <c r="E1410" s="19"/>
      <c r="F1410" s="15">
        <f t="shared" si="24"/>
        <v>3678445.0399999907</v>
      </c>
    </row>
    <row r="1411" spans="1:6" x14ac:dyDescent="0.2">
      <c r="A1411" s="3">
        <v>45661</v>
      </c>
      <c r="B1411" s="43">
        <v>776554</v>
      </c>
      <c r="C1411" s="20" t="s">
        <v>217</v>
      </c>
      <c r="D1411" s="25"/>
      <c r="E1411" s="25">
        <v>10000000</v>
      </c>
      <c r="F1411" s="15">
        <f t="shared" si="24"/>
        <v>13678445.039999992</v>
      </c>
    </row>
    <row r="1412" spans="1:6" x14ac:dyDescent="0.2">
      <c r="A1412" s="3">
        <v>45663</v>
      </c>
      <c r="B1412" s="43">
        <v>31843</v>
      </c>
      <c r="C1412" s="17" t="s">
        <v>9</v>
      </c>
      <c r="D1412" s="18">
        <v>311483.58</v>
      </c>
      <c r="E1412" s="19"/>
      <c r="F1412" s="15">
        <f t="shared" si="24"/>
        <v>13366961.459999992</v>
      </c>
    </row>
    <row r="1413" spans="1:6" x14ac:dyDescent="0.2">
      <c r="A1413" s="3">
        <v>45663</v>
      </c>
      <c r="B1413" s="43">
        <v>31893</v>
      </c>
      <c r="C1413" s="17" t="s">
        <v>9</v>
      </c>
      <c r="D1413" s="18">
        <v>354571.96</v>
      </c>
      <c r="E1413" s="19"/>
      <c r="F1413" s="15">
        <f t="shared" si="24"/>
        <v>13012389.499999991</v>
      </c>
    </row>
    <row r="1414" spans="1:6" x14ac:dyDescent="0.2">
      <c r="A1414" s="3">
        <v>45663</v>
      </c>
      <c r="B1414" s="43">
        <v>31769</v>
      </c>
      <c r="C1414" s="17" t="s">
        <v>9</v>
      </c>
      <c r="D1414" s="18">
        <v>6407380</v>
      </c>
      <c r="E1414" s="19"/>
      <c r="F1414" s="15">
        <f t="shared" si="24"/>
        <v>6605009.4999999907</v>
      </c>
    </row>
    <row r="1415" spans="1:6" x14ac:dyDescent="0.2">
      <c r="A1415" s="3">
        <v>45663</v>
      </c>
      <c r="B1415" s="43">
        <v>784502</v>
      </c>
      <c r="C1415" s="20" t="s">
        <v>217</v>
      </c>
      <c r="D1415" s="25"/>
      <c r="E1415" s="25">
        <v>30000000</v>
      </c>
      <c r="F1415" s="15">
        <f t="shared" si="24"/>
        <v>36605009.499999993</v>
      </c>
    </row>
    <row r="1416" spans="1:6" x14ac:dyDescent="0.2">
      <c r="A1416" s="3">
        <v>45663</v>
      </c>
      <c r="B1416" s="43">
        <v>35629470</v>
      </c>
      <c r="C1416" s="17" t="s">
        <v>41</v>
      </c>
      <c r="D1416" s="18">
        <v>20000000</v>
      </c>
      <c r="E1416" s="18"/>
      <c r="F1416" s="15">
        <f t="shared" si="24"/>
        <v>16605009.499999993</v>
      </c>
    </row>
    <row r="1417" spans="1:6" x14ac:dyDescent="0.2">
      <c r="A1417" s="3">
        <v>45663</v>
      </c>
      <c r="B1417" s="43">
        <v>791783</v>
      </c>
      <c r="C1417" s="20" t="s">
        <v>234</v>
      </c>
      <c r="D1417" s="25"/>
      <c r="E1417" s="25">
        <v>10000000</v>
      </c>
      <c r="F1417" s="15">
        <f t="shared" si="24"/>
        <v>26605009.499999993</v>
      </c>
    </row>
    <row r="1418" spans="1:6" x14ac:dyDescent="0.2">
      <c r="A1418" s="3">
        <v>45663</v>
      </c>
      <c r="B1418" s="43">
        <v>15464258</v>
      </c>
      <c r="C1418" s="20" t="s">
        <v>235</v>
      </c>
      <c r="D1418" s="18">
        <v>2000000</v>
      </c>
      <c r="E1418" s="18"/>
      <c r="F1418" s="15">
        <f t="shared" si="24"/>
        <v>24605009.499999993</v>
      </c>
    </row>
    <row r="1419" spans="1:6" x14ac:dyDescent="0.2">
      <c r="A1419" s="3">
        <v>45663</v>
      </c>
      <c r="B1419" s="43">
        <v>17309918</v>
      </c>
      <c r="C1419" s="20" t="s">
        <v>236</v>
      </c>
      <c r="D1419" s="18">
        <v>2000000</v>
      </c>
      <c r="E1419" s="18"/>
      <c r="F1419" s="15">
        <f t="shared" si="24"/>
        <v>22605009.499999993</v>
      </c>
    </row>
    <row r="1420" spans="1:6" x14ac:dyDescent="0.2">
      <c r="A1420" s="3">
        <v>45663</v>
      </c>
      <c r="B1420" s="45"/>
      <c r="C1420" s="17" t="s">
        <v>22</v>
      </c>
      <c r="D1420" s="18">
        <v>60000</v>
      </c>
      <c r="E1420" s="19"/>
      <c r="F1420" s="15">
        <f t="shared" si="24"/>
        <v>22545009.499999993</v>
      </c>
    </row>
    <row r="1421" spans="1:6" x14ac:dyDescent="0.2">
      <c r="A1421" s="3">
        <v>45663</v>
      </c>
      <c r="B1421" s="45"/>
      <c r="C1421" s="17" t="s">
        <v>16</v>
      </c>
      <c r="D1421" s="18">
        <v>66441.13</v>
      </c>
      <c r="E1421" s="19"/>
      <c r="F1421" s="15">
        <f t="shared" si="24"/>
        <v>22478568.369999994</v>
      </c>
    </row>
    <row r="1422" spans="1:6" x14ac:dyDescent="0.2">
      <c r="A1422" s="3">
        <v>45663</v>
      </c>
      <c r="B1422" s="45"/>
      <c r="C1422" s="20" t="s">
        <v>237</v>
      </c>
      <c r="D1422" s="18">
        <v>10000</v>
      </c>
      <c r="E1422" s="19"/>
      <c r="F1422" s="15">
        <f t="shared" si="24"/>
        <v>22468568.369999994</v>
      </c>
    </row>
    <row r="1423" spans="1:6" x14ac:dyDescent="0.2">
      <c r="A1423" s="3">
        <v>45664</v>
      </c>
      <c r="B1423" s="43">
        <v>20000016</v>
      </c>
      <c r="C1423" s="17" t="s">
        <v>24</v>
      </c>
      <c r="D1423" s="19"/>
      <c r="E1423" s="18">
        <v>233965.83</v>
      </c>
      <c r="F1423" s="15">
        <f t="shared" si="24"/>
        <v>22702534.199999992</v>
      </c>
    </row>
    <row r="1424" spans="1:6" x14ac:dyDescent="0.2">
      <c r="A1424" s="3">
        <v>45664</v>
      </c>
      <c r="B1424" s="43">
        <v>31946</v>
      </c>
      <c r="C1424" s="17" t="s">
        <v>9</v>
      </c>
      <c r="D1424" s="18">
        <v>2676085</v>
      </c>
      <c r="E1424" s="19"/>
      <c r="F1424" s="15">
        <f t="shared" si="24"/>
        <v>20026449.199999992</v>
      </c>
    </row>
    <row r="1425" spans="1:6" x14ac:dyDescent="0.2">
      <c r="A1425" s="3">
        <v>45664</v>
      </c>
      <c r="B1425" s="43">
        <v>41354424</v>
      </c>
      <c r="C1425" s="17" t="s">
        <v>238</v>
      </c>
      <c r="D1425" s="18">
        <v>48854.76</v>
      </c>
      <c r="E1425" s="19"/>
      <c r="F1425" s="15">
        <f t="shared" si="24"/>
        <v>19977594.43999999</v>
      </c>
    </row>
    <row r="1426" spans="1:6" x14ac:dyDescent="0.2">
      <c r="A1426" s="3">
        <v>45664</v>
      </c>
      <c r="B1426" s="45"/>
      <c r="C1426" s="17" t="s">
        <v>22</v>
      </c>
      <c r="D1426" s="18">
        <v>1403.79</v>
      </c>
      <c r="E1426" s="19"/>
      <c r="F1426" s="15">
        <f t="shared" si="24"/>
        <v>19976190.649999991</v>
      </c>
    </row>
    <row r="1427" spans="1:6" x14ac:dyDescent="0.2">
      <c r="A1427" s="3">
        <v>45664</v>
      </c>
      <c r="B1427" s="45"/>
      <c r="C1427" s="17" t="s">
        <v>16</v>
      </c>
      <c r="D1427" s="18">
        <v>16409.64</v>
      </c>
      <c r="E1427" s="19"/>
      <c r="F1427" s="15">
        <f t="shared" si="24"/>
        <v>19959781.00999999</v>
      </c>
    </row>
    <row r="1428" spans="1:6" x14ac:dyDescent="0.2">
      <c r="A1428" s="3">
        <v>45664</v>
      </c>
      <c r="B1428" s="45"/>
      <c r="C1428" s="20" t="s">
        <v>239</v>
      </c>
      <c r="D1428" s="18">
        <v>233.97</v>
      </c>
      <c r="E1428" s="19"/>
      <c r="F1428" s="15">
        <f t="shared" si="24"/>
        <v>19959547.039999992</v>
      </c>
    </row>
    <row r="1429" spans="1:6" x14ac:dyDescent="0.2">
      <c r="A1429" s="3">
        <v>45665</v>
      </c>
      <c r="B1429" s="43">
        <v>31918</v>
      </c>
      <c r="C1429" s="17" t="s">
        <v>9</v>
      </c>
      <c r="D1429" s="18">
        <v>133408.98000000001</v>
      </c>
      <c r="E1429" s="19"/>
      <c r="F1429" s="15">
        <f t="shared" si="24"/>
        <v>19826138.059999991</v>
      </c>
    </row>
    <row r="1430" spans="1:6" x14ac:dyDescent="0.2">
      <c r="A1430" s="3">
        <v>45665</v>
      </c>
      <c r="B1430" s="45"/>
      <c r="C1430" s="17" t="s">
        <v>16</v>
      </c>
      <c r="D1430" s="18">
        <v>801.85</v>
      </c>
      <c r="E1430" s="19"/>
      <c r="F1430" s="15">
        <f t="shared" si="24"/>
        <v>19825336.20999999</v>
      </c>
    </row>
    <row r="1431" spans="1:6" x14ac:dyDescent="0.2">
      <c r="A1431" s="3">
        <v>45666</v>
      </c>
      <c r="B1431" s="43">
        <v>40560710</v>
      </c>
      <c r="C1431" s="20" t="s">
        <v>240</v>
      </c>
      <c r="D1431" s="19"/>
      <c r="E1431" s="18">
        <v>17000</v>
      </c>
      <c r="F1431" s="15">
        <f t="shared" si="24"/>
        <v>19842336.20999999</v>
      </c>
    </row>
    <row r="1432" spans="1:6" x14ac:dyDescent="0.2">
      <c r="A1432" s="3">
        <v>45666</v>
      </c>
      <c r="B1432" s="43">
        <v>32032</v>
      </c>
      <c r="C1432" s="20" t="s">
        <v>97</v>
      </c>
      <c r="D1432" s="18">
        <v>50000</v>
      </c>
      <c r="E1432" s="19"/>
      <c r="F1432" s="15">
        <f t="shared" si="24"/>
        <v>19792336.20999999</v>
      </c>
    </row>
    <row r="1433" spans="1:6" x14ac:dyDescent="0.2">
      <c r="A1433" s="3">
        <v>45666</v>
      </c>
      <c r="B1433" s="43">
        <v>4250415</v>
      </c>
      <c r="C1433" s="20" t="s">
        <v>99</v>
      </c>
      <c r="D1433" s="18">
        <v>384000</v>
      </c>
      <c r="E1433" s="19"/>
      <c r="F1433" s="15">
        <f t="shared" si="24"/>
        <v>19408336.20999999</v>
      </c>
    </row>
    <row r="1434" spans="1:6" x14ac:dyDescent="0.2">
      <c r="A1434" s="3">
        <v>45666</v>
      </c>
      <c r="B1434" s="43">
        <v>4250416</v>
      </c>
      <c r="C1434" s="20" t="s">
        <v>49</v>
      </c>
      <c r="D1434" s="18">
        <v>362466</v>
      </c>
      <c r="E1434" s="19"/>
      <c r="F1434" s="15">
        <f t="shared" si="24"/>
        <v>19045870.20999999</v>
      </c>
    </row>
    <row r="1435" spans="1:6" x14ac:dyDescent="0.2">
      <c r="A1435" s="3">
        <v>45666</v>
      </c>
      <c r="B1435" s="43">
        <v>4250418</v>
      </c>
      <c r="C1435" s="20" t="s">
        <v>49</v>
      </c>
      <c r="D1435" s="18">
        <v>144823</v>
      </c>
      <c r="E1435" s="19"/>
      <c r="F1435" s="15">
        <f t="shared" si="24"/>
        <v>18901047.20999999</v>
      </c>
    </row>
    <row r="1436" spans="1:6" x14ac:dyDescent="0.2">
      <c r="A1436" s="3">
        <v>45666</v>
      </c>
      <c r="B1436" s="46">
        <v>4250419</v>
      </c>
      <c r="C1436" s="9" t="s">
        <v>49</v>
      </c>
      <c r="D1436" s="48">
        <v>431766</v>
      </c>
      <c r="E1436" s="49"/>
      <c r="F1436" s="15">
        <f t="shared" si="24"/>
        <v>18469281.20999999</v>
      </c>
    </row>
    <row r="1437" spans="1:6" x14ac:dyDescent="0.2">
      <c r="A1437" s="3">
        <v>45666</v>
      </c>
      <c r="B1437" s="44">
        <v>4250420</v>
      </c>
      <c r="C1437" s="28" t="s">
        <v>49</v>
      </c>
      <c r="D1437" s="23">
        <v>217643</v>
      </c>
      <c r="E1437" s="24"/>
      <c r="F1437" s="15">
        <f t="shared" si="24"/>
        <v>18251638.20999999</v>
      </c>
    </row>
    <row r="1438" spans="1:6" x14ac:dyDescent="0.2">
      <c r="A1438" s="3">
        <v>45666</v>
      </c>
      <c r="B1438" s="43">
        <v>4250421</v>
      </c>
      <c r="C1438" s="20" t="s">
        <v>19</v>
      </c>
      <c r="D1438" s="18">
        <v>3699105.6</v>
      </c>
      <c r="E1438" s="19"/>
      <c r="F1438" s="15">
        <f t="shared" si="24"/>
        <v>14552532.60999999</v>
      </c>
    </row>
    <row r="1439" spans="1:6" x14ac:dyDescent="0.2">
      <c r="A1439" s="3">
        <v>45666</v>
      </c>
      <c r="B1439" s="43">
        <v>31970</v>
      </c>
      <c r="C1439" s="17" t="s">
        <v>12</v>
      </c>
      <c r="D1439" s="18">
        <v>2962714.5</v>
      </c>
      <c r="E1439" s="19"/>
      <c r="F1439" s="15">
        <f t="shared" si="24"/>
        <v>11589818.10999999</v>
      </c>
    </row>
    <row r="1440" spans="1:6" x14ac:dyDescent="0.2">
      <c r="A1440" s="3">
        <v>45666</v>
      </c>
      <c r="B1440" s="45"/>
      <c r="C1440" s="17" t="s">
        <v>22</v>
      </c>
      <c r="D1440" s="18">
        <v>102</v>
      </c>
      <c r="E1440" s="19"/>
      <c r="F1440" s="15">
        <f t="shared" si="24"/>
        <v>11589716.10999999</v>
      </c>
    </row>
    <row r="1441" spans="1:6" x14ac:dyDescent="0.2">
      <c r="A1441" s="3">
        <v>45666</v>
      </c>
      <c r="B1441" s="45"/>
      <c r="C1441" s="17" t="s">
        <v>16</v>
      </c>
      <c r="D1441" s="18">
        <v>49215.12</v>
      </c>
      <c r="E1441" s="19"/>
      <c r="F1441" s="15">
        <f t="shared" si="24"/>
        <v>11540500.989999991</v>
      </c>
    </row>
    <row r="1442" spans="1:6" x14ac:dyDescent="0.2">
      <c r="A1442" s="3">
        <v>45666</v>
      </c>
      <c r="B1442" s="45"/>
      <c r="C1442" s="17" t="s">
        <v>34</v>
      </c>
      <c r="D1442" s="18">
        <v>600</v>
      </c>
      <c r="E1442" s="19"/>
      <c r="F1442" s="15">
        <f t="shared" si="24"/>
        <v>11539900.989999991</v>
      </c>
    </row>
    <row r="1443" spans="1:6" x14ac:dyDescent="0.2">
      <c r="A1443" s="3">
        <v>45666</v>
      </c>
      <c r="B1443" s="43">
        <v>12495</v>
      </c>
      <c r="C1443" s="20" t="s">
        <v>7</v>
      </c>
      <c r="D1443" s="18">
        <v>1485</v>
      </c>
      <c r="E1443" s="19"/>
      <c r="F1443" s="15">
        <f t="shared" si="24"/>
        <v>11538415.989999991</v>
      </c>
    </row>
    <row r="1444" spans="1:6" x14ac:dyDescent="0.2">
      <c r="A1444" s="3">
        <v>45666</v>
      </c>
      <c r="B1444" s="43">
        <v>12495</v>
      </c>
      <c r="C1444" s="17" t="s">
        <v>227</v>
      </c>
      <c r="D1444" s="18">
        <v>311.85000000000002</v>
      </c>
      <c r="E1444" s="19"/>
      <c r="F1444" s="15">
        <f t="shared" ref="F1444:F1507" si="25">+F1443+E1444-D1444</f>
        <v>11538104.139999991</v>
      </c>
    </row>
    <row r="1445" spans="1:6" x14ac:dyDescent="0.2">
      <c r="A1445" s="3">
        <v>45666</v>
      </c>
      <c r="B1445" s="45"/>
      <c r="C1445" s="20" t="s">
        <v>241</v>
      </c>
      <c r="D1445" s="18">
        <v>17</v>
      </c>
      <c r="E1445" s="19"/>
      <c r="F1445" s="15">
        <f t="shared" si="25"/>
        <v>11538087.139999991</v>
      </c>
    </row>
    <row r="1446" spans="1:6" x14ac:dyDescent="0.2">
      <c r="A1446" s="3">
        <v>45667</v>
      </c>
      <c r="B1446" s="43">
        <v>32015</v>
      </c>
      <c r="C1446" s="17" t="s">
        <v>9</v>
      </c>
      <c r="D1446" s="18">
        <v>1000000</v>
      </c>
      <c r="E1446" s="19"/>
      <c r="F1446" s="15">
        <f t="shared" si="25"/>
        <v>10538087.139999991</v>
      </c>
    </row>
    <row r="1447" spans="1:6" x14ac:dyDescent="0.2">
      <c r="A1447" s="3">
        <v>45667</v>
      </c>
      <c r="B1447" s="45"/>
      <c r="C1447" s="20" t="s">
        <v>207</v>
      </c>
      <c r="D1447" s="18">
        <v>1100</v>
      </c>
      <c r="E1447" s="19"/>
      <c r="F1447" s="15">
        <f t="shared" si="25"/>
        <v>10536987.139999991</v>
      </c>
    </row>
    <row r="1448" spans="1:6" x14ac:dyDescent="0.2">
      <c r="A1448" s="3">
        <v>45667</v>
      </c>
      <c r="B1448" s="45"/>
      <c r="C1448" s="17" t="s">
        <v>227</v>
      </c>
      <c r="D1448" s="18">
        <v>231</v>
      </c>
      <c r="E1448" s="19"/>
      <c r="F1448" s="15">
        <f t="shared" si="25"/>
        <v>10536756.139999991</v>
      </c>
    </row>
    <row r="1449" spans="1:6" x14ac:dyDescent="0.2">
      <c r="A1449" s="3">
        <v>45667</v>
      </c>
      <c r="B1449" s="45"/>
      <c r="C1449" s="17" t="s">
        <v>16</v>
      </c>
      <c r="D1449" s="18">
        <v>6018.87</v>
      </c>
      <c r="E1449" s="19"/>
      <c r="F1449" s="15">
        <f t="shared" si="25"/>
        <v>10530737.269999992</v>
      </c>
    </row>
    <row r="1450" spans="1:6" x14ac:dyDescent="0.2">
      <c r="A1450" s="3">
        <v>45670</v>
      </c>
      <c r="B1450" s="43">
        <v>31855</v>
      </c>
      <c r="C1450" s="17" t="s">
        <v>9</v>
      </c>
      <c r="D1450" s="18">
        <v>225115.97</v>
      </c>
      <c r="E1450" s="19"/>
      <c r="F1450" s="15">
        <f t="shared" si="25"/>
        <v>10305621.299999991</v>
      </c>
    </row>
    <row r="1451" spans="1:6" x14ac:dyDescent="0.2">
      <c r="A1451" s="3">
        <v>45670</v>
      </c>
      <c r="B1451" s="43">
        <v>4143646</v>
      </c>
      <c r="C1451" s="20" t="s">
        <v>51</v>
      </c>
      <c r="D1451" s="18">
        <v>240000</v>
      </c>
      <c r="E1451" s="19"/>
      <c r="F1451" s="15">
        <f t="shared" si="25"/>
        <v>10065621.299999991</v>
      </c>
    </row>
    <row r="1452" spans="1:6" x14ac:dyDescent="0.2">
      <c r="A1452" s="3">
        <v>45670</v>
      </c>
      <c r="B1452" s="43">
        <v>4143647</v>
      </c>
      <c r="C1452" s="20" t="s">
        <v>242</v>
      </c>
      <c r="D1452" s="18">
        <v>298144</v>
      </c>
      <c r="E1452" s="19"/>
      <c r="F1452" s="15">
        <f t="shared" si="25"/>
        <v>9767477.2999999914</v>
      </c>
    </row>
    <row r="1453" spans="1:6" x14ac:dyDescent="0.2">
      <c r="A1453" s="3">
        <v>45670</v>
      </c>
      <c r="B1453" s="43">
        <v>16392451</v>
      </c>
      <c r="C1453" s="20" t="s">
        <v>243</v>
      </c>
      <c r="D1453" s="18">
        <v>205700</v>
      </c>
      <c r="E1453" s="19"/>
      <c r="F1453" s="15">
        <f t="shared" si="25"/>
        <v>9561777.2999999914</v>
      </c>
    </row>
    <row r="1454" spans="1:6" x14ac:dyDescent="0.2">
      <c r="A1454" s="3">
        <v>45670</v>
      </c>
      <c r="B1454" s="45"/>
      <c r="C1454" s="17" t="s">
        <v>16</v>
      </c>
      <c r="D1454" s="18">
        <v>5813.76</v>
      </c>
      <c r="E1454" s="19"/>
      <c r="F1454" s="15">
        <f t="shared" si="25"/>
        <v>9555963.5399999917</v>
      </c>
    </row>
    <row r="1455" spans="1:6" x14ac:dyDescent="0.2">
      <c r="A1455" s="3">
        <v>45670</v>
      </c>
      <c r="B1455" s="43">
        <v>13051</v>
      </c>
      <c r="C1455" s="20" t="s">
        <v>7</v>
      </c>
      <c r="D1455" s="18">
        <v>720</v>
      </c>
      <c r="E1455" s="19"/>
      <c r="F1455" s="15">
        <f t="shared" si="25"/>
        <v>9555243.5399999917</v>
      </c>
    </row>
    <row r="1456" spans="1:6" x14ac:dyDescent="0.2">
      <c r="A1456" s="3">
        <v>45670</v>
      </c>
      <c r="B1456" s="43">
        <v>13051</v>
      </c>
      <c r="C1456" s="17" t="s">
        <v>227</v>
      </c>
      <c r="D1456" s="18">
        <v>151.19999999999999</v>
      </c>
      <c r="E1456" s="19"/>
      <c r="F1456" s="15">
        <f t="shared" si="25"/>
        <v>9555092.3399999924</v>
      </c>
    </row>
    <row r="1457" spans="1:6" x14ac:dyDescent="0.2">
      <c r="A1457" s="3">
        <v>45670</v>
      </c>
      <c r="B1457" s="43">
        <v>13052</v>
      </c>
      <c r="C1457" s="20" t="s">
        <v>7</v>
      </c>
      <c r="D1457" s="18">
        <v>720</v>
      </c>
      <c r="E1457" s="19"/>
      <c r="F1457" s="15">
        <f t="shared" si="25"/>
        <v>9554372.3399999924</v>
      </c>
    </row>
    <row r="1458" spans="1:6" x14ac:dyDescent="0.2">
      <c r="A1458" s="3">
        <v>45670</v>
      </c>
      <c r="B1458" s="43">
        <v>13052</v>
      </c>
      <c r="C1458" s="17" t="s">
        <v>227</v>
      </c>
      <c r="D1458" s="18">
        <v>151.19999999999999</v>
      </c>
      <c r="E1458" s="19"/>
      <c r="F1458" s="15">
        <f t="shared" si="25"/>
        <v>9554221.1399999931</v>
      </c>
    </row>
    <row r="1459" spans="1:6" x14ac:dyDescent="0.2">
      <c r="A1459" s="3">
        <v>45671</v>
      </c>
      <c r="B1459" s="43">
        <v>31967</v>
      </c>
      <c r="C1459" s="17" t="s">
        <v>9</v>
      </c>
      <c r="D1459" s="18">
        <v>359703.49</v>
      </c>
      <c r="E1459" s="19"/>
      <c r="F1459" s="15">
        <f t="shared" si="25"/>
        <v>9194517.6499999929</v>
      </c>
    </row>
    <row r="1460" spans="1:6" x14ac:dyDescent="0.2">
      <c r="A1460" s="3">
        <v>45671</v>
      </c>
      <c r="B1460" s="43">
        <v>852274</v>
      </c>
      <c r="C1460" s="20" t="s">
        <v>244</v>
      </c>
      <c r="D1460" s="19"/>
      <c r="E1460" s="18">
        <v>56232</v>
      </c>
      <c r="F1460" s="15">
        <f t="shared" si="25"/>
        <v>9250749.6499999929</v>
      </c>
    </row>
    <row r="1461" spans="1:6" x14ac:dyDescent="0.2">
      <c r="A1461" s="3">
        <v>45671</v>
      </c>
      <c r="B1461" s="43">
        <v>32033</v>
      </c>
      <c r="C1461" s="20" t="s">
        <v>97</v>
      </c>
      <c r="D1461" s="18">
        <v>42000</v>
      </c>
      <c r="E1461" s="19"/>
      <c r="F1461" s="15">
        <f t="shared" si="25"/>
        <v>9208749.6499999929</v>
      </c>
    </row>
    <row r="1462" spans="1:6" x14ac:dyDescent="0.2">
      <c r="A1462" s="3">
        <v>45671</v>
      </c>
      <c r="B1462" s="46">
        <v>7705933</v>
      </c>
      <c r="C1462" s="9" t="s">
        <v>245</v>
      </c>
      <c r="D1462" s="62"/>
      <c r="E1462" s="63">
        <v>150296.29</v>
      </c>
      <c r="F1462" s="15">
        <f t="shared" si="25"/>
        <v>9359045.939999992</v>
      </c>
    </row>
    <row r="1463" spans="1:6" x14ac:dyDescent="0.2">
      <c r="A1463" s="3">
        <v>45671</v>
      </c>
      <c r="B1463" s="44">
        <v>12642</v>
      </c>
      <c r="C1463" s="28" t="s">
        <v>21</v>
      </c>
      <c r="D1463" s="30"/>
      <c r="E1463" s="31">
        <v>111779.4</v>
      </c>
      <c r="F1463" s="15">
        <f t="shared" si="25"/>
        <v>9470825.3399999924</v>
      </c>
    </row>
    <row r="1464" spans="1:6" x14ac:dyDescent="0.2">
      <c r="A1464" s="3">
        <v>45671</v>
      </c>
      <c r="B1464" s="45"/>
      <c r="C1464" s="17" t="s">
        <v>34</v>
      </c>
      <c r="D1464" s="18">
        <v>504</v>
      </c>
      <c r="E1464" s="19"/>
      <c r="F1464" s="15">
        <f t="shared" si="25"/>
        <v>9470321.3399999924</v>
      </c>
    </row>
    <row r="1465" spans="1:6" x14ac:dyDescent="0.2">
      <c r="A1465" s="3">
        <v>45671</v>
      </c>
      <c r="B1465" s="45"/>
      <c r="C1465" s="17" t="s">
        <v>16</v>
      </c>
      <c r="D1465" s="18">
        <v>2168.6799999999998</v>
      </c>
      <c r="E1465" s="19"/>
      <c r="F1465" s="15">
        <f t="shared" si="25"/>
        <v>9468152.6599999927</v>
      </c>
    </row>
    <row r="1466" spans="1:6" x14ac:dyDescent="0.2">
      <c r="A1466" s="3">
        <v>45671</v>
      </c>
      <c r="B1466" s="45"/>
      <c r="C1466" s="17" t="s">
        <v>22</v>
      </c>
      <c r="D1466" s="18">
        <v>1909.85</v>
      </c>
      <c r="E1466" s="19"/>
      <c r="F1466" s="15">
        <f t="shared" si="25"/>
        <v>9466242.8099999931</v>
      </c>
    </row>
    <row r="1467" spans="1:6" x14ac:dyDescent="0.2">
      <c r="A1467" s="3">
        <v>45671</v>
      </c>
      <c r="B1467" s="45"/>
      <c r="C1467" s="20" t="s">
        <v>246</v>
      </c>
      <c r="D1467" s="18">
        <v>318.31</v>
      </c>
      <c r="E1467" s="19"/>
      <c r="F1467" s="15">
        <f t="shared" si="25"/>
        <v>9465924.4999999925</v>
      </c>
    </row>
    <row r="1468" spans="1:6" x14ac:dyDescent="0.2">
      <c r="A1468" s="3">
        <v>45672</v>
      </c>
      <c r="B1468" s="45"/>
      <c r="C1468" s="20" t="s">
        <v>247</v>
      </c>
      <c r="D1468" s="18">
        <v>1100</v>
      </c>
      <c r="E1468" s="19"/>
      <c r="F1468" s="15">
        <f t="shared" si="25"/>
        <v>9464824.4999999925</v>
      </c>
    </row>
    <row r="1469" spans="1:6" x14ac:dyDescent="0.2">
      <c r="A1469" s="3">
        <v>45672</v>
      </c>
      <c r="B1469" s="45"/>
      <c r="C1469" s="17" t="s">
        <v>227</v>
      </c>
      <c r="D1469" s="18">
        <v>231</v>
      </c>
      <c r="E1469" s="19"/>
      <c r="F1469" s="15">
        <f t="shared" si="25"/>
        <v>9464593.4999999925</v>
      </c>
    </row>
    <row r="1470" spans="1:6" x14ac:dyDescent="0.2">
      <c r="A1470" s="3">
        <v>45672</v>
      </c>
      <c r="B1470" s="43">
        <v>858424</v>
      </c>
      <c r="C1470" s="20" t="s">
        <v>248</v>
      </c>
      <c r="D1470" s="19"/>
      <c r="E1470" s="18">
        <v>6200</v>
      </c>
      <c r="F1470" s="15">
        <f t="shared" si="25"/>
        <v>9470793.4999999925</v>
      </c>
    </row>
    <row r="1471" spans="1:6" x14ac:dyDescent="0.2">
      <c r="A1471" s="3">
        <v>45672</v>
      </c>
      <c r="B1471" s="43">
        <v>438193</v>
      </c>
      <c r="C1471" s="20" t="s">
        <v>249</v>
      </c>
      <c r="D1471" s="19"/>
      <c r="E1471" s="18">
        <v>31279.5</v>
      </c>
      <c r="F1471" s="15">
        <f t="shared" si="25"/>
        <v>9502072.9999999925</v>
      </c>
    </row>
    <row r="1472" spans="1:6" x14ac:dyDescent="0.2">
      <c r="A1472" s="3">
        <v>45672</v>
      </c>
      <c r="B1472" s="43">
        <v>10695316</v>
      </c>
      <c r="C1472" s="20" t="s">
        <v>250</v>
      </c>
      <c r="D1472" s="19"/>
      <c r="E1472" s="18">
        <v>17000</v>
      </c>
      <c r="F1472" s="15">
        <f t="shared" si="25"/>
        <v>9519072.9999999925</v>
      </c>
    </row>
    <row r="1473" spans="1:6" x14ac:dyDescent="0.2">
      <c r="A1473" s="3">
        <v>45672</v>
      </c>
      <c r="B1473" s="43">
        <v>16197584</v>
      </c>
      <c r="C1473" s="20" t="s">
        <v>236</v>
      </c>
      <c r="D1473" s="18">
        <v>2500000</v>
      </c>
      <c r="E1473" s="19"/>
      <c r="F1473" s="15">
        <f t="shared" si="25"/>
        <v>7019072.9999999925</v>
      </c>
    </row>
    <row r="1474" spans="1:6" x14ac:dyDescent="0.2">
      <c r="A1474" s="3">
        <v>45672</v>
      </c>
      <c r="B1474" s="43">
        <v>90729116</v>
      </c>
      <c r="C1474" s="20" t="s">
        <v>44</v>
      </c>
      <c r="D1474" s="18">
        <v>950000</v>
      </c>
      <c r="E1474" s="19"/>
      <c r="F1474" s="15">
        <f t="shared" si="25"/>
        <v>6069072.9999999925</v>
      </c>
    </row>
    <row r="1475" spans="1:6" x14ac:dyDescent="0.2">
      <c r="A1475" s="3">
        <v>45672</v>
      </c>
      <c r="B1475" s="43">
        <v>31969</v>
      </c>
      <c r="C1475" s="17" t="s">
        <v>12</v>
      </c>
      <c r="D1475" s="18">
        <v>187500</v>
      </c>
      <c r="E1475" s="19"/>
      <c r="F1475" s="15">
        <f t="shared" si="25"/>
        <v>5881572.9999999925</v>
      </c>
    </row>
    <row r="1476" spans="1:6" x14ac:dyDescent="0.2">
      <c r="A1476" s="3">
        <v>45672</v>
      </c>
      <c r="B1476" s="45"/>
      <c r="C1476" s="17" t="s">
        <v>22</v>
      </c>
      <c r="D1476" s="18">
        <v>326.88</v>
      </c>
      <c r="E1476" s="19"/>
      <c r="F1476" s="15">
        <f t="shared" si="25"/>
        <v>5881246.1199999927</v>
      </c>
    </row>
    <row r="1477" spans="1:6" x14ac:dyDescent="0.2">
      <c r="A1477" s="3">
        <v>45672</v>
      </c>
      <c r="B1477" s="45"/>
      <c r="C1477" s="17" t="s">
        <v>16</v>
      </c>
      <c r="D1477" s="18">
        <v>21834.9</v>
      </c>
      <c r="E1477" s="19"/>
      <c r="F1477" s="15">
        <f t="shared" si="25"/>
        <v>5859411.2199999923</v>
      </c>
    </row>
    <row r="1478" spans="1:6" x14ac:dyDescent="0.2">
      <c r="A1478" s="3">
        <v>45672</v>
      </c>
      <c r="B1478" s="45"/>
      <c r="C1478" s="20" t="s">
        <v>251</v>
      </c>
      <c r="D1478" s="18">
        <v>54.48</v>
      </c>
      <c r="E1478" s="19"/>
      <c r="F1478" s="15">
        <f t="shared" si="25"/>
        <v>5859356.7399999918</v>
      </c>
    </row>
    <row r="1479" spans="1:6" x14ac:dyDescent="0.2">
      <c r="A1479" s="3">
        <v>45673</v>
      </c>
      <c r="B1479" s="43">
        <v>93740</v>
      </c>
      <c r="C1479" s="20" t="s">
        <v>46</v>
      </c>
      <c r="D1479" s="18">
        <v>48384.92</v>
      </c>
      <c r="E1479" s="19"/>
      <c r="F1479" s="15">
        <f t="shared" si="25"/>
        <v>5810971.8199999919</v>
      </c>
    </row>
    <row r="1480" spans="1:6" x14ac:dyDescent="0.2">
      <c r="A1480" s="3">
        <v>45673</v>
      </c>
      <c r="B1480" s="43">
        <v>93741</v>
      </c>
      <c r="C1480" s="20" t="s">
        <v>46</v>
      </c>
      <c r="D1480" s="18">
        <v>586661.63</v>
      </c>
      <c r="E1480" s="19"/>
      <c r="F1480" s="15">
        <f t="shared" si="25"/>
        <v>5224310.189999992</v>
      </c>
    </row>
    <row r="1481" spans="1:6" x14ac:dyDescent="0.2">
      <c r="A1481" s="3">
        <v>45673</v>
      </c>
      <c r="B1481" s="43">
        <v>142274</v>
      </c>
      <c r="C1481" s="20" t="s">
        <v>46</v>
      </c>
      <c r="D1481" s="18">
        <v>267992.7</v>
      </c>
      <c r="E1481" s="19"/>
      <c r="F1481" s="15">
        <f t="shared" si="25"/>
        <v>4956317.4899999918</v>
      </c>
    </row>
    <row r="1482" spans="1:6" x14ac:dyDescent="0.2">
      <c r="A1482" s="3">
        <v>45673</v>
      </c>
      <c r="B1482" s="43">
        <v>227434</v>
      </c>
      <c r="C1482" s="20" t="s">
        <v>46</v>
      </c>
      <c r="D1482" s="18">
        <v>3850125.79</v>
      </c>
      <c r="E1482" s="19"/>
      <c r="F1482" s="15">
        <f t="shared" si="25"/>
        <v>1106191.6999999918</v>
      </c>
    </row>
    <row r="1483" spans="1:6" x14ac:dyDescent="0.2">
      <c r="A1483" s="3">
        <v>45673</v>
      </c>
      <c r="B1483" s="43">
        <v>291249</v>
      </c>
      <c r="C1483" s="20" t="s">
        <v>46</v>
      </c>
      <c r="D1483" s="18">
        <v>456340.62</v>
      </c>
      <c r="E1483" s="19"/>
      <c r="F1483" s="15">
        <f t="shared" si="25"/>
        <v>649851.07999999181</v>
      </c>
    </row>
    <row r="1484" spans="1:6" x14ac:dyDescent="0.2">
      <c r="A1484" s="3">
        <v>45673</v>
      </c>
      <c r="B1484" s="43">
        <v>862606</v>
      </c>
      <c r="C1484" s="20" t="s">
        <v>217</v>
      </c>
      <c r="D1484" s="25"/>
      <c r="E1484" s="25">
        <v>40000000</v>
      </c>
      <c r="F1484" s="15">
        <f t="shared" si="25"/>
        <v>40649851.079999991</v>
      </c>
    </row>
    <row r="1485" spans="1:6" x14ac:dyDescent="0.2">
      <c r="A1485" s="3">
        <v>45673</v>
      </c>
      <c r="B1485" s="43">
        <v>4034246</v>
      </c>
      <c r="C1485" s="20" t="s">
        <v>252</v>
      </c>
      <c r="D1485" s="18">
        <v>300000</v>
      </c>
      <c r="E1485" s="19"/>
      <c r="F1485" s="15">
        <f t="shared" si="25"/>
        <v>40349851.079999991</v>
      </c>
    </row>
    <row r="1486" spans="1:6" x14ac:dyDescent="0.2">
      <c r="A1486" s="3">
        <v>45673</v>
      </c>
      <c r="B1486" s="46">
        <v>65243</v>
      </c>
      <c r="C1486" s="9" t="s">
        <v>11</v>
      </c>
      <c r="D1486" s="48">
        <v>2309259</v>
      </c>
      <c r="E1486" s="49"/>
      <c r="F1486" s="15">
        <f t="shared" si="25"/>
        <v>38040592.079999991</v>
      </c>
    </row>
    <row r="1487" spans="1:6" x14ac:dyDescent="0.2">
      <c r="A1487" s="3">
        <v>45673</v>
      </c>
      <c r="B1487" s="44">
        <v>14106760</v>
      </c>
      <c r="C1487" s="28" t="s">
        <v>235</v>
      </c>
      <c r="D1487" s="23">
        <v>2000000</v>
      </c>
      <c r="E1487" s="24"/>
      <c r="F1487" s="15">
        <f t="shared" si="25"/>
        <v>36040592.079999991</v>
      </c>
    </row>
    <row r="1488" spans="1:6" x14ac:dyDescent="0.2">
      <c r="A1488" s="3">
        <v>45673</v>
      </c>
      <c r="B1488" s="43">
        <v>8028969</v>
      </c>
      <c r="C1488" s="20" t="s">
        <v>253</v>
      </c>
      <c r="D1488" s="19"/>
      <c r="E1488" s="18">
        <v>247242.84</v>
      </c>
      <c r="F1488" s="15">
        <f t="shared" si="25"/>
        <v>36287834.919999994</v>
      </c>
    </row>
    <row r="1489" spans="1:6" x14ac:dyDescent="0.2">
      <c r="A1489" s="3">
        <v>45673</v>
      </c>
      <c r="B1489" s="43">
        <v>3161578</v>
      </c>
      <c r="C1489" s="20" t="s">
        <v>254</v>
      </c>
      <c r="D1489" s="19"/>
      <c r="E1489" s="18">
        <v>33363.01</v>
      </c>
      <c r="F1489" s="15">
        <f t="shared" si="25"/>
        <v>36321197.929999992</v>
      </c>
    </row>
    <row r="1490" spans="1:6" x14ac:dyDescent="0.2">
      <c r="A1490" s="3">
        <v>45673</v>
      </c>
      <c r="B1490" s="43">
        <v>227435</v>
      </c>
      <c r="C1490" s="20" t="s">
        <v>46</v>
      </c>
      <c r="D1490" s="18">
        <v>2680479.87</v>
      </c>
      <c r="E1490" s="19"/>
      <c r="F1490" s="15">
        <f t="shared" si="25"/>
        <v>33640718.059999995</v>
      </c>
    </row>
    <row r="1491" spans="1:6" x14ac:dyDescent="0.2">
      <c r="A1491" s="3">
        <v>45673</v>
      </c>
      <c r="B1491" s="43">
        <v>227436</v>
      </c>
      <c r="C1491" s="20" t="s">
        <v>46</v>
      </c>
      <c r="D1491" s="18">
        <v>2701040.94</v>
      </c>
      <c r="E1491" s="19"/>
      <c r="F1491" s="15">
        <f t="shared" si="25"/>
        <v>30939677.119999994</v>
      </c>
    </row>
    <row r="1492" spans="1:6" x14ac:dyDescent="0.2">
      <c r="A1492" s="3">
        <v>45673</v>
      </c>
      <c r="B1492" s="43">
        <v>227437</v>
      </c>
      <c r="C1492" s="20" t="s">
        <v>46</v>
      </c>
      <c r="D1492" s="18">
        <v>2771406.99</v>
      </c>
      <c r="E1492" s="19"/>
      <c r="F1492" s="15">
        <f t="shared" si="25"/>
        <v>28168270.129999995</v>
      </c>
    </row>
    <row r="1493" spans="1:6" x14ac:dyDescent="0.2">
      <c r="A1493" s="3">
        <v>45673</v>
      </c>
      <c r="B1493" s="43">
        <v>227438</v>
      </c>
      <c r="C1493" s="20" t="s">
        <v>46</v>
      </c>
      <c r="D1493" s="18">
        <v>2971286.58</v>
      </c>
      <c r="E1493" s="19"/>
      <c r="F1493" s="15">
        <f t="shared" si="25"/>
        <v>25196983.549999997</v>
      </c>
    </row>
    <row r="1494" spans="1:6" x14ac:dyDescent="0.2">
      <c r="A1494" s="3">
        <v>45673</v>
      </c>
      <c r="B1494" s="43">
        <v>91544533</v>
      </c>
      <c r="C1494" s="20" t="s">
        <v>44</v>
      </c>
      <c r="D1494" s="18">
        <v>350000</v>
      </c>
      <c r="E1494" s="19"/>
      <c r="F1494" s="15">
        <f t="shared" si="25"/>
        <v>24846983.549999997</v>
      </c>
    </row>
    <row r="1495" spans="1:6" x14ac:dyDescent="0.2">
      <c r="A1495" s="3">
        <v>45673</v>
      </c>
      <c r="B1495" s="45"/>
      <c r="C1495" s="17" t="s">
        <v>13</v>
      </c>
      <c r="D1495" s="18">
        <v>22214022</v>
      </c>
      <c r="E1495" s="19"/>
      <c r="F1495" s="15">
        <f t="shared" si="25"/>
        <v>2632961.549999997</v>
      </c>
    </row>
    <row r="1496" spans="1:6" x14ac:dyDescent="0.2">
      <c r="A1496" s="3">
        <v>45673</v>
      </c>
      <c r="B1496" s="45"/>
      <c r="C1496" s="17" t="s">
        <v>232</v>
      </c>
      <c r="D1496" s="18">
        <v>169.75</v>
      </c>
      <c r="E1496" s="19"/>
      <c r="F1496" s="15">
        <f t="shared" si="25"/>
        <v>2632791.799999997</v>
      </c>
    </row>
    <row r="1497" spans="1:6" x14ac:dyDescent="0.2">
      <c r="A1497" s="3">
        <v>45673</v>
      </c>
      <c r="B1497" s="45"/>
      <c r="C1497" s="17" t="s">
        <v>14</v>
      </c>
      <c r="D1497" s="18">
        <v>808.23</v>
      </c>
      <c r="E1497" s="19"/>
      <c r="F1497" s="15">
        <f t="shared" si="25"/>
        <v>2631983.569999997</v>
      </c>
    </row>
    <row r="1498" spans="1:6" x14ac:dyDescent="0.2">
      <c r="A1498" s="3">
        <v>45673</v>
      </c>
      <c r="B1498" s="45"/>
      <c r="C1498" s="17" t="s">
        <v>22</v>
      </c>
      <c r="D1498" s="18">
        <v>1683.64</v>
      </c>
      <c r="E1498" s="19"/>
      <c r="F1498" s="15">
        <f t="shared" si="25"/>
        <v>2630299.9299999969</v>
      </c>
    </row>
    <row r="1499" spans="1:6" x14ac:dyDescent="0.2">
      <c r="A1499" s="3">
        <v>45673</v>
      </c>
      <c r="B1499" s="45"/>
      <c r="C1499" s="17" t="s">
        <v>16</v>
      </c>
      <c r="D1499" s="18">
        <v>261048.2</v>
      </c>
      <c r="E1499" s="19"/>
      <c r="F1499" s="15">
        <f t="shared" si="25"/>
        <v>2369251.7299999967</v>
      </c>
    </row>
    <row r="1500" spans="1:6" x14ac:dyDescent="0.2">
      <c r="A1500" s="3">
        <v>45673</v>
      </c>
      <c r="B1500" s="43">
        <v>12503</v>
      </c>
      <c r="C1500" s="20" t="s">
        <v>7</v>
      </c>
      <c r="D1500" s="18">
        <v>720</v>
      </c>
      <c r="E1500" s="19"/>
      <c r="F1500" s="15">
        <f t="shared" si="25"/>
        <v>2368531.7299999967</v>
      </c>
    </row>
    <row r="1501" spans="1:6" x14ac:dyDescent="0.2">
      <c r="A1501" s="3">
        <v>45673</v>
      </c>
      <c r="B1501" s="43">
        <v>12503</v>
      </c>
      <c r="C1501" s="17" t="s">
        <v>227</v>
      </c>
      <c r="D1501" s="18">
        <v>151.19999999999999</v>
      </c>
      <c r="E1501" s="19"/>
      <c r="F1501" s="15">
        <f t="shared" si="25"/>
        <v>2368380.5299999965</v>
      </c>
    </row>
    <row r="1502" spans="1:6" x14ac:dyDescent="0.2">
      <c r="A1502" s="3">
        <v>45673</v>
      </c>
      <c r="B1502" s="45"/>
      <c r="C1502" s="20" t="s">
        <v>255</v>
      </c>
      <c r="D1502" s="18">
        <v>280.60000000000002</v>
      </c>
      <c r="E1502" s="19"/>
      <c r="F1502" s="15">
        <f t="shared" si="25"/>
        <v>2368099.9299999964</v>
      </c>
    </row>
    <row r="1503" spans="1:6" x14ac:dyDescent="0.2">
      <c r="A1503" s="3">
        <v>45674</v>
      </c>
      <c r="B1503" s="43">
        <v>8228100</v>
      </c>
      <c r="C1503" s="20" t="s">
        <v>256</v>
      </c>
      <c r="D1503" s="19"/>
      <c r="E1503" s="18">
        <v>60012</v>
      </c>
      <c r="F1503" s="15">
        <f t="shared" si="25"/>
        <v>2428111.9299999964</v>
      </c>
    </row>
    <row r="1504" spans="1:6" x14ac:dyDescent="0.2">
      <c r="A1504" s="3">
        <v>45674</v>
      </c>
      <c r="B1504" s="43">
        <v>92205916</v>
      </c>
      <c r="C1504" s="20" t="s">
        <v>44</v>
      </c>
      <c r="D1504" s="18">
        <v>300000</v>
      </c>
      <c r="E1504" s="19"/>
      <c r="F1504" s="15">
        <f t="shared" si="25"/>
        <v>2128111.9299999964</v>
      </c>
    </row>
    <row r="1505" spans="1:6" x14ac:dyDescent="0.2">
      <c r="A1505" s="3">
        <v>45674</v>
      </c>
      <c r="B1505" s="43">
        <v>92234728</v>
      </c>
      <c r="C1505" s="20" t="s">
        <v>44</v>
      </c>
      <c r="D1505" s="18">
        <v>100000</v>
      </c>
      <c r="E1505" s="19"/>
      <c r="F1505" s="15">
        <f t="shared" si="25"/>
        <v>2028111.9299999964</v>
      </c>
    </row>
    <row r="1506" spans="1:6" x14ac:dyDescent="0.2">
      <c r="A1506" s="3">
        <v>45674</v>
      </c>
      <c r="B1506" s="45"/>
      <c r="C1506" s="17" t="s">
        <v>22</v>
      </c>
      <c r="D1506" s="18">
        <v>360.07</v>
      </c>
      <c r="E1506" s="19"/>
      <c r="F1506" s="15">
        <f t="shared" si="25"/>
        <v>2027751.8599999964</v>
      </c>
    </row>
    <row r="1507" spans="1:6" x14ac:dyDescent="0.2">
      <c r="A1507" s="3">
        <v>45674</v>
      </c>
      <c r="B1507" s="45"/>
      <c r="C1507" s="17" t="s">
        <v>16</v>
      </c>
      <c r="D1507" s="18">
        <v>2406.91</v>
      </c>
      <c r="E1507" s="19"/>
      <c r="F1507" s="15">
        <f t="shared" si="25"/>
        <v>2025344.9499999965</v>
      </c>
    </row>
    <row r="1508" spans="1:6" x14ac:dyDescent="0.2">
      <c r="A1508" s="3">
        <v>45674</v>
      </c>
      <c r="B1508" s="45"/>
      <c r="C1508" s="20" t="s">
        <v>257</v>
      </c>
      <c r="D1508" s="18">
        <v>60.01</v>
      </c>
      <c r="E1508" s="19"/>
      <c r="F1508" s="15">
        <f t="shared" ref="F1508:F1571" si="26">+F1507+E1508-D1508</f>
        <v>2025284.9399999965</v>
      </c>
    </row>
    <row r="1509" spans="1:6" x14ac:dyDescent="0.2">
      <c r="A1509" s="3">
        <v>45675</v>
      </c>
      <c r="B1509" s="43">
        <v>56561</v>
      </c>
      <c r="C1509" s="20" t="s">
        <v>258</v>
      </c>
      <c r="D1509" s="19"/>
      <c r="E1509" s="18">
        <v>15000</v>
      </c>
      <c r="F1509" s="15">
        <f t="shared" si="26"/>
        <v>2040284.9399999965</v>
      </c>
    </row>
    <row r="1510" spans="1:6" x14ac:dyDescent="0.2">
      <c r="A1510" s="3">
        <v>45677</v>
      </c>
      <c r="B1510" s="43">
        <v>4206015</v>
      </c>
      <c r="C1510" s="20" t="s">
        <v>220</v>
      </c>
      <c r="D1510" s="18">
        <v>484000</v>
      </c>
      <c r="E1510" s="19"/>
      <c r="F1510" s="15">
        <f t="shared" si="26"/>
        <v>1556284.9399999965</v>
      </c>
    </row>
    <row r="1511" spans="1:6" x14ac:dyDescent="0.2">
      <c r="A1511" s="3">
        <v>45677</v>
      </c>
      <c r="B1511" s="46">
        <v>4206016</v>
      </c>
      <c r="C1511" s="9" t="s">
        <v>259</v>
      </c>
      <c r="D1511" s="48">
        <v>120366.15</v>
      </c>
      <c r="E1511" s="49"/>
      <c r="F1511" s="15">
        <f t="shared" si="26"/>
        <v>1435918.7899999965</v>
      </c>
    </row>
    <row r="1512" spans="1:6" x14ac:dyDescent="0.2">
      <c r="A1512" s="3">
        <v>45677</v>
      </c>
      <c r="B1512" s="44">
        <v>4206017</v>
      </c>
      <c r="C1512" s="28" t="s">
        <v>260</v>
      </c>
      <c r="D1512" s="23">
        <v>350233.9</v>
      </c>
      <c r="E1512" s="24"/>
      <c r="F1512" s="15">
        <f t="shared" si="26"/>
        <v>1085684.8899999964</v>
      </c>
    </row>
    <row r="1513" spans="1:6" x14ac:dyDescent="0.2">
      <c r="A1513" s="3">
        <v>45677</v>
      </c>
      <c r="B1513" s="43">
        <v>74422530</v>
      </c>
      <c r="C1513" s="20" t="s">
        <v>64</v>
      </c>
      <c r="D1513" s="18">
        <v>187824.13</v>
      </c>
      <c r="E1513" s="19"/>
      <c r="F1513" s="15">
        <f t="shared" si="26"/>
        <v>897860.7599999964</v>
      </c>
    </row>
    <row r="1514" spans="1:6" x14ac:dyDescent="0.2">
      <c r="A1514" s="3">
        <v>45677</v>
      </c>
      <c r="B1514" s="43">
        <v>75635504</v>
      </c>
      <c r="C1514" s="20" t="s">
        <v>53</v>
      </c>
      <c r="D1514" s="18">
        <v>26628.59</v>
      </c>
      <c r="E1514" s="19"/>
      <c r="F1514" s="15">
        <f t="shared" si="26"/>
        <v>871232.16999999643</v>
      </c>
    </row>
    <row r="1515" spans="1:6" x14ac:dyDescent="0.2">
      <c r="A1515" s="3">
        <v>45677</v>
      </c>
      <c r="B1515" s="43">
        <v>77168571</v>
      </c>
      <c r="C1515" s="20" t="s">
        <v>65</v>
      </c>
      <c r="D1515" s="18">
        <v>161896.26</v>
      </c>
      <c r="E1515" s="19"/>
      <c r="F1515" s="15">
        <f t="shared" si="26"/>
        <v>709335.90999999642</v>
      </c>
    </row>
    <row r="1516" spans="1:6" x14ac:dyDescent="0.2">
      <c r="A1516" s="3">
        <v>45677</v>
      </c>
      <c r="B1516" s="43">
        <v>78628273</v>
      </c>
      <c r="C1516" s="20" t="s">
        <v>66</v>
      </c>
      <c r="D1516" s="18">
        <v>558078.39</v>
      </c>
      <c r="E1516" s="19"/>
      <c r="F1516" s="15">
        <f t="shared" si="26"/>
        <v>151257.51999999641</v>
      </c>
    </row>
    <row r="1517" spans="1:6" x14ac:dyDescent="0.2">
      <c r="A1517" s="3">
        <v>45677</v>
      </c>
      <c r="B1517" s="43">
        <v>79860900</v>
      </c>
      <c r="C1517" s="20" t="s">
        <v>62</v>
      </c>
      <c r="D1517" s="18">
        <v>1163.8800000000001</v>
      </c>
      <c r="E1517" s="19"/>
      <c r="F1517" s="15">
        <f t="shared" si="26"/>
        <v>150093.63999999641</v>
      </c>
    </row>
    <row r="1518" spans="1:6" x14ac:dyDescent="0.2">
      <c r="A1518" s="3">
        <v>45677</v>
      </c>
      <c r="B1518" s="43">
        <v>81351433</v>
      </c>
      <c r="C1518" s="20" t="s">
        <v>54</v>
      </c>
      <c r="D1518" s="18">
        <v>71042.75</v>
      </c>
      <c r="E1518" s="19"/>
      <c r="F1518" s="15">
        <f t="shared" si="26"/>
        <v>79050.889999996405</v>
      </c>
    </row>
    <row r="1519" spans="1:6" x14ac:dyDescent="0.2">
      <c r="A1519" s="3">
        <v>45677</v>
      </c>
      <c r="B1519" s="43">
        <v>83293010</v>
      </c>
      <c r="C1519" s="20" t="s">
        <v>261</v>
      </c>
      <c r="D1519" s="18">
        <v>31015.96</v>
      </c>
      <c r="E1519" s="19"/>
      <c r="F1519" s="15">
        <f t="shared" si="26"/>
        <v>48034.929999996406</v>
      </c>
    </row>
    <row r="1520" spans="1:6" x14ac:dyDescent="0.2">
      <c r="A1520" s="3">
        <v>45677</v>
      </c>
      <c r="B1520" s="43">
        <v>84602976</v>
      </c>
      <c r="C1520" s="20" t="s">
        <v>262</v>
      </c>
      <c r="D1520" s="18">
        <v>12580</v>
      </c>
      <c r="E1520" s="19"/>
      <c r="F1520" s="15">
        <f t="shared" si="26"/>
        <v>35454.929999996406</v>
      </c>
    </row>
    <row r="1521" spans="1:6" x14ac:dyDescent="0.2">
      <c r="A1521" s="3">
        <v>45677</v>
      </c>
      <c r="B1521" s="43">
        <v>5790320</v>
      </c>
      <c r="C1521" s="20" t="s">
        <v>263</v>
      </c>
      <c r="D1521" s="18">
        <v>14699.42</v>
      </c>
      <c r="E1521" s="19"/>
      <c r="F1521" s="15">
        <f t="shared" si="26"/>
        <v>20755.509999996408</v>
      </c>
    </row>
    <row r="1522" spans="1:6" x14ac:dyDescent="0.2">
      <c r="A1522" s="3">
        <v>45677</v>
      </c>
      <c r="B1522" s="43">
        <v>881264</v>
      </c>
      <c r="C1522" s="20" t="s">
        <v>217</v>
      </c>
      <c r="D1522" s="25"/>
      <c r="E1522" s="25">
        <v>100000000</v>
      </c>
      <c r="F1522" s="15">
        <f t="shared" si="26"/>
        <v>100020755.50999999</v>
      </c>
    </row>
    <row r="1523" spans="1:6" x14ac:dyDescent="0.2">
      <c r="A1523" s="3">
        <v>45677</v>
      </c>
      <c r="B1523" s="43">
        <v>74501880</v>
      </c>
      <c r="C1523" s="20" t="s">
        <v>55</v>
      </c>
      <c r="D1523" s="18">
        <v>95614.12</v>
      </c>
      <c r="E1523" s="19"/>
      <c r="F1523" s="15">
        <f t="shared" si="26"/>
        <v>99925141.389999986</v>
      </c>
    </row>
    <row r="1524" spans="1:6" x14ac:dyDescent="0.2">
      <c r="A1524" s="3">
        <v>45677</v>
      </c>
      <c r="B1524" s="43">
        <v>76345393</v>
      </c>
      <c r="C1524" s="20" t="s">
        <v>56</v>
      </c>
      <c r="D1524" s="18">
        <v>116149.36</v>
      </c>
      <c r="E1524" s="19"/>
      <c r="F1524" s="15">
        <f t="shared" si="26"/>
        <v>99808992.029999986</v>
      </c>
    </row>
    <row r="1525" spans="1:6" x14ac:dyDescent="0.2">
      <c r="A1525" s="3">
        <v>45677</v>
      </c>
      <c r="B1525" s="43">
        <v>77961470</v>
      </c>
      <c r="C1525" s="20" t="s">
        <v>57</v>
      </c>
      <c r="D1525" s="18">
        <v>135674.51</v>
      </c>
      <c r="E1525" s="19"/>
      <c r="F1525" s="15">
        <f t="shared" si="26"/>
        <v>99673317.519999981</v>
      </c>
    </row>
    <row r="1526" spans="1:6" x14ac:dyDescent="0.2">
      <c r="A1526" s="3">
        <v>45677</v>
      </c>
      <c r="B1526" s="43">
        <v>79755657</v>
      </c>
      <c r="C1526" s="20" t="s">
        <v>63</v>
      </c>
      <c r="D1526" s="18">
        <v>20772.169999999998</v>
      </c>
      <c r="E1526" s="19"/>
      <c r="F1526" s="15">
        <f t="shared" si="26"/>
        <v>99652545.349999979</v>
      </c>
    </row>
    <row r="1527" spans="1:6" x14ac:dyDescent="0.2">
      <c r="A1527" s="3">
        <v>45677</v>
      </c>
      <c r="B1527" s="43">
        <v>81781742</v>
      </c>
      <c r="C1527" s="20" t="s">
        <v>117</v>
      </c>
      <c r="D1527" s="18">
        <v>186215.18</v>
      </c>
      <c r="E1527" s="19"/>
      <c r="F1527" s="15">
        <f t="shared" si="26"/>
        <v>99466330.169999972</v>
      </c>
    </row>
    <row r="1528" spans="1:6" x14ac:dyDescent="0.2">
      <c r="A1528" s="3">
        <v>45677</v>
      </c>
      <c r="B1528" s="43">
        <v>83374443</v>
      </c>
      <c r="C1528" s="20" t="s">
        <v>67</v>
      </c>
      <c r="D1528" s="18">
        <v>22586.89</v>
      </c>
      <c r="E1528" s="19"/>
      <c r="F1528" s="15">
        <f t="shared" si="26"/>
        <v>99443743.279999971</v>
      </c>
    </row>
    <row r="1529" spans="1:6" x14ac:dyDescent="0.2">
      <c r="A1529" s="3">
        <v>45677</v>
      </c>
      <c r="B1529" s="43">
        <v>84565125</v>
      </c>
      <c r="C1529" s="20" t="s">
        <v>100</v>
      </c>
      <c r="D1529" s="18">
        <v>286981.71999999997</v>
      </c>
      <c r="E1529" s="19"/>
      <c r="F1529" s="15">
        <f t="shared" si="26"/>
        <v>99156761.559999973</v>
      </c>
    </row>
    <row r="1530" spans="1:6" x14ac:dyDescent="0.2">
      <c r="A1530" s="3">
        <v>45677</v>
      </c>
      <c r="B1530" s="43">
        <v>86451179</v>
      </c>
      <c r="C1530" s="20" t="s">
        <v>101</v>
      </c>
      <c r="D1530" s="18">
        <v>392632.82</v>
      </c>
      <c r="E1530" s="19"/>
      <c r="F1530" s="15">
        <f t="shared" si="26"/>
        <v>98764128.73999998</v>
      </c>
    </row>
    <row r="1531" spans="1:6" x14ac:dyDescent="0.2">
      <c r="A1531" s="3">
        <v>45677</v>
      </c>
      <c r="B1531" s="43">
        <v>99660216</v>
      </c>
      <c r="C1531" s="20" t="s">
        <v>71</v>
      </c>
      <c r="D1531" s="18">
        <v>113413</v>
      </c>
      <c r="E1531" s="19"/>
      <c r="F1531" s="15">
        <f t="shared" si="26"/>
        <v>98650715.73999998</v>
      </c>
    </row>
    <row r="1532" spans="1:6" x14ac:dyDescent="0.2">
      <c r="A1532" s="3">
        <v>45677</v>
      </c>
      <c r="B1532" s="43">
        <v>1626652</v>
      </c>
      <c r="C1532" s="20" t="s">
        <v>70</v>
      </c>
      <c r="D1532" s="18">
        <v>22100.5</v>
      </c>
      <c r="E1532" s="19"/>
      <c r="F1532" s="15">
        <f t="shared" si="26"/>
        <v>98628615.23999998</v>
      </c>
    </row>
    <row r="1533" spans="1:6" x14ac:dyDescent="0.2">
      <c r="A1533" s="3">
        <v>45677</v>
      </c>
      <c r="B1533" s="43">
        <v>3734407</v>
      </c>
      <c r="C1533" s="20" t="s">
        <v>222</v>
      </c>
      <c r="D1533" s="18">
        <v>237131.85</v>
      </c>
      <c r="E1533" s="19"/>
      <c r="F1533" s="15">
        <f t="shared" si="26"/>
        <v>98391483.389999986</v>
      </c>
    </row>
    <row r="1534" spans="1:6" x14ac:dyDescent="0.2">
      <c r="A1534" s="3">
        <v>45677</v>
      </c>
      <c r="B1534" s="43">
        <v>4904082</v>
      </c>
      <c r="C1534" s="20" t="s">
        <v>61</v>
      </c>
      <c r="D1534" s="18">
        <v>88146.45</v>
      </c>
      <c r="E1534" s="19"/>
      <c r="F1534" s="15">
        <f t="shared" si="26"/>
        <v>98303336.939999983</v>
      </c>
    </row>
    <row r="1535" spans="1:6" x14ac:dyDescent="0.2">
      <c r="A1535" s="3">
        <v>45677</v>
      </c>
      <c r="B1535" s="46">
        <v>3323928</v>
      </c>
      <c r="C1535" s="9" t="s">
        <v>264</v>
      </c>
      <c r="D1535" s="62"/>
      <c r="E1535" s="63">
        <v>12500</v>
      </c>
      <c r="F1535" s="15">
        <f t="shared" si="26"/>
        <v>98315836.939999983</v>
      </c>
    </row>
    <row r="1536" spans="1:6" x14ac:dyDescent="0.2">
      <c r="A1536" s="3">
        <v>45677</v>
      </c>
      <c r="B1536" s="50"/>
      <c r="C1536" s="22" t="s">
        <v>16</v>
      </c>
      <c r="D1536" s="23">
        <v>22422.05</v>
      </c>
      <c r="E1536" s="24"/>
      <c r="F1536" s="15">
        <f t="shared" si="26"/>
        <v>98293414.889999986</v>
      </c>
    </row>
    <row r="1537" spans="1:6" x14ac:dyDescent="0.2">
      <c r="A1537" s="3">
        <v>45677</v>
      </c>
      <c r="B1537" s="45"/>
      <c r="C1537" s="17" t="s">
        <v>22</v>
      </c>
      <c r="D1537" s="18">
        <v>165</v>
      </c>
      <c r="E1537" s="19"/>
      <c r="F1537" s="15">
        <f t="shared" si="26"/>
        <v>98293249.889999986</v>
      </c>
    </row>
    <row r="1538" spans="1:6" x14ac:dyDescent="0.2">
      <c r="A1538" s="3">
        <v>45677</v>
      </c>
      <c r="B1538" s="43">
        <v>13696</v>
      </c>
      <c r="C1538" s="20" t="s">
        <v>7</v>
      </c>
      <c r="D1538" s="18">
        <v>720</v>
      </c>
      <c r="E1538" s="19"/>
      <c r="F1538" s="15">
        <f t="shared" si="26"/>
        <v>98292529.889999986</v>
      </c>
    </row>
    <row r="1539" spans="1:6" x14ac:dyDescent="0.2">
      <c r="A1539" s="3">
        <v>45677</v>
      </c>
      <c r="B1539" s="43">
        <v>13696</v>
      </c>
      <c r="C1539" s="17" t="s">
        <v>227</v>
      </c>
      <c r="D1539" s="18">
        <v>151.19999999999999</v>
      </c>
      <c r="E1539" s="19"/>
      <c r="F1539" s="15">
        <f t="shared" si="26"/>
        <v>98292378.689999983</v>
      </c>
    </row>
    <row r="1540" spans="1:6" x14ac:dyDescent="0.2">
      <c r="A1540" s="3">
        <v>45677</v>
      </c>
      <c r="B1540" s="43">
        <v>13697</v>
      </c>
      <c r="C1540" s="20" t="s">
        <v>7</v>
      </c>
      <c r="D1540" s="18">
        <v>1485</v>
      </c>
      <c r="E1540" s="19"/>
      <c r="F1540" s="15">
        <f t="shared" si="26"/>
        <v>98290893.689999983</v>
      </c>
    </row>
    <row r="1541" spans="1:6" x14ac:dyDescent="0.2">
      <c r="A1541" s="3">
        <v>45677</v>
      </c>
      <c r="B1541" s="43">
        <v>13697</v>
      </c>
      <c r="C1541" s="17" t="s">
        <v>227</v>
      </c>
      <c r="D1541" s="18">
        <v>311.85000000000002</v>
      </c>
      <c r="E1541" s="19"/>
      <c r="F1541" s="15">
        <f t="shared" si="26"/>
        <v>98290581.839999989</v>
      </c>
    </row>
    <row r="1542" spans="1:6" x14ac:dyDescent="0.2">
      <c r="A1542" s="3">
        <v>45677</v>
      </c>
      <c r="B1542" s="43">
        <v>13698</v>
      </c>
      <c r="C1542" s="20" t="s">
        <v>7</v>
      </c>
      <c r="D1542" s="18">
        <v>1485</v>
      </c>
      <c r="E1542" s="19"/>
      <c r="F1542" s="15">
        <f t="shared" si="26"/>
        <v>98289096.839999989</v>
      </c>
    </row>
    <row r="1543" spans="1:6" x14ac:dyDescent="0.2">
      <c r="A1543" s="3">
        <v>45677</v>
      </c>
      <c r="B1543" s="43">
        <v>13698</v>
      </c>
      <c r="C1543" s="17" t="s">
        <v>227</v>
      </c>
      <c r="D1543" s="18">
        <v>311.85000000000002</v>
      </c>
      <c r="E1543" s="19"/>
      <c r="F1543" s="15">
        <f t="shared" si="26"/>
        <v>98288784.989999995</v>
      </c>
    </row>
    <row r="1544" spans="1:6" x14ac:dyDescent="0.2">
      <c r="A1544" s="3">
        <v>45677</v>
      </c>
      <c r="B1544" s="45"/>
      <c r="C1544" s="20" t="s">
        <v>265</v>
      </c>
      <c r="D1544" s="18">
        <v>27.5</v>
      </c>
      <c r="E1544" s="19"/>
      <c r="F1544" s="15">
        <f t="shared" si="26"/>
        <v>98288757.489999995</v>
      </c>
    </row>
    <row r="1545" spans="1:6" x14ac:dyDescent="0.2">
      <c r="A1545" s="3">
        <v>45678</v>
      </c>
      <c r="B1545" s="43">
        <v>31799</v>
      </c>
      <c r="C1545" s="17" t="s">
        <v>9</v>
      </c>
      <c r="D1545" s="18">
        <v>92622.1</v>
      </c>
      <c r="E1545" s="19"/>
      <c r="F1545" s="15">
        <f t="shared" si="26"/>
        <v>98196135.390000001</v>
      </c>
    </row>
    <row r="1546" spans="1:6" x14ac:dyDescent="0.2">
      <c r="A1546" s="3">
        <v>45678</v>
      </c>
      <c r="B1546" s="43">
        <v>32013</v>
      </c>
      <c r="C1546" s="17" t="s">
        <v>9</v>
      </c>
      <c r="D1546" s="18">
        <v>1000000</v>
      </c>
      <c r="E1546" s="19"/>
      <c r="F1546" s="15">
        <f t="shared" si="26"/>
        <v>97196135.390000001</v>
      </c>
    </row>
    <row r="1547" spans="1:6" x14ac:dyDescent="0.2">
      <c r="A1547" s="3">
        <v>45678</v>
      </c>
      <c r="B1547" s="43">
        <v>32014</v>
      </c>
      <c r="C1547" s="17" t="s">
        <v>9</v>
      </c>
      <c r="D1547" s="18">
        <v>1174000</v>
      </c>
      <c r="E1547" s="19"/>
      <c r="F1547" s="15">
        <f t="shared" si="26"/>
        <v>96022135.390000001</v>
      </c>
    </row>
    <row r="1548" spans="1:6" x14ac:dyDescent="0.2">
      <c r="A1548" s="3">
        <v>45678</v>
      </c>
      <c r="B1548" s="43">
        <v>2733</v>
      </c>
      <c r="C1548" s="20" t="s">
        <v>76</v>
      </c>
      <c r="D1548" s="18">
        <v>600701</v>
      </c>
      <c r="E1548" s="19"/>
      <c r="F1548" s="15">
        <f t="shared" si="26"/>
        <v>95421434.390000001</v>
      </c>
    </row>
    <row r="1549" spans="1:6" x14ac:dyDescent="0.2">
      <c r="A1549" s="3">
        <v>45678</v>
      </c>
      <c r="B1549" s="43">
        <v>32018</v>
      </c>
      <c r="C1549" s="20" t="s">
        <v>29</v>
      </c>
      <c r="D1549" s="18">
        <v>50000</v>
      </c>
      <c r="E1549" s="19"/>
      <c r="F1549" s="15">
        <f t="shared" si="26"/>
        <v>95371434.390000001</v>
      </c>
    </row>
    <row r="1550" spans="1:6" x14ac:dyDescent="0.2">
      <c r="A1550" s="3">
        <v>45678</v>
      </c>
      <c r="B1550" s="43">
        <v>32019</v>
      </c>
      <c r="C1550" s="20" t="s">
        <v>27</v>
      </c>
      <c r="D1550" s="18">
        <v>50000</v>
      </c>
      <c r="E1550" s="19"/>
      <c r="F1550" s="15">
        <f t="shared" si="26"/>
        <v>95321434.390000001</v>
      </c>
    </row>
    <row r="1551" spans="1:6" x14ac:dyDescent="0.2">
      <c r="A1551" s="3">
        <v>45678</v>
      </c>
      <c r="B1551" s="43">
        <v>32020</v>
      </c>
      <c r="C1551" s="20" t="s">
        <v>97</v>
      </c>
      <c r="D1551" s="18">
        <v>50000</v>
      </c>
      <c r="E1551" s="19"/>
      <c r="F1551" s="15">
        <f t="shared" si="26"/>
        <v>95271434.390000001</v>
      </c>
    </row>
    <row r="1552" spans="1:6" x14ac:dyDescent="0.2">
      <c r="A1552" s="3">
        <v>45678</v>
      </c>
      <c r="B1552" s="43">
        <v>32017</v>
      </c>
      <c r="C1552" s="20" t="s">
        <v>30</v>
      </c>
      <c r="D1552" s="18">
        <v>50000</v>
      </c>
      <c r="E1552" s="19"/>
      <c r="F1552" s="15">
        <f t="shared" si="26"/>
        <v>95221434.390000001</v>
      </c>
    </row>
    <row r="1553" spans="1:6" x14ac:dyDescent="0.2">
      <c r="A1553" s="3">
        <v>45678</v>
      </c>
      <c r="B1553" s="43">
        <v>14358212</v>
      </c>
      <c r="C1553" s="20" t="s">
        <v>236</v>
      </c>
      <c r="D1553" s="18">
        <v>2500000</v>
      </c>
      <c r="E1553" s="19"/>
      <c r="F1553" s="15">
        <f t="shared" si="26"/>
        <v>92721434.390000001</v>
      </c>
    </row>
    <row r="1554" spans="1:6" x14ac:dyDescent="0.2">
      <c r="A1554" s="3">
        <v>45678</v>
      </c>
      <c r="B1554" s="43">
        <v>14488427</v>
      </c>
      <c r="C1554" s="20" t="s">
        <v>235</v>
      </c>
      <c r="D1554" s="18">
        <v>2000000</v>
      </c>
      <c r="E1554" s="19"/>
      <c r="F1554" s="15">
        <f t="shared" si="26"/>
        <v>90721434.390000001</v>
      </c>
    </row>
    <row r="1555" spans="1:6" x14ac:dyDescent="0.2">
      <c r="A1555" s="3">
        <v>45678</v>
      </c>
      <c r="B1555" s="43">
        <v>4293989</v>
      </c>
      <c r="C1555" s="20" t="s">
        <v>59</v>
      </c>
      <c r="D1555" s="18">
        <v>2541883.2000000002</v>
      </c>
      <c r="E1555" s="19"/>
      <c r="F1555" s="15">
        <f t="shared" si="26"/>
        <v>88179551.189999998</v>
      </c>
    </row>
    <row r="1556" spans="1:6" x14ac:dyDescent="0.2">
      <c r="A1556" s="3">
        <v>45678</v>
      </c>
      <c r="B1556" s="43">
        <v>15242583</v>
      </c>
      <c r="C1556" s="20" t="s">
        <v>266</v>
      </c>
      <c r="D1556" s="18">
        <v>751296</v>
      </c>
      <c r="E1556" s="19"/>
      <c r="F1556" s="15">
        <f t="shared" si="26"/>
        <v>87428255.189999998</v>
      </c>
    </row>
    <row r="1557" spans="1:6" x14ac:dyDescent="0.2">
      <c r="A1557" s="3">
        <v>45678</v>
      </c>
      <c r="B1557" s="45"/>
      <c r="C1557" s="17" t="s">
        <v>34</v>
      </c>
      <c r="D1557" s="18">
        <v>2400</v>
      </c>
      <c r="E1557" s="19"/>
      <c r="F1557" s="15">
        <f t="shared" si="26"/>
        <v>87425855.189999998</v>
      </c>
    </row>
    <row r="1558" spans="1:6" x14ac:dyDescent="0.2">
      <c r="A1558" s="3">
        <v>45678</v>
      </c>
      <c r="B1558" s="45"/>
      <c r="C1558" s="17" t="s">
        <v>16</v>
      </c>
      <c r="D1558" s="18">
        <v>63989.98</v>
      </c>
      <c r="E1558" s="19"/>
      <c r="F1558" s="15">
        <f t="shared" si="26"/>
        <v>87361865.209999993</v>
      </c>
    </row>
    <row r="1559" spans="1:6" x14ac:dyDescent="0.2">
      <c r="A1559" s="3">
        <v>45678</v>
      </c>
      <c r="B1559" s="43">
        <v>11959</v>
      </c>
      <c r="C1559" s="20" t="s">
        <v>7</v>
      </c>
      <c r="D1559" s="18">
        <v>1485</v>
      </c>
      <c r="E1559" s="19"/>
      <c r="F1559" s="15">
        <f t="shared" si="26"/>
        <v>87360380.209999993</v>
      </c>
    </row>
    <row r="1560" spans="1:6" x14ac:dyDescent="0.2">
      <c r="A1560" s="3">
        <v>45678</v>
      </c>
      <c r="B1560" s="43">
        <v>11959</v>
      </c>
      <c r="C1560" s="17" t="s">
        <v>227</v>
      </c>
      <c r="D1560" s="18">
        <v>311.85000000000002</v>
      </c>
      <c r="E1560" s="19"/>
      <c r="F1560" s="15">
        <f t="shared" si="26"/>
        <v>87360068.359999999</v>
      </c>
    </row>
    <row r="1561" spans="1:6" x14ac:dyDescent="0.2">
      <c r="A1561" s="3">
        <v>45679</v>
      </c>
      <c r="B1561" s="51"/>
      <c r="C1561" s="9" t="s">
        <v>35</v>
      </c>
      <c r="D1561" s="48">
        <v>4000</v>
      </c>
      <c r="E1561" s="49"/>
      <c r="F1561" s="15">
        <f t="shared" si="26"/>
        <v>87356068.359999999</v>
      </c>
    </row>
    <row r="1562" spans="1:6" x14ac:dyDescent="0.2">
      <c r="A1562" s="3">
        <v>45679</v>
      </c>
      <c r="B1562" s="50"/>
      <c r="C1562" s="22" t="s">
        <v>36</v>
      </c>
      <c r="D1562" s="23">
        <v>60</v>
      </c>
      <c r="E1562" s="24"/>
      <c r="F1562" s="15">
        <f t="shared" si="26"/>
        <v>87356008.359999999</v>
      </c>
    </row>
    <row r="1563" spans="1:6" x14ac:dyDescent="0.2">
      <c r="A1563" s="3">
        <v>45679</v>
      </c>
      <c r="B1563" s="45"/>
      <c r="C1563" s="17" t="s">
        <v>227</v>
      </c>
      <c r="D1563" s="18">
        <v>840</v>
      </c>
      <c r="E1563" s="19"/>
      <c r="F1563" s="15">
        <f t="shared" si="26"/>
        <v>87355168.359999999</v>
      </c>
    </row>
    <row r="1564" spans="1:6" x14ac:dyDescent="0.2">
      <c r="A1564" s="3">
        <v>45679</v>
      </c>
      <c r="B1564" s="45"/>
      <c r="C1564" s="17" t="s">
        <v>37</v>
      </c>
      <c r="D1564" s="18">
        <v>120</v>
      </c>
      <c r="E1564" s="19"/>
      <c r="F1564" s="15">
        <f t="shared" si="26"/>
        <v>87355048.359999999</v>
      </c>
    </row>
    <row r="1565" spans="1:6" x14ac:dyDescent="0.2">
      <c r="A1565" s="3">
        <v>45679</v>
      </c>
      <c r="B1565" s="43">
        <v>32029</v>
      </c>
      <c r="C1565" s="20" t="s">
        <v>97</v>
      </c>
      <c r="D1565" s="18">
        <v>50000</v>
      </c>
      <c r="E1565" s="19"/>
      <c r="F1565" s="15">
        <f t="shared" si="26"/>
        <v>87305048.359999999</v>
      </c>
    </row>
    <row r="1566" spans="1:6" x14ac:dyDescent="0.2">
      <c r="A1566" s="3">
        <v>45679</v>
      </c>
      <c r="B1566" s="43">
        <v>32030</v>
      </c>
      <c r="C1566" s="20" t="s">
        <v>29</v>
      </c>
      <c r="D1566" s="18">
        <v>50000</v>
      </c>
      <c r="E1566" s="19"/>
      <c r="F1566" s="15">
        <f t="shared" si="26"/>
        <v>87255048.359999999</v>
      </c>
    </row>
    <row r="1567" spans="1:6" x14ac:dyDescent="0.2">
      <c r="A1567" s="3">
        <v>45679</v>
      </c>
      <c r="B1567" s="43">
        <v>32031</v>
      </c>
      <c r="C1567" s="20" t="s">
        <v>30</v>
      </c>
      <c r="D1567" s="18">
        <v>50000</v>
      </c>
      <c r="E1567" s="19"/>
      <c r="F1567" s="15">
        <f t="shared" si="26"/>
        <v>87205048.359999999</v>
      </c>
    </row>
    <row r="1568" spans="1:6" x14ac:dyDescent="0.2">
      <c r="A1568" s="3">
        <v>45679</v>
      </c>
      <c r="B1568" s="43">
        <v>903675</v>
      </c>
      <c r="C1568" s="20" t="s">
        <v>267</v>
      </c>
      <c r="D1568" s="19"/>
      <c r="E1568" s="18">
        <v>293535.3</v>
      </c>
      <c r="F1568" s="15">
        <f t="shared" si="26"/>
        <v>87498583.659999996</v>
      </c>
    </row>
    <row r="1569" spans="1:6" x14ac:dyDescent="0.2">
      <c r="A1569" s="3">
        <v>45679</v>
      </c>
      <c r="B1569" s="45"/>
      <c r="C1569" s="17" t="s">
        <v>16</v>
      </c>
      <c r="D1569" s="18">
        <v>40.9</v>
      </c>
      <c r="E1569" s="19"/>
      <c r="F1569" s="15">
        <f t="shared" si="26"/>
        <v>87498542.75999999</v>
      </c>
    </row>
    <row r="1570" spans="1:6" x14ac:dyDescent="0.2">
      <c r="A1570" s="3">
        <v>45679</v>
      </c>
      <c r="B1570" s="45"/>
      <c r="C1570" s="17" t="s">
        <v>22</v>
      </c>
      <c r="D1570" s="18">
        <v>1761.21</v>
      </c>
      <c r="E1570" s="19"/>
      <c r="F1570" s="15">
        <f t="shared" si="26"/>
        <v>87496781.549999997</v>
      </c>
    </row>
    <row r="1571" spans="1:6" x14ac:dyDescent="0.2">
      <c r="A1571" s="3">
        <v>45679</v>
      </c>
      <c r="B1571" s="45"/>
      <c r="C1571" s="17" t="s">
        <v>34</v>
      </c>
      <c r="D1571" s="18">
        <v>1800</v>
      </c>
      <c r="E1571" s="19"/>
      <c r="F1571" s="15">
        <f t="shared" si="26"/>
        <v>87494981.549999997</v>
      </c>
    </row>
    <row r="1572" spans="1:6" x14ac:dyDescent="0.2">
      <c r="A1572" s="3">
        <v>45679</v>
      </c>
      <c r="B1572" s="45"/>
      <c r="C1572" s="20" t="s">
        <v>268</v>
      </c>
      <c r="D1572" s="18">
        <v>293.54000000000002</v>
      </c>
      <c r="E1572" s="19"/>
      <c r="F1572" s="15">
        <f t="shared" ref="F1572:F1635" si="27">+F1571+E1572-D1572</f>
        <v>87494688.00999999</v>
      </c>
    </row>
    <row r="1573" spans="1:6" x14ac:dyDescent="0.2">
      <c r="A1573" s="3">
        <v>45680</v>
      </c>
      <c r="B1573" s="43">
        <v>32016</v>
      </c>
      <c r="C1573" s="17" t="s">
        <v>9</v>
      </c>
      <c r="D1573" s="18">
        <v>1630000</v>
      </c>
      <c r="E1573" s="19"/>
      <c r="F1573" s="15">
        <f t="shared" si="27"/>
        <v>85864688.00999999</v>
      </c>
    </row>
    <row r="1574" spans="1:6" x14ac:dyDescent="0.2">
      <c r="A1574" s="3">
        <v>45680</v>
      </c>
      <c r="B1574" s="43">
        <v>31945</v>
      </c>
      <c r="C1574" s="17" t="s">
        <v>9</v>
      </c>
      <c r="D1574" s="18">
        <v>1952000</v>
      </c>
      <c r="E1574" s="19"/>
      <c r="F1574" s="15">
        <f t="shared" si="27"/>
        <v>83912688.00999999</v>
      </c>
    </row>
    <row r="1575" spans="1:6" x14ac:dyDescent="0.2">
      <c r="A1575" s="3">
        <v>45680</v>
      </c>
      <c r="B1575" s="43">
        <v>31943</v>
      </c>
      <c r="C1575" s="17" t="s">
        <v>9</v>
      </c>
      <c r="D1575" s="18">
        <v>2474000</v>
      </c>
      <c r="E1575" s="19"/>
      <c r="F1575" s="15">
        <f t="shared" si="27"/>
        <v>81438688.00999999</v>
      </c>
    </row>
    <row r="1576" spans="1:6" x14ac:dyDescent="0.2">
      <c r="A1576" s="3">
        <v>45680</v>
      </c>
      <c r="B1576" s="45"/>
      <c r="C1576" s="20" t="s">
        <v>172</v>
      </c>
      <c r="D1576" s="18">
        <v>3000</v>
      </c>
      <c r="E1576" s="19"/>
      <c r="F1576" s="15">
        <f t="shared" si="27"/>
        <v>81435688.00999999</v>
      </c>
    </row>
    <row r="1577" spans="1:6" x14ac:dyDescent="0.2">
      <c r="A1577" s="3">
        <v>45680</v>
      </c>
      <c r="B1577" s="45"/>
      <c r="C1577" s="17" t="s">
        <v>227</v>
      </c>
      <c r="D1577" s="18">
        <v>630</v>
      </c>
      <c r="E1577" s="19"/>
      <c r="F1577" s="15">
        <f t="shared" si="27"/>
        <v>81435058.00999999</v>
      </c>
    </row>
    <row r="1578" spans="1:6" x14ac:dyDescent="0.2">
      <c r="A1578" s="3">
        <v>45680</v>
      </c>
      <c r="B1578" s="45"/>
      <c r="C1578" s="17" t="s">
        <v>37</v>
      </c>
      <c r="D1578" s="18">
        <v>90</v>
      </c>
      <c r="E1578" s="19"/>
      <c r="F1578" s="15">
        <f t="shared" si="27"/>
        <v>81434968.00999999</v>
      </c>
    </row>
    <row r="1579" spans="1:6" x14ac:dyDescent="0.2">
      <c r="A1579" s="3">
        <v>45680</v>
      </c>
      <c r="B1579" s="43">
        <v>32023</v>
      </c>
      <c r="C1579" s="20" t="s">
        <v>30</v>
      </c>
      <c r="D1579" s="18">
        <v>50000</v>
      </c>
      <c r="E1579" s="19"/>
      <c r="F1579" s="15">
        <f t="shared" si="27"/>
        <v>81384968.00999999</v>
      </c>
    </row>
    <row r="1580" spans="1:6" x14ac:dyDescent="0.2">
      <c r="A1580" s="3">
        <v>45680</v>
      </c>
      <c r="B1580" s="43">
        <v>32024</v>
      </c>
      <c r="C1580" s="20" t="s">
        <v>29</v>
      </c>
      <c r="D1580" s="18">
        <v>50000</v>
      </c>
      <c r="E1580" s="19"/>
      <c r="F1580" s="15">
        <f t="shared" si="27"/>
        <v>81334968.00999999</v>
      </c>
    </row>
    <row r="1581" spans="1:6" x14ac:dyDescent="0.2">
      <c r="A1581" s="3">
        <v>45680</v>
      </c>
      <c r="B1581" s="43">
        <v>32025</v>
      </c>
      <c r="C1581" s="20" t="s">
        <v>27</v>
      </c>
      <c r="D1581" s="18">
        <v>50000</v>
      </c>
      <c r="E1581" s="19"/>
      <c r="F1581" s="15">
        <f t="shared" si="27"/>
        <v>81284968.00999999</v>
      </c>
    </row>
    <row r="1582" spans="1:6" x14ac:dyDescent="0.2">
      <c r="A1582" s="3">
        <v>45680</v>
      </c>
      <c r="B1582" s="43">
        <v>32026</v>
      </c>
      <c r="C1582" s="20" t="s">
        <v>97</v>
      </c>
      <c r="D1582" s="18">
        <v>50000</v>
      </c>
      <c r="E1582" s="19"/>
      <c r="F1582" s="15">
        <f t="shared" si="27"/>
        <v>81234968.00999999</v>
      </c>
    </row>
    <row r="1583" spans="1:6" x14ac:dyDescent="0.2">
      <c r="A1583" s="3">
        <v>45680</v>
      </c>
      <c r="B1583" s="43">
        <v>15320596</v>
      </c>
      <c r="C1583" s="20" t="s">
        <v>269</v>
      </c>
      <c r="D1583" s="19"/>
      <c r="E1583" s="18">
        <v>14800</v>
      </c>
      <c r="F1583" s="15">
        <f t="shared" si="27"/>
        <v>81249768.00999999</v>
      </c>
    </row>
    <row r="1584" spans="1:6" x14ac:dyDescent="0.2">
      <c r="A1584" s="3">
        <v>45680</v>
      </c>
      <c r="B1584" s="43">
        <v>69624250</v>
      </c>
      <c r="C1584" s="20" t="s">
        <v>270</v>
      </c>
      <c r="D1584" s="19"/>
      <c r="E1584" s="18">
        <v>20250</v>
      </c>
      <c r="F1584" s="15">
        <f t="shared" si="27"/>
        <v>81270018.00999999</v>
      </c>
    </row>
    <row r="1585" spans="1:6" x14ac:dyDescent="0.2">
      <c r="A1585" s="3">
        <v>45680</v>
      </c>
      <c r="B1585" s="45"/>
      <c r="C1585" s="17" t="s">
        <v>34</v>
      </c>
      <c r="D1585" s="18">
        <v>2400</v>
      </c>
      <c r="E1585" s="19"/>
      <c r="F1585" s="15">
        <f t="shared" si="27"/>
        <v>81267618.00999999</v>
      </c>
    </row>
    <row r="1586" spans="1:6" x14ac:dyDescent="0.2">
      <c r="A1586" s="3">
        <v>45680</v>
      </c>
      <c r="B1586" s="45"/>
      <c r="C1586" s="17" t="s">
        <v>22</v>
      </c>
      <c r="D1586" s="18">
        <v>210.3</v>
      </c>
      <c r="E1586" s="19"/>
      <c r="F1586" s="15">
        <f t="shared" si="27"/>
        <v>81267407.709999993</v>
      </c>
    </row>
    <row r="1587" spans="1:6" x14ac:dyDescent="0.2">
      <c r="A1587" s="3">
        <v>45680</v>
      </c>
      <c r="B1587" s="45"/>
      <c r="C1587" s="17" t="s">
        <v>16</v>
      </c>
      <c r="D1587" s="18">
        <v>36360.080000000002</v>
      </c>
      <c r="E1587" s="19"/>
      <c r="F1587" s="15">
        <f t="shared" si="27"/>
        <v>81231047.629999995</v>
      </c>
    </row>
    <row r="1588" spans="1:6" x14ac:dyDescent="0.2">
      <c r="A1588" s="3">
        <v>45680</v>
      </c>
      <c r="B1588" s="51"/>
      <c r="C1588" s="9" t="s">
        <v>271</v>
      </c>
      <c r="D1588" s="48">
        <v>35.049999999999997</v>
      </c>
      <c r="E1588" s="49"/>
      <c r="F1588" s="15">
        <f t="shared" si="27"/>
        <v>81231012.579999998</v>
      </c>
    </row>
    <row r="1589" spans="1:6" x14ac:dyDescent="0.2">
      <c r="A1589" s="3">
        <v>45681</v>
      </c>
      <c r="B1589" s="50"/>
      <c r="C1589" s="28" t="s">
        <v>35</v>
      </c>
      <c r="D1589" s="23">
        <v>4000</v>
      </c>
      <c r="E1589" s="24"/>
      <c r="F1589" s="15">
        <f t="shared" si="27"/>
        <v>81227012.579999998</v>
      </c>
    </row>
    <row r="1590" spans="1:6" x14ac:dyDescent="0.2">
      <c r="A1590" s="3">
        <v>45681</v>
      </c>
      <c r="B1590" s="45"/>
      <c r="C1590" s="17" t="s">
        <v>36</v>
      </c>
      <c r="D1590" s="18">
        <v>60</v>
      </c>
      <c r="E1590" s="19"/>
      <c r="F1590" s="15">
        <f t="shared" si="27"/>
        <v>81226952.579999998</v>
      </c>
    </row>
    <row r="1591" spans="1:6" x14ac:dyDescent="0.2">
      <c r="A1591" s="3">
        <v>45681</v>
      </c>
      <c r="B1591" s="45"/>
      <c r="C1591" s="17" t="s">
        <v>227</v>
      </c>
      <c r="D1591" s="18">
        <v>840</v>
      </c>
      <c r="E1591" s="19"/>
      <c r="F1591" s="15">
        <f t="shared" si="27"/>
        <v>81226112.579999998</v>
      </c>
    </row>
    <row r="1592" spans="1:6" x14ac:dyDescent="0.2">
      <c r="A1592" s="3">
        <v>45681</v>
      </c>
      <c r="B1592" s="45"/>
      <c r="C1592" s="17" t="s">
        <v>37</v>
      </c>
      <c r="D1592" s="18">
        <v>120</v>
      </c>
      <c r="E1592" s="19"/>
      <c r="F1592" s="15">
        <f t="shared" si="27"/>
        <v>81225992.579999998</v>
      </c>
    </row>
    <row r="1593" spans="1:6" x14ac:dyDescent="0.2">
      <c r="A1593" s="3">
        <v>45681</v>
      </c>
      <c r="B1593" s="43">
        <v>918451</v>
      </c>
      <c r="C1593" s="20" t="s">
        <v>217</v>
      </c>
      <c r="D1593" s="25"/>
      <c r="E1593" s="25">
        <v>100000000</v>
      </c>
      <c r="F1593" s="15">
        <f t="shared" si="27"/>
        <v>181225992.57999998</v>
      </c>
    </row>
    <row r="1594" spans="1:6" x14ac:dyDescent="0.2">
      <c r="A1594" s="3">
        <v>45681</v>
      </c>
      <c r="B1594" s="43">
        <v>32027</v>
      </c>
      <c r="C1594" s="20" t="s">
        <v>30</v>
      </c>
      <c r="D1594" s="18">
        <v>50000</v>
      </c>
      <c r="E1594" s="19"/>
      <c r="F1594" s="15">
        <f t="shared" si="27"/>
        <v>181175992.57999998</v>
      </c>
    </row>
    <row r="1595" spans="1:6" x14ac:dyDescent="0.2">
      <c r="A1595" s="3">
        <v>45681</v>
      </c>
      <c r="B1595" s="43">
        <v>32028</v>
      </c>
      <c r="C1595" s="20" t="s">
        <v>29</v>
      </c>
      <c r="D1595" s="18">
        <v>50000</v>
      </c>
      <c r="E1595" s="19"/>
      <c r="F1595" s="15">
        <f t="shared" si="27"/>
        <v>181125992.57999998</v>
      </c>
    </row>
    <row r="1596" spans="1:6" x14ac:dyDescent="0.2">
      <c r="A1596" s="3">
        <v>45681</v>
      </c>
      <c r="B1596" s="43">
        <v>4199177</v>
      </c>
      <c r="C1596" s="20" t="s">
        <v>272</v>
      </c>
      <c r="D1596" s="18">
        <v>421200</v>
      </c>
      <c r="E1596" s="19"/>
      <c r="F1596" s="15">
        <f t="shared" si="27"/>
        <v>180704792.57999998</v>
      </c>
    </row>
    <row r="1597" spans="1:6" x14ac:dyDescent="0.2">
      <c r="A1597" s="3">
        <v>45681</v>
      </c>
      <c r="B1597" s="43">
        <v>4199178</v>
      </c>
      <c r="C1597" s="20" t="s">
        <v>191</v>
      </c>
      <c r="D1597" s="18">
        <v>2000000</v>
      </c>
      <c r="E1597" s="19"/>
      <c r="F1597" s="15">
        <f t="shared" si="27"/>
        <v>178704792.57999998</v>
      </c>
    </row>
    <row r="1598" spans="1:6" x14ac:dyDescent="0.2">
      <c r="A1598" s="3">
        <v>45681</v>
      </c>
      <c r="B1598" s="43">
        <v>15336285</v>
      </c>
      <c r="C1598" s="20" t="s">
        <v>84</v>
      </c>
      <c r="D1598" s="18">
        <v>3920000</v>
      </c>
      <c r="E1598" s="19"/>
      <c r="F1598" s="15">
        <f t="shared" si="27"/>
        <v>174784792.57999998</v>
      </c>
    </row>
    <row r="1599" spans="1:6" x14ac:dyDescent="0.2">
      <c r="A1599" s="3">
        <v>45681</v>
      </c>
      <c r="B1599" s="43">
        <v>15336286</v>
      </c>
      <c r="C1599" s="20" t="s">
        <v>84</v>
      </c>
      <c r="D1599" s="18">
        <v>852290</v>
      </c>
      <c r="E1599" s="19"/>
      <c r="F1599" s="15">
        <f t="shared" si="27"/>
        <v>173932502.57999998</v>
      </c>
    </row>
    <row r="1600" spans="1:6" x14ac:dyDescent="0.2">
      <c r="A1600" s="3">
        <v>45681</v>
      </c>
      <c r="B1600" s="43">
        <v>15336287</v>
      </c>
      <c r="C1600" s="20" t="s">
        <v>84</v>
      </c>
      <c r="D1600" s="18">
        <v>1956290</v>
      </c>
      <c r="E1600" s="19"/>
      <c r="F1600" s="15">
        <f t="shared" si="27"/>
        <v>171976212.57999998</v>
      </c>
    </row>
    <row r="1601" spans="1:6" x14ac:dyDescent="0.2">
      <c r="A1601" s="3">
        <v>45681</v>
      </c>
      <c r="B1601" s="43">
        <v>15336288</v>
      </c>
      <c r="C1601" s="20" t="s">
        <v>84</v>
      </c>
      <c r="D1601" s="18">
        <v>1041600</v>
      </c>
      <c r="E1601" s="19"/>
      <c r="F1601" s="15">
        <f t="shared" si="27"/>
        <v>170934612.57999998</v>
      </c>
    </row>
    <row r="1602" spans="1:6" x14ac:dyDescent="0.2">
      <c r="A1602" s="3">
        <v>45681</v>
      </c>
      <c r="B1602" s="43">
        <v>15336289</v>
      </c>
      <c r="C1602" s="20" t="s">
        <v>84</v>
      </c>
      <c r="D1602" s="18">
        <v>601050</v>
      </c>
      <c r="E1602" s="19"/>
      <c r="F1602" s="15">
        <f t="shared" si="27"/>
        <v>170333562.57999998</v>
      </c>
    </row>
    <row r="1603" spans="1:6" x14ac:dyDescent="0.2">
      <c r="A1603" s="3">
        <v>45681</v>
      </c>
      <c r="B1603" s="43">
        <v>15336290</v>
      </c>
      <c r="C1603" s="20" t="s">
        <v>84</v>
      </c>
      <c r="D1603" s="18">
        <v>200000</v>
      </c>
      <c r="E1603" s="19"/>
      <c r="F1603" s="15">
        <f t="shared" si="27"/>
        <v>170133562.57999998</v>
      </c>
    </row>
    <row r="1604" spans="1:6" x14ac:dyDescent="0.2">
      <c r="A1604" s="3">
        <v>45681</v>
      </c>
      <c r="B1604" s="43">
        <v>15336291</v>
      </c>
      <c r="C1604" s="20" t="s">
        <v>84</v>
      </c>
      <c r="D1604" s="18">
        <v>4875250</v>
      </c>
      <c r="E1604" s="19"/>
      <c r="F1604" s="15">
        <f t="shared" si="27"/>
        <v>165258312.57999998</v>
      </c>
    </row>
    <row r="1605" spans="1:6" x14ac:dyDescent="0.2">
      <c r="A1605" s="3">
        <v>45681</v>
      </c>
      <c r="B1605" s="43">
        <v>15336292</v>
      </c>
      <c r="C1605" s="20" t="s">
        <v>84</v>
      </c>
      <c r="D1605" s="18">
        <v>222000</v>
      </c>
      <c r="E1605" s="19"/>
      <c r="F1605" s="15">
        <f t="shared" si="27"/>
        <v>165036312.57999998</v>
      </c>
    </row>
    <row r="1606" spans="1:6" x14ac:dyDescent="0.2">
      <c r="A1606" s="3">
        <v>45681</v>
      </c>
      <c r="B1606" s="43">
        <v>15336293</v>
      </c>
      <c r="C1606" s="20" t="s">
        <v>84</v>
      </c>
      <c r="D1606" s="18">
        <v>741000</v>
      </c>
      <c r="E1606" s="19"/>
      <c r="F1606" s="15">
        <f t="shared" si="27"/>
        <v>164295312.57999998</v>
      </c>
    </row>
    <row r="1607" spans="1:6" x14ac:dyDescent="0.2">
      <c r="A1607" s="3">
        <v>45681</v>
      </c>
      <c r="B1607" s="43">
        <v>15336294</v>
      </c>
      <c r="C1607" s="20" t="s">
        <v>84</v>
      </c>
      <c r="D1607" s="18">
        <v>1035880</v>
      </c>
      <c r="E1607" s="19"/>
      <c r="F1607" s="15">
        <f t="shared" si="27"/>
        <v>163259432.57999998</v>
      </c>
    </row>
    <row r="1608" spans="1:6" x14ac:dyDescent="0.2">
      <c r="A1608" s="3">
        <v>45681</v>
      </c>
      <c r="B1608" s="43">
        <v>15336295</v>
      </c>
      <c r="C1608" s="20" t="s">
        <v>84</v>
      </c>
      <c r="D1608" s="18">
        <v>722190</v>
      </c>
      <c r="E1608" s="19"/>
      <c r="F1608" s="15">
        <f t="shared" si="27"/>
        <v>162537242.57999998</v>
      </c>
    </row>
    <row r="1609" spans="1:6" x14ac:dyDescent="0.2">
      <c r="A1609" s="3">
        <v>45681</v>
      </c>
      <c r="B1609" s="43">
        <v>15336296</v>
      </c>
      <c r="C1609" s="20" t="s">
        <v>84</v>
      </c>
      <c r="D1609" s="18">
        <v>2010000</v>
      </c>
      <c r="E1609" s="19"/>
      <c r="F1609" s="15">
        <f t="shared" si="27"/>
        <v>160527242.57999998</v>
      </c>
    </row>
    <row r="1610" spans="1:6" x14ac:dyDescent="0.2">
      <c r="A1610" s="3">
        <v>45681</v>
      </c>
      <c r="B1610" s="43">
        <v>15336297</v>
      </c>
      <c r="C1610" s="20" t="s">
        <v>84</v>
      </c>
      <c r="D1610" s="18">
        <v>75000</v>
      </c>
      <c r="E1610" s="19"/>
      <c r="F1610" s="15">
        <f t="shared" si="27"/>
        <v>160452242.57999998</v>
      </c>
    </row>
    <row r="1611" spans="1:6" x14ac:dyDescent="0.2">
      <c r="A1611" s="3">
        <v>45681</v>
      </c>
      <c r="B1611" s="46">
        <v>15336298</v>
      </c>
      <c r="C1611" s="9" t="s">
        <v>84</v>
      </c>
      <c r="D1611" s="48">
        <v>134400</v>
      </c>
      <c r="E1611" s="49"/>
      <c r="F1611" s="15">
        <f t="shared" si="27"/>
        <v>160317842.57999998</v>
      </c>
    </row>
    <row r="1612" spans="1:6" x14ac:dyDescent="0.2">
      <c r="A1612" s="3">
        <v>45681</v>
      </c>
      <c r="B1612" s="44">
        <v>15336299</v>
      </c>
      <c r="C1612" s="28" t="s">
        <v>84</v>
      </c>
      <c r="D1612" s="23">
        <v>289180</v>
      </c>
      <c r="E1612" s="24"/>
      <c r="F1612" s="15">
        <f t="shared" si="27"/>
        <v>160028662.57999998</v>
      </c>
    </row>
    <row r="1613" spans="1:6" x14ac:dyDescent="0.2">
      <c r="A1613" s="3">
        <v>45681</v>
      </c>
      <c r="B1613" s="43">
        <v>15336300</v>
      </c>
      <c r="C1613" s="20" t="s">
        <v>84</v>
      </c>
      <c r="D1613" s="18">
        <v>136800</v>
      </c>
      <c r="E1613" s="19"/>
      <c r="F1613" s="15">
        <f t="shared" si="27"/>
        <v>159891862.57999998</v>
      </c>
    </row>
    <row r="1614" spans="1:6" x14ac:dyDescent="0.2">
      <c r="A1614" s="3">
        <v>45681</v>
      </c>
      <c r="B1614" s="43">
        <v>15336301</v>
      </c>
      <c r="C1614" s="20" t="s">
        <v>84</v>
      </c>
      <c r="D1614" s="18">
        <v>637790</v>
      </c>
      <c r="E1614" s="19"/>
      <c r="F1614" s="15">
        <f t="shared" si="27"/>
        <v>159254072.57999998</v>
      </c>
    </row>
    <row r="1615" spans="1:6" x14ac:dyDescent="0.2">
      <c r="A1615" s="3">
        <v>45681</v>
      </c>
      <c r="B1615" s="43">
        <v>15336302</v>
      </c>
      <c r="C1615" s="20" t="s">
        <v>84</v>
      </c>
      <c r="D1615" s="18">
        <v>1269390</v>
      </c>
      <c r="E1615" s="19"/>
      <c r="F1615" s="15">
        <f t="shared" si="27"/>
        <v>157984682.57999998</v>
      </c>
    </row>
    <row r="1616" spans="1:6" x14ac:dyDescent="0.2">
      <c r="A1616" s="3">
        <v>45681</v>
      </c>
      <c r="B1616" s="43">
        <v>15336303</v>
      </c>
      <c r="C1616" s="20" t="s">
        <v>84</v>
      </c>
      <c r="D1616" s="18">
        <v>570520</v>
      </c>
      <c r="E1616" s="19"/>
      <c r="F1616" s="15">
        <f t="shared" si="27"/>
        <v>157414162.57999998</v>
      </c>
    </row>
    <row r="1617" spans="1:6" x14ac:dyDescent="0.2">
      <c r="A1617" s="3">
        <v>45681</v>
      </c>
      <c r="B1617" s="43">
        <v>15336304</v>
      </c>
      <c r="C1617" s="20" t="s">
        <v>84</v>
      </c>
      <c r="D1617" s="18">
        <v>535000</v>
      </c>
      <c r="E1617" s="19"/>
      <c r="F1617" s="15">
        <f t="shared" si="27"/>
        <v>156879162.57999998</v>
      </c>
    </row>
    <row r="1618" spans="1:6" x14ac:dyDescent="0.2">
      <c r="A1618" s="3">
        <v>45681</v>
      </c>
      <c r="B1618" s="43">
        <v>15336305</v>
      </c>
      <c r="C1618" s="20" t="s">
        <v>84</v>
      </c>
      <c r="D1618" s="18">
        <v>200000</v>
      </c>
      <c r="E1618" s="19"/>
      <c r="F1618" s="15">
        <f t="shared" si="27"/>
        <v>156679162.57999998</v>
      </c>
    </row>
    <row r="1619" spans="1:6" x14ac:dyDescent="0.2">
      <c r="A1619" s="3">
        <v>45681</v>
      </c>
      <c r="B1619" s="43">
        <v>15336306</v>
      </c>
      <c r="C1619" s="20" t="s">
        <v>84</v>
      </c>
      <c r="D1619" s="18">
        <v>532500</v>
      </c>
      <c r="E1619" s="19"/>
      <c r="F1619" s="15">
        <f t="shared" si="27"/>
        <v>156146662.57999998</v>
      </c>
    </row>
    <row r="1620" spans="1:6" x14ac:dyDescent="0.2">
      <c r="A1620" s="3">
        <v>45681</v>
      </c>
      <c r="B1620" s="43">
        <v>15336307</v>
      </c>
      <c r="C1620" s="20" t="s">
        <v>84</v>
      </c>
      <c r="D1620" s="18">
        <v>710900</v>
      </c>
      <c r="E1620" s="19"/>
      <c r="F1620" s="15">
        <f t="shared" si="27"/>
        <v>155435762.57999998</v>
      </c>
    </row>
    <row r="1621" spans="1:6" x14ac:dyDescent="0.2">
      <c r="A1621" s="3">
        <v>45681</v>
      </c>
      <c r="B1621" s="43">
        <v>15336308</v>
      </c>
      <c r="C1621" s="20" t="s">
        <v>84</v>
      </c>
      <c r="D1621" s="18">
        <v>522500</v>
      </c>
      <c r="E1621" s="19"/>
      <c r="F1621" s="15">
        <f t="shared" si="27"/>
        <v>154913262.57999998</v>
      </c>
    </row>
    <row r="1622" spans="1:6" x14ac:dyDescent="0.2">
      <c r="A1622" s="3">
        <v>45681</v>
      </c>
      <c r="B1622" s="43">
        <v>15336309</v>
      </c>
      <c r="C1622" s="20" t="s">
        <v>84</v>
      </c>
      <c r="D1622" s="18">
        <v>142500</v>
      </c>
      <c r="E1622" s="19"/>
      <c r="F1622" s="15">
        <f t="shared" si="27"/>
        <v>154770762.57999998</v>
      </c>
    </row>
    <row r="1623" spans="1:6" x14ac:dyDescent="0.2">
      <c r="A1623" s="3">
        <v>45681</v>
      </c>
      <c r="B1623" s="43">
        <v>15336310</v>
      </c>
      <c r="C1623" s="20" t="s">
        <v>84</v>
      </c>
      <c r="D1623" s="18">
        <v>247500</v>
      </c>
      <c r="E1623" s="19"/>
      <c r="F1623" s="15">
        <f t="shared" si="27"/>
        <v>154523262.57999998</v>
      </c>
    </row>
    <row r="1624" spans="1:6" x14ac:dyDescent="0.2">
      <c r="A1624" s="3">
        <v>45681</v>
      </c>
      <c r="B1624" s="43">
        <v>15336311</v>
      </c>
      <c r="C1624" s="20" t="s">
        <v>84</v>
      </c>
      <c r="D1624" s="18">
        <v>1515000</v>
      </c>
      <c r="E1624" s="19"/>
      <c r="F1624" s="15">
        <f t="shared" si="27"/>
        <v>153008262.57999998</v>
      </c>
    </row>
    <row r="1625" spans="1:6" x14ac:dyDescent="0.2">
      <c r="A1625" s="3">
        <v>45681</v>
      </c>
      <c r="B1625" s="43">
        <v>15336312</v>
      </c>
      <c r="C1625" s="20" t="s">
        <v>84</v>
      </c>
      <c r="D1625" s="18">
        <v>169200</v>
      </c>
      <c r="E1625" s="19"/>
      <c r="F1625" s="15">
        <f t="shared" si="27"/>
        <v>152839062.57999998</v>
      </c>
    </row>
    <row r="1626" spans="1:6" x14ac:dyDescent="0.2">
      <c r="A1626" s="3">
        <v>45681</v>
      </c>
      <c r="B1626" s="43">
        <v>15336313</v>
      </c>
      <c r="C1626" s="20" t="s">
        <v>84</v>
      </c>
      <c r="D1626" s="18">
        <v>1740000</v>
      </c>
      <c r="E1626" s="19"/>
      <c r="F1626" s="15">
        <f t="shared" si="27"/>
        <v>151099062.57999998</v>
      </c>
    </row>
    <row r="1627" spans="1:6" x14ac:dyDescent="0.2">
      <c r="A1627" s="3">
        <v>45681</v>
      </c>
      <c r="B1627" s="43">
        <v>15336314</v>
      </c>
      <c r="C1627" s="20" t="s">
        <v>84</v>
      </c>
      <c r="D1627" s="18">
        <v>900000</v>
      </c>
      <c r="E1627" s="19"/>
      <c r="F1627" s="15">
        <f t="shared" si="27"/>
        <v>150199062.57999998</v>
      </c>
    </row>
    <row r="1628" spans="1:6" x14ac:dyDescent="0.2">
      <c r="A1628" s="3">
        <v>45681</v>
      </c>
      <c r="B1628" s="43">
        <v>15336315</v>
      </c>
      <c r="C1628" s="20" t="s">
        <v>84</v>
      </c>
      <c r="D1628" s="18">
        <v>2685000</v>
      </c>
      <c r="E1628" s="19"/>
      <c r="F1628" s="15">
        <f t="shared" si="27"/>
        <v>147514062.57999998</v>
      </c>
    </row>
    <row r="1629" spans="1:6" x14ac:dyDescent="0.2">
      <c r="A1629" s="3">
        <v>45681</v>
      </c>
      <c r="B1629" s="43">
        <v>15336316</v>
      </c>
      <c r="C1629" s="20" t="s">
        <v>84</v>
      </c>
      <c r="D1629" s="18">
        <v>1357890</v>
      </c>
      <c r="E1629" s="19"/>
      <c r="F1629" s="15">
        <f t="shared" si="27"/>
        <v>146156172.57999998</v>
      </c>
    </row>
    <row r="1630" spans="1:6" x14ac:dyDescent="0.2">
      <c r="A1630" s="3">
        <v>45681</v>
      </c>
      <c r="B1630" s="43">
        <v>15336317</v>
      </c>
      <c r="C1630" s="20" t="s">
        <v>84</v>
      </c>
      <c r="D1630" s="18">
        <v>462000</v>
      </c>
      <c r="E1630" s="19"/>
      <c r="F1630" s="15">
        <f t="shared" si="27"/>
        <v>145694172.57999998</v>
      </c>
    </row>
    <row r="1631" spans="1:6" x14ac:dyDescent="0.2">
      <c r="A1631" s="3">
        <v>45681</v>
      </c>
      <c r="B1631" s="43">
        <v>15336318</v>
      </c>
      <c r="C1631" s="20" t="s">
        <v>84</v>
      </c>
      <c r="D1631" s="18">
        <v>2360000</v>
      </c>
      <c r="E1631" s="19"/>
      <c r="F1631" s="15">
        <f t="shared" si="27"/>
        <v>143334172.57999998</v>
      </c>
    </row>
    <row r="1632" spans="1:6" x14ac:dyDescent="0.2">
      <c r="A1632" s="3">
        <v>45681</v>
      </c>
      <c r="B1632" s="43">
        <v>15336319</v>
      </c>
      <c r="C1632" s="20" t="s">
        <v>84</v>
      </c>
      <c r="D1632" s="18">
        <v>1980000</v>
      </c>
      <c r="E1632" s="19"/>
      <c r="F1632" s="15">
        <f t="shared" si="27"/>
        <v>141354172.57999998</v>
      </c>
    </row>
    <row r="1633" spans="1:6" x14ac:dyDescent="0.2">
      <c r="A1633" s="3">
        <v>45681</v>
      </c>
      <c r="B1633" s="43">
        <v>15336320</v>
      </c>
      <c r="C1633" s="20" t="s">
        <v>84</v>
      </c>
      <c r="D1633" s="18">
        <v>2403500</v>
      </c>
      <c r="E1633" s="19"/>
      <c r="F1633" s="15">
        <f t="shared" si="27"/>
        <v>138950672.57999998</v>
      </c>
    </row>
    <row r="1634" spans="1:6" x14ac:dyDescent="0.2">
      <c r="A1634" s="3">
        <v>45681</v>
      </c>
      <c r="B1634" s="46">
        <v>15336321</v>
      </c>
      <c r="C1634" s="9" t="s">
        <v>84</v>
      </c>
      <c r="D1634" s="48">
        <v>1388000</v>
      </c>
      <c r="E1634" s="49"/>
      <c r="F1634" s="15">
        <f t="shared" si="27"/>
        <v>137562672.57999998</v>
      </c>
    </row>
    <row r="1635" spans="1:6" x14ac:dyDescent="0.2">
      <c r="A1635" s="3">
        <v>45681</v>
      </c>
      <c r="B1635" s="44">
        <v>15336322</v>
      </c>
      <c r="C1635" s="28" t="s">
        <v>84</v>
      </c>
      <c r="D1635" s="23">
        <v>800000</v>
      </c>
      <c r="E1635" s="24"/>
      <c r="F1635" s="15">
        <f t="shared" si="27"/>
        <v>136762672.57999998</v>
      </c>
    </row>
    <row r="1636" spans="1:6" x14ac:dyDescent="0.2">
      <c r="A1636" s="3">
        <v>45681</v>
      </c>
      <c r="B1636" s="43">
        <v>15336323</v>
      </c>
      <c r="C1636" s="20" t="s">
        <v>84</v>
      </c>
      <c r="D1636" s="18">
        <v>937858</v>
      </c>
      <c r="E1636" s="19"/>
      <c r="F1636" s="15">
        <f t="shared" ref="F1636:F1699" si="28">+F1635+E1636-D1636</f>
        <v>135824814.57999998</v>
      </c>
    </row>
    <row r="1637" spans="1:6" x14ac:dyDescent="0.2">
      <c r="A1637" s="3">
        <v>45681</v>
      </c>
      <c r="B1637" s="43">
        <v>15336324</v>
      </c>
      <c r="C1637" s="20" t="s">
        <v>84</v>
      </c>
      <c r="D1637" s="18">
        <v>120000</v>
      </c>
      <c r="E1637" s="19"/>
      <c r="F1637" s="15">
        <f t="shared" si="28"/>
        <v>135704814.57999998</v>
      </c>
    </row>
    <row r="1638" spans="1:6" x14ac:dyDescent="0.2">
      <c r="A1638" s="3">
        <v>45681</v>
      </c>
      <c r="B1638" s="43">
        <v>15336325</v>
      </c>
      <c r="C1638" s="20" t="s">
        <v>84</v>
      </c>
      <c r="D1638" s="18">
        <v>358150</v>
      </c>
      <c r="E1638" s="19"/>
      <c r="F1638" s="15">
        <f t="shared" si="28"/>
        <v>135346664.57999998</v>
      </c>
    </row>
    <row r="1639" spans="1:6" x14ac:dyDescent="0.2">
      <c r="A1639" s="3">
        <v>45681</v>
      </c>
      <c r="B1639" s="43">
        <v>15336326</v>
      </c>
      <c r="C1639" s="20" t="s">
        <v>84</v>
      </c>
      <c r="D1639" s="18">
        <v>1517100</v>
      </c>
      <c r="E1639" s="19"/>
      <c r="F1639" s="15">
        <f t="shared" si="28"/>
        <v>133829564.57999998</v>
      </c>
    </row>
    <row r="1640" spans="1:6" x14ac:dyDescent="0.2">
      <c r="A1640" s="3">
        <v>45681</v>
      </c>
      <c r="B1640" s="43">
        <v>15336327</v>
      </c>
      <c r="C1640" s="20" t="s">
        <v>84</v>
      </c>
      <c r="D1640" s="18">
        <v>300000</v>
      </c>
      <c r="E1640" s="19"/>
      <c r="F1640" s="15">
        <f t="shared" si="28"/>
        <v>133529564.57999998</v>
      </c>
    </row>
    <row r="1641" spans="1:6" x14ac:dyDescent="0.2">
      <c r="A1641" s="3">
        <v>45681</v>
      </c>
      <c r="B1641" s="43">
        <v>15336328</v>
      </c>
      <c r="C1641" s="20" t="s">
        <v>84</v>
      </c>
      <c r="D1641" s="18">
        <v>1355200</v>
      </c>
      <c r="E1641" s="19"/>
      <c r="F1641" s="15">
        <f t="shared" si="28"/>
        <v>132174364.57999998</v>
      </c>
    </row>
    <row r="1642" spans="1:6" x14ac:dyDescent="0.2">
      <c r="A1642" s="3">
        <v>45681</v>
      </c>
      <c r="B1642" s="43">
        <v>15336329</v>
      </c>
      <c r="C1642" s="20" t="s">
        <v>84</v>
      </c>
      <c r="D1642" s="18">
        <v>969000</v>
      </c>
      <c r="E1642" s="19"/>
      <c r="F1642" s="15">
        <f t="shared" si="28"/>
        <v>131205364.57999998</v>
      </c>
    </row>
    <row r="1643" spans="1:6" x14ac:dyDescent="0.2">
      <c r="A1643" s="3">
        <v>45681</v>
      </c>
      <c r="B1643" s="43">
        <v>15336330</v>
      </c>
      <c r="C1643" s="20" t="s">
        <v>84</v>
      </c>
      <c r="D1643" s="18">
        <v>79800</v>
      </c>
      <c r="E1643" s="19"/>
      <c r="F1643" s="15">
        <f t="shared" si="28"/>
        <v>131125564.57999998</v>
      </c>
    </row>
    <row r="1644" spans="1:6" x14ac:dyDescent="0.2">
      <c r="A1644" s="3">
        <v>45681</v>
      </c>
      <c r="B1644" s="43">
        <v>15336331</v>
      </c>
      <c r="C1644" s="20" t="s">
        <v>84</v>
      </c>
      <c r="D1644" s="18">
        <v>242000</v>
      </c>
      <c r="E1644" s="19"/>
      <c r="F1644" s="15">
        <f t="shared" si="28"/>
        <v>130883564.57999998</v>
      </c>
    </row>
    <row r="1645" spans="1:6" x14ac:dyDescent="0.2">
      <c r="A1645" s="3">
        <v>45681</v>
      </c>
      <c r="B1645" s="43">
        <v>15336332</v>
      </c>
      <c r="C1645" s="20" t="s">
        <v>84</v>
      </c>
      <c r="D1645" s="18">
        <v>747840</v>
      </c>
      <c r="E1645" s="19"/>
      <c r="F1645" s="15">
        <f t="shared" si="28"/>
        <v>130135724.57999998</v>
      </c>
    </row>
    <row r="1646" spans="1:6" x14ac:dyDescent="0.2">
      <c r="A1646" s="3">
        <v>45681</v>
      </c>
      <c r="B1646" s="43">
        <v>15336333</v>
      </c>
      <c r="C1646" s="20" t="s">
        <v>84</v>
      </c>
      <c r="D1646" s="18">
        <v>444000</v>
      </c>
      <c r="E1646" s="19"/>
      <c r="F1646" s="15">
        <f t="shared" si="28"/>
        <v>129691724.57999998</v>
      </c>
    </row>
    <row r="1647" spans="1:6" x14ac:dyDescent="0.2">
      <c r="A1647" s="3">
        <v>45681</v>
      </c>
      <c r="B1647" s="43">
        <v>15336334</v>
      </c>
      <c r="C1647" s="20" t="s">
        <v>84</v>
      </c>
      <c r="D1647" s="18">
        <v>718200</v>
      </c>
      <c r="E1647" s="19"/>
      <c r="F1647" s="15">
        <f t="shared" si="28"/>
        <v>128973524.57999998</v>
      </c>
    </row>
    <row r="1648" spans="1:6" x14ac:dyDescent="0.2">
      <c r="A1648" s="3">
        <v>45681</v>
      </c>
      <c r="B1648" s="43">
        <v>15336335</v>
      </c>
      <c r="C1648" s="20" t="s">
        <v>84</v>
      </c>
      <c r="D1648" s="18">
        <v>180000</v>
      </c>
      <c r="E1648" s="19"/>
      <c r="F1648" s="15">
        <f t="shared" si="28"/>
        <v>128793524.57999998</v>
      </c>
    </row>
    <row r="1649" spans="1:6" x14ac:dyDescent="0.2">
      <c r="A1649" s="3">
        <v>45681</v>
      </c>
      <c r="B1649" s="43">
        <v>15336336</v>
      </c>
      <c r="C1649" s="20" t="s">
        <v>84</v>
      </c>
      <c r="D1649" s="18">
        <v>1100000</v>
      </c>
      <c r="E1649" s="19"/>
      <c r="F1649" s="15">
        <f t="shared" si="28"/>
        <v>127693524.57999998</v>
      </c>
    </row>
    <row r="1650" spans="1:6" x14ac:dyDescent="0.2">
      <c r="A1650" s="3">
        <v>45681</v>
      </c>
      <c r="B1650" s="43">
        <v>15336337</v>
      </c>
      <c r="C1650" s="20" t="s">
        <v>84</v>
      </c>
      <c r="D1650" s="18">
        <v>1003675</v>
      </c>
      <c r="E1650" s="19"/>
      <c r="F1650" s="15">
        <f t="shared" si="28"/>
        <v>126689849.57999998</v>
      </c>
    </row>
    <row r="1651" spans="1:6" x14ac:dyDescent="0.2">
      <c r="A1651" s="3">
        <v>45681</v>
      </c>
      <c r="B1651" s="43">
        <v>15336338</v>
      </c>
      <c r="C1651" s="20" t="s">
        <v>84</v>
      </c>
      <c r="D1651" s="18">
        <v>374500</v>
      </c>
      <c r="E1651" s="19"/>
      <c r="F1651" s="15">
        <f t="shared" si="28"/>
        <v>126315349.57999998</v>
      </c>
    </row>
    <row r="1652" spans="1:6" x14ac:dyDescent="0.2">
      <c r="A1652" s="3">
        <v>45681</v>
      </c>
      <c r="B1652" s="43">
        <v>15336339</v>
      </c>
      <c r="C1652" s="20" t="s">
        <v>84</v>
      </c>
      <c r="D1652" s="18">
        <v>355200</v>
      </c>
      <c r="E1652" s="19"/>
      <c r="F1652" s="15">
        <f t="shared" si="28"/>
        <v>125960149.57999998</v>
      </c>
    </row>
    <row r="1653" spans="1:6" x14ac:dyDescent="0.2">
      <c r="A1653" s="3">
        <v>45681</v>
      </c>
      <c r="B1653" s="43">
        <v>15336340</v>
      </c>
      <c r="C1653" s="20" t="s">
        <v>84</v>
      </c>
      <c r="D1653" s="18">
        <v>336000</v>
      </c>
      <c r="E1653" s="19"/>
      <c r="F1653" s="15">
        <f t="shared" si="28"/>
        <v>125624149.57999998</v>
      </c>
    </row>
    <row r="1654" spans="1:6" x14ac:dyDescent="0.2">
      <c r="A1654" s="3">
        <v>45681</v>
      </c>
      <c r="B1654" s="43">
        <v>15336341</v>
      </c>
      <c r="C1654" s="20" t="s">
        <v>84</v>
      </c>
      <c r="D1654" s="18">
        <v>665000</v>
      </c>
      <c r="E1654" s="19"/>
      <c r="F1654" s="15">
        <f t="shared" si="28"/>
        <v>124959149.57999998</v>
      </c>
    </row>
    <row r="1655" spans="1:6" x14ac:dyDescent="0.2">
      <c r="A1655" s="3">
        <v>45681</v>
      </c>
      <c r="B1655" s="43">
        <v>15336342</v>
      </c>
      <c r="C1655" s="20" t="s">
        <v>84</v>
      </c>
      <c r="D1655" s="18">
        <v>627200</v>
      </c>
      <c r="E1655" s="19"/>
      <c r="F1655" s="15">
        <f t="shared" si="28"/>
        <v>124331949.57999998</v>
      </c>
    </row>
    <row r="1656" spans="1:6" x14ac:dyDescent="0.2">
      <c r="A1656" s="3">
        <v>45681</v>
      </c>
      <c r="B1656" s="43">
        <v>15336343</v>
      </c>
      <c r="C1656" s="20" t="s">
        <v>84</v>
      </c>
      <c r="D1656" s="18">
        <v>350000</v>
      </c>
      <c r="E1656" s="19"/>
      <c r="F1656" s="15">
        <f t="shared" si="28"/>
        <v>123981949.57999998</v>
      </c>
    </row>
    <row r="1657" spans="1:6" x14ac:dyDescent="0.2">
      <c r="A1657" s="3">
        <v>45681</v>
      </c>
      <c r="B1657" s="43">
        <v>18489575</v>
      </c>
      <c r="C1657" s="20" t="s">
        <v>273</v>
      </c>
      <c r="D1657" s="18">
        <v>22453.599999999999</v>
      </c>
      <c r="E1657" s="19"/>
      <c r="F1657" s="15">
        <f t="shared" si="28"/>
        <v>123959495.97999999</v>
      </c>
    </row>
    <row r="1658" spans="1:6" x14ac:dyDescent="0.2">
      <c r="A1658" s="3">
        <v>45681</v>
      </c>
      <c r="B1658" s="46">
        <v>18413333</v>
      </c>
      <c r="C1658" s="9" t="s">
        <v>274</v>
      </c>
      <c r="D1658" s="48">
        <v>87120</v>
      </c>
      <c r="E1658" s="49"/>
      <c r="F1658" s="15">
        <f t="shared" si="28"/>
        <v>123872375.97999999</v>
      </c>
    </row>
    <row r="1659" spans="1:6" x14ac:dyDescent="0.2">
      <c r="A1659" s="3">
        <v>45681</v>
      </c>
      <c r="B1659" s="50"/>
      <c r="C1659" s="22" t="s">
        <v>88</v>
      </c>
      <c r="D1659" s="23">
        <v>27442325</v>
      </c>
      <c r="E1659" s="24"/>
      <c r="F1659" s="15">
        <f t="shared" si="28"/>
        <v>96430050.979999989</v>
      </c>
    </row>
    <row r="1660" spans="1:6" x14ac:dyDescent="0.2">
      <c r="A1660" s="3">
        <v>45681</v>
      </c>
      <c r="B1660" s="45"/>
      <c r="C1660" s="17" t="s">
        <v>34</v>
      </c>
      <c r="D1660" s="18">
        <v>1200</v>
      </c>
      <c r="E1660" s="19"/>
      <c r="F1660" s="15">
        <f t="shared" si="28"/>
        <v>96428850.979999989</v>
      </c>
    </row>
    <row r="1661" spans="1:6" x14ac:dyDescent="0.2">
      <c r="A1661" s="3">
        <v>45681</v>
      </c>
      <c r="B1661" s="45"/>
      <c r="C1661" s="17" t="s">
        <v>16</v>
      </c>
      <c r="D1661" s="18">
        <v>508205.98</v>
      </c>
      <c r="E1661" s="19"/>
      <c r="F1661" s="15">
        <f t="shared" si="28"/>
        <v>95920644.999999985</v>
      </c>
    </row>
    <row r="1662" spans="1:6" x14ac:dyDescent="0.2">
      <c r="A1662" s="3">
        <v>45681</v>
      </c>
      <c r="B1662" s="43">
        <v>14357</v>
      </c>
      <c r="C1662" s="20" t="s">
        <v>7</v>
      </c>
      <c r="D1662" s="18">
        <v>1485</v>
      </c>
      <c r="E1662" s="19"/>
      <c r="F1662" s="15">
        <f t="shared" si="28"/>
        <v>95919159.999999985</v>
      </c>
    </row>
    <row r="1663" spans="1:6" x14ac:dyDescent="0.2">
      <c r="A1663" s="3">
        <v>45681</v>
      </c>
      <c r="B1663" s="43">
        <v>14357</v>
      </c>
      <c r="C1663" s="17" t="s">
        <v>227</v>
      </c>
      <c r="D1663" s="18">
        <v>311.85000000000002</v>
      </c>
      <c r="E1663" s="19"/>
      <c r="F1663" s="15">
        <f t="shared" si="28"/>
        <v>95918848.149999991</v>
      </c>
    </row>
    <row r="1664" spans="1:6" x14ac:dyDescent="0.2">
      <c r="A1664" s="3">
        <v>45681</v>
      </c>
      <c r="B1664" s="43">
        <v>14358</v>
      </c>
      <c r="C1664" s="20" t="s">
        <v>7</v>
      </c>
      <c r="D1664" s="18">
        <v>1485</v>
      </c>
      <c r="E1664" s="19"/>
      <c r="F1664" s="15">
        <f t="shared" si="28"/>
        <v>95917363.149999991</v>
      </c>
    </row>
    <row r="1665" spans="1:6" x14ac:dyDescent="0.2">
      <c r="A1665" s="3">
        <v>45681</v>
      </c>
      <c r="B1665" s="43">
        <v>14358</v>
      </c>
      <c r="C1665" s="17" t="s">
        <v>227</v>
      </c>
      <c r="D1665" s="18">
        <v>311.85000000000002</v>
      </c>
      <c r="E1665" s="19"/>
      <c r="F1665" s="15">
        <f t="shared" si="28"/>
        <v>95917051.299999997</v>
      </c>
    </row>
    <row r="1666" spans="1:6" x14ac:dyDescent="0.2">
      <c r="A1666" s="3">
        <v>45684</v>
      </c>
      <c r="B1666" s="43">
        <v>32035</v>
      </c>
      <c r="C1666" s="17" t="s">
        <v>9</v>
      </c>
      <c r="D1666" s="18">
        <v>1124420</v>
      </c>
      <c r="E1666" s="19"/>
      <c r="F1666" s="15">
        <f t="shared" si="28"/>
        <v>94792631.299999997</v>
      </c>
    </row>
    <row r="1667" spans="1:6" x14ac:dyDescent="0.2">
      <c r="A1667" s="3">
        <v>45684</v>
      </c>
      <c r="B1667" s="45"/>
      <c r="C1667" s="20" t="s">
        <v>103</v>
      </c>
      <c r="D1667" s="18">
        <v>2000</v>
      </c>
      <c r="E1667" s="19"/>
      <c r="F1667" s="15">
        <f t="shared" si="28"/>
        <v>94790631.299999997</v>
      </c>
    </row>
    <row r="1668" spans="1:6" x14ac:dyDescent="0.2">
      <c r="A1668" s="3">
        <v>45684</v>
      </c>
      <c r="B1668" s="45"/>
      <c r="C1668" s="17" t="s">
        <v>227</v>
      </c>
      <c r="D1668" s="18">
        <v>420</v>
      </c>
      <c r="E1668" s="19"/>
      <c r="F1668" s="15">
        <f t="shared" si="28"/>
        <v>94790211.299999997</v>
      </c>
    </row>
    <row r="1669" spans="1:6" x14ac:dyDescent="0.2">
      <c r="A1669" s="3">
        <v>45684</v>
      </c>
      <c r="B1669" s="45"/>
      <c r="C1669" s="17" t="s">
        <v>37</v>
      </c>
      <c r="D1669" s="18">
        <v>60</v>
      </c>
      <c r="E1669" s="19"/>
      <c r="F1669" s="15">
        <f t="shared" si="28"/>
        <v>94790151.299999997</v>
      </c>
    </row>
    <row r="1670" spans="1:6" x14ac:dyDescent="0.2">
      <c r="A1670" s="3">
        <v>45684</v>
      </c>
      <c r="B1670" s="43">
        <v>52284</v>
      </c>
      <c r="C1670" s="20" t="s">
        <v>46</v>
      </c>
      <c r="D1670" s="18">
        <v>3144544.23</v>
      </c>
      <c r="E1670" s="19"/>
      <c r="F1670" s="15">
        <f t="shared" si="28"/>
        <v>91645607.069999993</v>
      </c>
    </row>
    <row r="1671" spans="1:6" x14ac:dyDescent="0.2">
      <c r="A1671" s="3">
        <v>45684</v>
      </c>
      <c r="B1671" s="43">
        <v>39804179</v>
      </c>
      <c r="C1671" s="20" t="s">
        <v>177</v>
      </c>
      <c r="D1671" s="18">
        <v>68068.13</v>
      </c>
      <c r="E1671" s="19"/>
      <c r="F1671" s="15">
        <f t="shared" si="28"/>
        <v>91577538.939999998</v>
      </c>
    </row>
    <row r="1672" spans="1:6" x14ac:dyDescent="0.2">
      <c r="A1672" s="3">
        <v>45684</v>
      </c>
      <c r="B1672" s="43">
        <v>40953342</v>
      </c>
      <c r="C1672" s="20" t="s">
        <v>177</v>
      </c>
      <c r="D1672" s="18">
        <v>1996440.89</v>
      </c>
      <c r="E1672" s="19"/>
      <c r="F1672" s="15">
        <f t="shared" si="28"/>
        <v>89581098.049999997</v>
      </c>
    </row>
    <row r="1673" spans="1:6" x14ac:dyDescent="0.2">
      <c r="A1673" s="3">
        <v>45684</v>
      </c>
      <c r="B1673" s="43">
        <v>225401</v>
      </c>
      <c r="C1673" s="20" t="s">
        <v>275</v>
      </c>
      <c r="D1673" s="19"/>
      <c r="E1673" s="18">
        <v>15444</v>
      </c>
      <c r="F1673" s="15">
        <f t="shared" si="28"/>
        <v>89596542.049999997</v>
      </c>
    </row>
    <row r="1674" spans="1:6" x14ac:dyDescent="0.2">
      <c r="A1674" s="3">
        <v>45684</v>
      </c>
      <c r="B1674" s="43">
        <v>18549021</v>
      </c>
      <c r="C1674" s="20" t="s">
        <v>276</v>
      </c>
      <c r="D1674" s="19"/>
      <c r="E1674" s="18">
        <v>15000</v>
      </c>
      <c r="F1674" s="15">
        <f t="shared" si="28"/>
        <v>89611542.049999997</v>
      </c>
    </row>
    <row r="1675" spans="1:6" x14ac:dyDescent="0.2">
      <c r="A1675" s="3">
        <v>45684</v>
      </c>
      <c r="B1675" s="43">
        <v>31887</v>
      </c>
      <c r="C1675" s="17" t="s">
        <v>12</v>
      </c>
      <c r="D1675" s="18">
        <v>104946.41</v>
      </c>
      <c r="E1675" s="19"/>
      <c r="F1675" s="15">
        <f t="shared" si="28"/>
        <v>89506595.640000001</v>
      </c>
    </row>
    <row r="1676" spans="1:6" x14ac:dyDescent="0.2">
      <c r="A1676" s="3">
        <v>45684</v>
      </c>
      <c r="B1676" s="43">
        <v>31863</v>
      </c>
      <c r="C1676" s="17" t="s">
        <v>12</v>
      </c>
      <c r="D1676" s="18">
        <v>312139.62</v>
      </c>
      <c r="E1676" s="19"/>
      <c r="F1676" s="15">
        <f t="shared" si="28"/>
        <v>89194456.019999996</v>
      </c>
    </row>
    <row r="1677" spans="1:6" x14ac:dyDescent="0.2">
      <c r="A1677" s="3">
        <v>45684</v>
      </c>
      <c r="B1677" s="43">
        <v>31828</v>
      </c>
      <c r="C1677" s="17" t="s">
        <v>12</v>
      </c>
      <c r="D1677" s="18">
        <v>1083636.3899999999</v>
      </c>
      <c r="E1677" s="19"/>
      <c r="F1677" s="15">
        <f t="shared" si="28"/>
        <v>88110819.629999995</v>
      </c>
    </row>
    <row r="1678" spans="1:6" x14ac:dyDescent="0.2">
      <c r="A1678" s="3">
        <v>45684</v>
      </c>
      <c r="B1678" s="43">
        <v>31866</v>
      </c>
      <c r="C1678" s="17" t="s">
        <v>12</v>
      </c>
      <c r="D1678" s="18">
        <v>3240000</v>
      </c>
      <c r="E1678" s="19"/>
      <c r="F1678" s="15">
        <f t="shared" si="28"/>
        <v>84870819.629999995</v>
      </c>
    </row>
    <row r="1679" spans="1:6" x14ac:dyDescent="0.2">
      <c r="A1679" s="3">
        <v>45684</v>
      </c>
      <c r="B1679" s="45"/>
      <c r="C1679" s="17" t="s">
        <v>16</v>
      </c>
      <c r="D1679" s="18">
        <v>66481.63</v>
      </c>
      <c r="E1679" s="19"/>
      <c r="F1679" s="15">
        <f t="shared" si="28"/>
        <v>84804338</v>
      </c>
    </row>
    <row r="1680" spans="1:6" x14ac:dyDescent="0.2">
      <c r="A1680" s="3">
        <v>45684</v>
      </c>
      <c r="B1680" s="45"/>
      <c r="C1680" s="17" t="s">
        <v>22</v>
      </c>
      <c r="D1680" s="18">
        <v>182.66</v>
      </c>
      <c r="E1680" s="19"/>
      <c r="F1680" s="15">
        <f t="shared" si="28"/>
        <v>84804155.340000004</v>
      </c>
    </row>
    <row r="1681" spans="1:6" x14ac:dyDescent="0.2">
      <c r="A1681" s="3">
        <v>45684</v>
      </c>
      <c r="B1681" s="45"/>
      <c r="C1681" s="20" t="s">
        <v>277</v>
      </c>
      <c r="D1681" s="18">
        <v>30.44</v>
      </c>
      <c r="E1681" s="19"/>
      <c r="F1681" s="15">
        <f t="shared" si="28"/>
        <v>84804124.900000006</v>
      </c>
    </row>
    <row r="1682" spans="1:6" x14ac:dyDescent="0.2">
      <c r="A1682" s="3">
        <v>45685</v>
      </c>
      <c r="B1682" s="43">
        <v>31935</v>
      </c>
      <c r="C1682" s="17" t="s">
        <v>9</v>
      </c>
      <c r="D1682" s="18">
        <v>60200</v>
      </c>
      <c r="E1682" s="19"/>
      <c r="F1682" s="15">
        <f t="shared" si="28"/>
        <v>84743924.900000006</v>
      </c>
    </row>
    <row r="1683" spans="1:6" x14ac:dyDescent="0.2">
      <c r="A1683" s="3">
        <v>45685</v>
      </c>
      <c r="B1683" s="43">
        <v>31919</v>
      </c>
      <c r="C1683" s="17" t="s">
        <v>9</v>
      </c>
      <c r="D1683" s="18">
        <v>127000</v>
      </c>
      <c r="E1683" s="19"/>
      <c r="F1683" s="15">
        <f t="shared" si="28"/>
        <v>84616924.900000006</v>
      </c>
    </row>
    <row r="1684" spans="1:6" x14ac:dyDescent="0.2">
      <c r="A1684" s="3">
        <v>45685</v>
      </c>
      <c r="B1684" s="43">
        <v>31856</v>
      </c>
      <c r="C1684" s="17" t="s">
        <v>9</v>
      </c>
      <c r="D1684" s="18">
        <v>298720</v>
      </c>
      <c r="E1684" s="19"/>
      <c r="F1684" s="15">
        <f t="shared" si="28"/>
        <v>84318204.900000006</v>
      </c>
    </row>
    <row r="1685" spans="1:6" x14ac:dyDescent="0.2">
      <c r="A1685" s="3">
        <v>45685</v>
      </c>
      <c r="B1685" s="43">
        <v>31966</v>
      </c>
      <c r="C1685" s="17" t="s">
        <v>9</v>
      </c>
      <c r="D1685" s="18">
        <v>454763.64</v>
      </c>
      <c r="E1685" s="19"/>
      <c r="F1685" s="15">
        <f t="shared" si="28"/>
        <v>83863441.260000005</v>
      </c>
    </row>
    <row r="1686" spans="1:6" x14ac:dyDescent="0.2">
      <c r="A1686" s="3">
        <v>45685</v>
      </c>
      <c r="B1686" s="46">
        <v>32065</v>
      </c>
      <c r="C1686" s="47" t="s">
        <v>9</v>
      </c>
      <c r="D1686" s="48">
        <v>2995291.2</v>
      </c>
      <c r="E1686" s="49"/>
      <c r="F1686" s="15">
        <f t="shared" si="28"/>
        <v>80868150.060000002</v>
      </c>
    </row>
    <row r="1687" spans="1:6" x14ac:dyDescent="0.2">
      <c r="A1687" s="3">
        <v>45685</v>
      </c>
      <c r="B1687" s="44">
        <v>31763</v>
      </c>
      <c r="C1687" s="22" t="s">
        <v>9</v>
      </c>
      <c r="D1687" s="23">
        <v>3081255.04</v>
      </c>
      <c r="E1687" s="24"/>
      <c r="F1687" s="15">
        <f t="shared" si="28"/>
        <v>77786895.019999996</v>
      </c>
    </row>
    <row r="1688" spans="1:6" x14ac:dyDescent="0.2">
      <c r="A1688" s="3">
        <v>45685</v>
      </c>
      <c r="B1688" s="43">
        <v>31880</v>
      </c>
      <c r="C1688" s="17" t="s">
        <v>9</v>
      </c>
      <c r="D1688" s="18">
        <v>6269984</v>
      </c>
      <c r="E1688" s="19"/>
      <c r="F1688" s="15">
        <f t="shared" si="28"/>
        <v>71516911.019999996</v>
      </c>
    </row>
    <row r="1689" spans="1:6" x14ac:dyDescent="0.2">
      <c r="A1689" s="3">
        <v>45685</v>
      </c>
      <c r="B1689" s="43">
        <v>9399254</v>
      </c>
      <c r="C1689" s="20" t="s">
        <v>278</v>
      </c>
      <c r="D1689" s="19"/>
      <c r="E1689" s="18">
        <v>482890.17</v>
      </c>
      <c r="F1689" s="15">
        <f t="shared" si="28"/>
        <v>71999801.189999998</v>
      </c>
    </row>
    <row r="1690" spans="1:6" x14ac:dyDescent="0.2">
      <c r="A1690" s="3">
        <v>45685</v>
      </c>
      <c r="B1690" s="43">
        <v>31719</v>
      </c>
      <c r="C1690" s="17" t="s">
        <v>12</v>
      </c>
      <c r="D1690" s="18">
        <v>8369724.0999999996</v>
      </c>
      <c r="E1690" s="19"/>
      <c r="F1690" s="15">
        <f t="shared" si="28"/>
        <v>63630077.089999996</v>
      </c>
    </row>
    <row r="1691" spans="1:6" x14ac:dyDescent="0.2">
      <c r="A1691" s="3">
        <v>45685</v>
      </c>
      <c r="B1691" s="45"/>
      <c r="C1691" s="17" t="s">
        <v>22</v>
      </c>
      <c r="D1691" s="18">
        <v>2897.34</v>
      </c>
      <c r="E1691" s="19"/>
      <c r="F1691" s="15">
        <f t="shared" si="28"/>
        <v>63627179.749999993</v>
      </c>
    </row>
    <row r="1692" spans="1:6" x14ac:dyDescent="0.2">
      <c r="A1692" s="3">
        <v>45685</v>
      </c>
      <c r="B1692" s="45"/>
      <c r="C1692" s="17" t="s">
        <v>16</v>
      </c>
      <c r="D1692" s="18">
        <v>129941.8</v>
      </c>
      <c r="E1692" s="19"/>
      <c r="F1692" s="15">
        <f t="shared" si="28"/>
        <v>63497237.949999996</v>
      </c>
    </row>
    <row r="1693" spans="1:6" x14ac:dyDescent="0.2">
      <c r="A1693" s="3">
        <v>45685</v>
      </c>
      <c r="B1693" s="45"/>
      <c r="C1693" s="20" t="s">
        <v>279</v>
      </c>
      <c r="D1693" s="18">
        <v>482.89</v>
      </c>
      <c r="E1693" s="19"/>
      <c r="F1693" s="15">
        <f t="shared" si="28"/>
        <v>63496755.059999995</v>
      </c>
    </row>
    <row r="1694" spans="1:6" x14ac:dyDescent="0.2">
      <c r="A1694" s="3">
        <v>45686</v>
      </c>
      <c r="B1694" s="43">
        <v>31928</v>
      </c>
      <c r="C1694" s="17" t="s">
        <v>9</v>
      </c>
      <c r="D1694" s="18">
        <v>142320</v>
      </c>
      <c r="E1694" s="19"/>
      <c r="F1694" s="15">
        <f t="shared" si="28"/>
        <v>63354435.059999995</v>
      </c>
    </row>
    <row r="1695" spans="1:6" x14ac:dyDescent="0.2">
      <c r="A1695" s="3">
        <v>45686</v>
      </c>
      <c r="B1695" s="43">
        <v>31930</v>
      </c>
      <c r="C1695" s="17" t="s">
        <v>9</v>
      </c>
      <c r="D1695" s="18">
        <v>170000</v>
      </c>
      <c r="E1695" s="19"/>
      <c r="F1695" s="15">
        <f t="shared" si="28"/>
        <v>63184435.059999995</v>
      </c>
    </row>
    <row r="1696" spans="1:6" x14ac:dyDescent="0.2">
      <c r="A1696" s="3">
        <v>45686</v>
      </c>
      <c r="B1696" s="43">
        <v>31753</v>
      </c>
      <c r="C1696" s="17" t="s">
        <v>9</v>
      </c>
      <c r="D1696" s="18">
        <v>1251570.3899999999</v>
      </c>
      <c r="E1696" s="19"/>
      <c r="F1696" s="15">
        <f t="shared" si="28"/>
        <v>61932864.669999994</v>
      </c>
    </row>
    <row r="1697" spans="1:6" x14ac:dyDescent="0.2">
      <c r="A1697" s="3">
        <v>45686</v>
      </c>
      <c r="B1697" s="43">
        <v>31961</v>
      </c>
      <c r="C1697" s="17" t="s">
        <v>9</v>
      </c>
      <c r="D1697" s="18">
        <v>2000000</v>
      </c>
      <c r="E1697" s="19"/>
      <c r="F1697" s="15">
        <f t="shared" si="28"/>
        <v>59932864.669999994</v>
      </c>
    </row>
    <row r="1698" spans="1:6" x14ac:dyDescent="0.2">
      <c r="A1698" s="3">
        <v>45686</v>
      </c>
      <c r="B1698" s="43">
        <v>31947</v>
      </c>
      <c r="C1698" s="17" t="s">
        <v>9</v>
      </c>
      <c r="D1698" s="18">
        <v>2676085</v>
      </c>
      <c r="E1698" s="19"/>
      <c r="F1698" s="15">
        <f t="shared" si="28"/>
        <v>57256779.669999994</v>
      </c>
    </row>
    <row r="1699" spans="1:6" x14ac:dyDescent="0.2">
      <c r="A1699" s="3">
        <v>45686</v>
      </c>
      <c r="B1699" s="43">
        <v>31754</v>
      </c>
      <c r="C1699" s="17" t="s">
        <v>9</v>
      </c>
      <c r="D1699" s="18">
        <v>6918624.3399999999</v>
      </c>
      <c r="E1699" s="19"/>
      <c r="F1699" s="15">
        <f t="shared" si="28"/>
        <v>50338155.329999998</v>
      </c>
    </row>
    <row r="1700" spans="1:6" x14ac:dyDescent="0.2">
      <c r="A1700" s="3">
        <v>45686</v>
      </c>
      <c r="B1700" s="43">
        <v>940993</v>
      </c>
      <c r="C1700" s="20" t="s">
        <v>183</v>
      </c>
      <c r="D1700" s="25"/>
      <c r="E1700" s="25">
        <v>20000000</v>
      </c>
      <c r="F1700" s="15">
        <f t="shared" ref="F1700:F1745" si="29">+F1699+E1700-D1700</f>
        <v>70338155.329999998</v>
      </c>
    </row>
    <row r="1701" spans="1:6" x14ac:dyDescent="0.2">
      <c r="A1701" s="3">
        <v>45686</v>
      </c>
      <c r="B1701" s="43">
        <v>31780</v>
      </c>
      <c r="C1701" s="17" t="s">
        <v>12</v>
      </c>
      <c r="D1701" s="18">
        <v>5751640</v>
      </c>
      <c r="E1701" s="19"/>
      <c r="F1701" s="15">
        <f t="shared" si="29"/>
        <v>64586515.329999998</v>
      </c>
    </row>
    <row r="1702" spans="1:6" x14ac:dyDescent="0.2">
      <c r="A1702" s="3">
        <v>45686</v>
      </c>
      <c r="B1702" s="43">
        <v>31776</v>
      </c>
      <c r="C1702" s="17" t="s">
        <v>12</v>
      </c>
      <c r="D1702" s="18">
        <v>9341512</v>
      </c>
      <c r="E1702" s="19"/>
      <c r="F1702" s="15">
        <f t="shared" si="29"/>
        <v>55245003.329999998</v>
      </c>
    </row>
    <row r="1703" spans="1:6" x14ac:dyDescent="0.2">
      <c r="A1703" s="3">
        <v>45686</v>
      </c>
      <c r="B1703" s="43">
        <v>31760</v>
      </c>
      <c r="C1703" s="17" t="s">
        <v>12</v>
      </c>
      <c r="D1703" s="18">
        <v>12358437.75</v>
      </c>
      <c r="E1703" s="19"/>
      <c r="F1703" s="15">
        <f t="shared" si="29"/>
        <v>42886565.579999998</v>
      </c>
    </row>
    <row r="1704" spans="1:6" x14ac:dyDescent="0.2">
      <c r="A1704" s="3">
        <v>45686</v>
      </c>
      <c r="B1704" s="43">
        <v>32036</v>
      </c>
      <c r="C1704" s="17" t="s">
        <v>12</v>
      </c>
      <c r="D1704" s="18">
        <v>473316.05</v>
      </c>
      <c r="E1704" s="19"/>
      <c r="F1704" s="15">
        <f t="shared" si="29"/>
        <v>42413249.530000001</v>
      </c>
    </row>
    <row r="1705" spans="1:6" x14ac:dyDescent="0.2">
      <c r="A1705" s="3">
        <v>45686</v>
      </c>
      <c r="B1705" s="45"/>
      <c r="C1705" s="17" t="s">
        <v>16</v>
      </c>
      <c r="D1705" s="18">
        <v>246503.94</v>
      </c>
      <c r="E1705" s="19"/>
      <c r="F1705" s="15">
        <f t="shared" si="29"/>
        <v>42166745.590000004</v>
      </c>
    </row>
    <row r="1706" spans="1:6" x14ac:dyDescent="0.2">
      <c r="A1706" s="3">
        <v>45687</v>
      </c>
      <c r="B1706" s="43">
        <v>31985</v>
      </c>
      <c r="C1706" s="17" t="s">
        <v>9</v>
      </c>
      <c r="D1706" s="18">
        <v>25500</v>
      </c>
      <c r="E1706" s="19"/>
      <c r="F1706" s="15">
        <f t="shared" si="29"/>
        <v>42141245.590000004</v>
      </c>
    </row>
    <row r="1707" spans="1:6" x14ac:dyDescent="0.2">
      <c r="A1707" s="3">
        <v>45687</v>
      </c>
      <c r="B1707" s="43">
        <v>31815</v>
      </c>
      <c r="C1707" s="17" t="s">
        <v>9</v>
      </c>
      <c r="D1707" s="18">
        <v>28972.35</v>
      </c>
      <c r="E1707" s="19"/>
      <c r="F1707" s="15">
        <f t="shared" si="29"/>
        <v>42112273.240000002</v>
      </c>
    </row>
    <row r="1708" spans="1:6" x14ac:dyDescent="0.2">
      <c r="A1708" s="3">
        <v>45687</v>
      </c>
      <c r="B1708" s="43">
        <v>31998</v>
      </c>
      <c r="C1708" s="17" t="s">
        <v>9</v>
      </c>
      <c r="D1708" s="18">
        <v>70499.98</v>
      </c>
      <c r="E1708" s="19"/>
      <c r="F1708" s="15">
        <f t="shared" si="29"/>
        <v>42041773.260000005</v>
      </c>
    </row>
    <row r="1709" spans="1:6" x14ac:dyDescent="0.2">
      <c r="A1709" s="3">
        <v>45687</v>
      </c>
      <c r="B1709" s="43">
        <v>31836</v>
      </c>
      <c r="C1709" s="17" t="s">
        <v>9</v>
      </c>
      <c r="D1709" s="18">
        <v>210000</v>
      </c>
      <c r="E1709" s="19"/>
      <c r="F1709" s="15">
        <f t="shared" si="29"/>
        <v>41831773.260000005</v>
      </c>
    </row>
    <row r="1710" spans="1:6" x14ac:dyDescent="0.2">
      <c r="A1710" s="3">
        <v>45687</v>
      </c>
      <c r="B1710" s="43">
        <v>31886</v>
      </c>
      <c r="C1710" s="17" t="s">
        <v>9</v>
      </c>
      <c r="D1710" s="18">
        <v>224729.19</v>
      </c>
      <c r="E1710" s="19"/>
      <c r="F1710" s="15">
        <f t="shared" si="29"/>
        <v>41607044.070000008</v>
      </c>
    </row>
    <row r="1711" spans="1:6" x14ac:dyDescent="0.2">
      <c r="A1711" s="3">
        <v>45687</v>
      </c>
      <c r="B1711" s="43">
        <v>31917</v>
      </c>
      <c r="C1711" s="17" t="s">
        <v>9</v>
      </c>
      <c r="D1711" s="18">
        <v>325367.07</v>
      </c>
      <c r="E1711" s="19"/>
      <c r="F1711" s="15">
        <f t="shared" si="29"/>
        <v>41281677.000000007</v>
      </c>
    </row>
    <row r="1712" spans="1:6" x14ac:dyDescent="0.2">
      <c r="A1712" s="3">
        <v>45687</v>
      </c>
      <c r="B1712" s="43">
        <v>31824</v>
      </c>
      <c r="C1712" s="17" t="s">
        <v>9</v>
      </c>
      <c r="D1712" s="18">
        <v>398500</v>
      </c>
      <c r="E1712" s="19"/>
      <c r="F1712" s="15">
        <f t="shared" si="29"/>
        <v>40883177.000000007</v>
      </c>
    </row>
    <row r="1713" spans="1:6" x14ac:dyDescent="0.2">
      <c r="A1713" s="3">
        <v>45687</v>
      </c>
      <c r="B1713" s="43">
        <v>31848</v>
      </c>
      <c r="C1713" s="17" t="s">
        <v>9</v>
      </c>
      <c r="D1713" s="18">
        <v>626282.61</v>
      </c>
      <c r="E1713" s="19"/>
      <c r="F1713" s="15">
        <f t="shared" si="29"/>
        <v>40256894.390000008</v>
      </c>
    </row>
    <row r="1714" spans="1:6" x14ac:dyDescent="0.2">
      <c r="A1714" s="3">
        <v>45687</v>
      </c>
      <c r="B1714" s="43">
        <v>31826</v>
      </c>
      <c r="C1714" s="17" t="s">
        <v>9</v>
      </c>
      <c r="D1714" s="18">
        <v>949408.98</v>
      </c>
      <c r="E1714" s="19"/>
      <c r="F1714" s="15">
        <f t="shared" si="29"/>
        <v>39307485.410000011</v>
      </c>
    </row>
    <row r="1715" spans="1:6" x14ac:dyDescent="0.2">
      <c r="A1715" s="3">
        <v>45687</v>
      </c>
      <c r="B1715" s="43">
        <v>31757</v>
      </c>
      <c r="C1715" s="17" t="s">
        <v>9</v>
      </c>
      <c r="D1715" s="18">
        <v>1351813.4</v>
      </c>
      <c r="E1715" s="19"/>
      <c r="F1715" s="15">
        <f t="shared" si="29"/>
        <v>37955672.010000013</v>
      </c>
    </row>
    <row r="1716" spans="1:6" x14ac:dyDescent="0.2">
      <c r="A1716" s="3">
        <v>45687</v>
      </c>
      <c r="B1716" s="46">
        <v>31758</v>
      </c>
      <c r="C1716" s="47" t="s">
        <v>9</v>
      </c>
      <c r="D1716" s="48">
        <v>1685051.47</v>
      </c>
      <c r="E1716" s="49"/>
      <c r="F1716" s="15">
        <f t="shared" si="29"/>
        <v>36270620.540000014</v>
      </c>
    </row>
    <row r="1717" spans="1:6" x14ac:dyDescent="0.2">
      <c r="A1717" s="3">
        <v>45687</v>
      </c>
      <c r="B1717" s="44">
        <v>31774</v>
      </c>
      <c r="C1717" s="22" t="s">
        <v>9</v>
      </c>
      <c r="D1717" s="23">
        <v>4130243.15</v>
      </c>
      <c r="E1717" s="24"/>
      <c r="F1717" s="15">
        <f t="shared" si="29"/>
        <v>32140377.390000015</v>
      </c>
    </row>
    <row r="1718" spans="1:6" x14ac:dyDescent="0.2">
      <c r="A1718" s="3">
        <v>45687</v>
      </c>
      <c r="B1718" s="43">
        <v>31987</v>
      </c>
      <c r="C1718" s="17" t="s">
        <v>9</v>
      </c>
      <c r="D1718" s="18">
        <v>4183479.4</v>
      </c>
      <c r="E1718" s="19"/>
      <c r="F1718" s="15">
        <f t="shared" si="29"/>
        <v>27956897.990000017</v>
      </c>
    </row>
    <row r="1719" spans="1:6" x14ac:dyDescent="0.2">
      <c r="A1719" s="3">
        <v>45687</v>
      </c>
      <c r="B1719" s="43">
        <v>31762</v>
      </c>
      <c r="C1719" s="17" t="s">
        <v>9</v>
      </c>
      <c r="D1719" s="18">
        <v>11438000</v>
      </c>
      <c r="E1719" s="19"/>
      <c r="F1719" s="15">
        <f t="shared" si="29"/>
        <v>16518897.990000017</v>
      </c>
    </row>
    <row r="1720" spans="1:6" x14ac:dyDescent="0.2">
      <c r="A1720" s="3">
        <v>45687</v>
      </c>
      <c r="B1720" s="45"/>
      <c r="C1720" s="17" t="s">
        <v>92</v>
      </c>
      <c r="D1720" s="18">
        <v>44400</v>
      </c>
      <c r="E1720" s="19"/>
      <c r="F1720" s="15">
        <f t="shared" si="29"/>
        <v>16474497.990000017</v>
      </c>
    </row>
    <row r="1721" spans="1:6" x14ac:dyDescent="0.2">
      <c r="A1721" s="3">
        <v>45687</v>
      </c>
      <c r="B1721" s="45"/>
      <c r="C1721" s="17" t="s">
        <v>93</v>
      </c>
      <c r="D1721" s="18">
        <v>41000</v>
      </c>
      <c r="E1721" s="19"/>
      <c r="F1721" s="15">
        <f t="shared" si="29"/>
        <v>16433497.990000017</v>
      </c>
    </row>
    <row r="1722" spans="1:6" x14ac:dyDescent="0.2">
      <c r="A1722" s="3">
        <v>45687</v>
      </c>
      <c r="B1722" s="45"/>
      <c r="C1722" s="17" t="s">
        <v>36</v>
      </c>
      <c r="D1722" s="18">
        <v>615</v>
      </c>
      <c r="E1722" s="19"/>
      <c r="F1722" s="15">
        <f t="shared" si="29"/>
        <v>16432882.990000017</v>
      </c>
    </row>
    <row r="1723" spans="1:6" x14ac:dyDescent="0.2">
      <c r="A1723" s="3">
        <v>45687</v>
      </c>
      <c r="B1723" s="45"/>
      <c r="C1723" s="17" t="s">
        <v>227</v>
      </c>
      <c r="D1723" s="18">
        <v>8610</v>
      </c>
      <c r="E1723" s="19"/>
      <c r="F1723" s="15">
        <f t="shared" si="29"/>
        <v>16424272.990000017</v>
      </c>
    </row>
    <row r="1724" spans="1:6" x14ac:dyDescent="0.2">
      <c r="A1724" s="3">
        <v>45687</v>
      </c>
      <c r="B1724" s="45"/>
      <c r="C1724" s="17" t="s">
        <v>37</v>
      </c>
      <c r="D1724" s="18">
        <v>1230</v>
      </c>
      <c r="E1724" s="19"/>
      <c r="F1724" s="15">
        <f t="shared" si="29"/>
        <v>16423042.990000017</v>
      </c>
    </row>
    <row r="1725" spans="1:6" x14ac:dyDescent="0.2">
      <c r="A1725" s="3">
        <v>45687</v>
      </c>
      <c r="B1725" s="45"/>
      <c r="C1725" s="17" t="s">
        <v>36</v>
      </c>
      <c r="D1725" s="18">
        <v>666</v>
      </c>
      <c r="E1725" s="19"/>
      <c r="F1725" s="15">
        <f t="shared" si="29"/>
        <v>16422376.990000017</v>
      </c>
    </row>
    <row r="1726" spans="1:6" x14ac:dyDescent="0.2">
      <c r="A1726" s="3">
        <v>45687</v>
      </c>
      <c r="B1726" s="45"/>
      <c r="C1726" s="17" t="s">
        <v>227</v>
      </c>
      <c r="D1726" s="18">
        <v>9324</v>
      </c>
      <c r="E1726" s="19"/>
      <c r="F1726" s="15">
        <f t="shared" si="29"/>
        <v>16413052.990000017</v>
      </c>
    </row>
    <row r="1727" spans="1:6" x14ac:dyDescent="0.2">
      <c r="A1727" s="3">
        <v>45687</v>
      </c>
      <c r="B1727" s="45"/>
      <c r="C1727" s="17" t="s">
        <v>37</v>
      </c>
      <c r="D1727" s="18">
        <v>1332</v>
      </c>
      <c r="E1727" s="19"/>
      <c r="F1727" s="15">
        <f t="shared" si="29"/>
        <v>16411720.990000017</v>
      </c>
    </row>
    <row r="1728" spans="1:6" x14ac:dyDescent="0.2">
      <c r="A1728" s="3">
        <v>45687</v>
      </c>
      <c r="B1728" s="43">
        <v>7068269</v>
      </c>
      <c r="C1728" s="20" t="s">
        <v>236</v>
      </c>
      <c r="D1728" s="18">
        <v>2500000</v>
      </c>
      <c r="E1728" s="19"/>
      <c r="F1728" s="15">
        <f t="shared" si="29"/>
        <v>13911720.990000017</v>
      </c>
    </row>
    <row r="1729" spans="1:6" x14ac:dyDescent="0.2">
      <c r="A1729" s="3">
        <v>45687</v>
      </c>
      <c r="B1729" s="43">
        <v>7063362</v>
      </c>
      <c r="C1729" s="20" t="s">
        <v>235</v>
      </c>
      <c r="D1729" s="18">
        <v>2000000</v>
      </c>
      <c r="E1729" s="19"/>
      <c r="F1729" s="15">
        <f t="shared" si="29"/>
        <v>11911720.990000017</v>
      </c>
    </row>
    <row r="1730" spans="1:6" x14ac:dyDescent="0.2">
      <c r="A1730" s="3">
        <v>45687</v>
      </c>
      <c r="B1730" s="43">
        <v>805748</v>
      </c>
      <c r="C1730" s="20" t="s">
        <v>89</v>
      </c>
      <c r="D1730" s="25"/>
      <c r="E1730" s="25">
        <v>2474778</v>
      </c>
      <c r="F1730" s="15">
        <f t="shared" si="29"/>
        <v>14386498.990000017</v>
      </c>
    </row>
    <row r="1731" spans="1:6" x14ac:dyDescent="0.2">
      <c r="A1731" s="3">
        <v>45687</v>
      </c>
      <c r="B1731" s="43">
        <v>930415</v>
      </c>
      <c r="C1731" s="20" t="s">
        <v>94</v>
      </c>
      <c r="D1731" s="25"/>
      <c r="E1731" s="25">
        <v>1139619.18</v>
      </c>
      <c r="F1731" s="15">
        <f t="shared" si="29"/>
        <v>15526118.170000017</v>
      </c>
    </row>
    <row r="1732" spans="1:6" x14ac:dyDescent="0.2">
      <c r="A1732" s="3">
        <v>45687</v>
      </c>
      <c r="B1732" s="43">
        <v>4137881</v>
      </c>
      <c r="C1732" s="20" t="s">
        <v>280</v>
      </c>
      <c r="D1732" s="18">
        <v>200000</v>
      </c>
      <c r="E1732" s="19"/>
      <c r="F1732" s="15">
        <f t="shared" si="29"/>
        <v>15326118.170000017</v>
      </c>
    </row>
    <row r="1733" spans="1:6" x14ac:dyDescent="0.2">
      <c r="A1733" s="3">
        <v>45687</v>
      </c>
      <c r="B1733" s="43">
        <v>55120846</v>
      </c>
      <c r="C1733" s="20" t="s">
        <v>48</v>
      </c>
      <c r="D1733" s="18">
        <v>222000</v>
      </c>
      <c r="E1733" s="19"/>
      <c r="F1733" s="15">
        <f t="shared" si="29"/>
        <v>15104118.170000017</v>
      </c>
    </row>
    <row r="1734" spans="1:6" x14ac:dyDescent="0.2">
      <c r="A1734" s="3">
        <v>45687</v>
      </c>
      <c r="B1734" s="43">
        <v>4137882</v>
      </c>
      <c r="C1734" s="20" t="s">
        <v>281</v>
      </c>
      <c r="D1734" s="18">
        <v>145200</v>
      </c>
      <c r="E1734" s="19"/>
      <c r="F1734" s="15">
        <f t="shared" si="29"/>
        <v>14958918.170000017</v>
      </c>
    </row>
    <row r="1735" spans="1:6" x14ac:dyDescent="0.2">
      <c r="A1735" s="3">
        <v>45687</v>
      </c>
      <c r="B1735" s="43">
        <v>55284385</v>
      </c>
      <c r="C1735" s="20" t="s">
        <v>44</v>
      </c>
      <c r="D1735" s="18">
        <v>350000</v>
      </c>
      <c r="E1735" s="19"/>
      <c r="F1735" s="15">
        <f t="shared" si="29"/>
        <v>14608918.170000017</v>
      </c>
    </row>
    <row r="1736" spans="1:6" x14ac:dyDescent="0.2">
      <c r="A1736" s="3">
        <v>45687</v>
      </c>
      <c r="B1736" s="45"/>
      <c r="C1736" s="17" t="s">
        <v>16</v>
      </c>
      <c r="D1736" s="18">
        <v>187033.35</v>
      </c>
      <c r="E1736" s="19"/>
      <c r="F1736" s="15">
        <f t="shared" si="29"/>
        <v>14421884.820000017</v>
      </c>
    </row>
    <row r="1737" spans="1:6" x14ac:dyDescent="0.2">
      <c r="A1737" s="3">
        <v>45687</v>
      </c>
      <c r="B1737" s="45"/>
      <c r="C1737" s="17" t="s">
        <v>22</v>
      </c>
      <c r="D1737" s="18">
        <v>21686.39</v>
      </c>
      <c r="E1737" s="19"/>
      <c r="F1737" s="15">
        <f t="shared" si="29"/>
        <v>14400198.430000016</v>
      </c>
    </row>
    <row r="1738" spans="1:6" x14ac:dyDescent="0.2">
      <c r="A1738" s="3">
        <v>45687</v>
      </c>
      <c r="B1738" s="43">
        <v>11878</v>
      </c>
      <c r="C1738" s="20" t="s">
        <v>7</v>
      </c>
      <c r="D1738" s="18">
        <v>720</v>
      </c>
      <c r="E1738" s="19"/>
      <c r="F1738" s="15">
        <f t="shared" si="29"/>
        <v>14399478.430000016</v>
      </c>
    </row>
    <row r="1739" spans="1:6" x14ac:dyDescent="0.2">
      <c r="A1739" s="3">
        <v>45687</v>
      </c>
      <c r="B1739" s="43">
        <v>11878</v>
      </c>
      <c r="C1739" s="17" t="s">
        <v>227</v>
      </c>
      <c r="D1739" s="18">
        <v>151.19999999999999</v>
      </c>
      <c r="E1739" s="19"/>
      <c r="F1739" s="15">
        <f t="shared" si="29"/>
        <v>14399327.230000017</v>
      </c>
    </row>
    <row r="1740" spans="1:6" x14ac:dyDescent="0.2">
      <c r="A1740" s="3">
        <v>45687</v>
      </c>
      <c r="B1740" s="43">
        <v>11879</v>
      </c>
      <c r="C1740" s="20" t="s">
        <v>7</v>
      </c>
      <c r="D1740" s="18">
        <v>720</v>
      </c>
      <c r="E1740" s="19"/>
      <c r="F1740" s="15">
        <f t="shared" si="29"/>
        <v>14398607.230000017</v>
      </c>
    </row>
    <row r="1741" spans="1:6" x14ac:dyDescent="0.2">
      <c r="A1741" s="3">
        <v>45687</v>
      </c>
      <c r="B1741" s="43">
        <v>11879</v>
      </c>
      <c r="C1741" s="17" t="s">
        <v>227</v>
      </c>
      <c r="D1741" s="18">
        <v>151.19999999999999</v>
      </c>
      <c r="E1741" s="19"/>
      <c r="F1741" s="15">
        <f t="shared" si="29"/>
        <v>14398456.030000018</v>
      </c>
    </row>
    <row r="1742" spans="1:6" x14ac:dyDescent="0.2">
      <c r="A1742" s="3">
        <v>45687</v>
      </c>
      <c r="B1742" s="45"/>
      <c r="C1742" s="20" t="s">
        <v>282</v>
      </c>
      <c r="D1742" s="18">
        <v>3614.4</v>
      </c>
      <c r="E1742" s="19"/>
      <c r="F1742" s="15">
        <f t="shared" si="29"/>
        <v>14394841.630000018</v>
      </c>
    </row>
    <row r="1743" spans="1:6" x14ac:dyDescent="0.2">
      <c r="A1743" s="3">
        <v>45688</v>
      </c>
      <c r="B1743" s="51"/>
      <c r="C1743" s="47" t="s">
        <v>95</v>
      </c>
      <c r="D1743" s="48">
        <v>2301</v>
      </c>
      <c r="E1743" s="49"/>
      <c r="F1743" s="15">
        <f t="shared" si="29"/>
        <v>14392540.630000018</v>
      </c>
    </row>
    <row r="1744" spans="1:6" x14ac:dyDescent="0.2">
      <c r="A1744" s="3">
        <v>45688</v>
      </c>
      <c r="B1744" s="50"/>
      <c r="C1744" s="22" t="s">
        <v>232</v>
      </c>
      <c r="D1744" s="53">
        <v>483.21</v>
      </c>
      <c r="E1744" s="24"/>
      <c r="F1744" s="15">
        <f t="shared" si="29"/>
        <v>14392057.420000017</v>
      </c>
    </row>
    <row r="1745" spans="1:6" x14ac:dyDescent="0.2">
      <c r="A1745" s="3">
        <v>45688</v>
      </c>
      <c r="B1745" s="54"/>
      <c r="C1745" s="33" t="s">
        <v>16</v>
      </c>
      <c r="D1745" s="34">
        <v>48.86</v>
      </c>
      <c r="E1745" s="35"/>
      <c r="F1745" s="15">
        <f t="shared" si="29"/>
        <v>14392008.560000017</v>
      </c>
    </row>
    <row r="1748" spans="1:6" x14ac:dyDescent="0.2">
      <c r="A1748" s="1" t="s">
        <v>0</v>
      </c>
      <c r="B1748" s="1" t="s">
        <v>1</v>
      </c>
      <c r="C1748" s="1" t="s">
        <v>2</v>
      </c>
      <c r="D1748" s="1" t="s">
        <v>3</v>
      </c>
      <c r="E1748" s="1" t="s">
        <v>4</v>
      </c>
      <c r="F1748" s="1" t="s">
        <v>5</v>
      </c>
    </row>
    <row r="1749" spans="1:6" x14ac:dyDescent="0.2">
      <c r="A1749" s="3">
        <v>45689</v>
      </c>
      <c r="B1749" s="41"/>
      <c r="C1749" s="5" t="s">
        <v>6</v>
      </c>
      <c r="D1749" s="6"/>
      <c r="E1749" s="7"/>
      <c r="F1749" s="8">
        <v>14392008.560000001</v>
      </c>
    </row>
    <row r="1750" spans="1:6" x14ac:dyDescent="0.2">
      <c r="A1750" s="3">
        <v>45691</v>
      </c>
      <c r="B1750" s="60">
        <v>31984</v>
      </c>
      <c r="C1750" s="61" t="s">
        <v>9</v>
      </c>
      <c r="D1750" s="13">
        <v>119836.85</v>
      </c>
      <c r="E1750" s="14"/>
      <c r="F1750" s="15">
        <f t="shared" ref="F1750:F1813" si="30">+F1749+E1750-D1750</f>
        <v>14272171.710000001</v>
      </c>
    </row>
    <row r="1751" spans="1:6" x14ac:dyDescent="0.2">
      <c r="A1751" s="3">
        <v>45691</v>
      </c>
      <c r="B1751" s="43">
        <v>32047</v>
      </c>
      <c r="C1751" s="17" t="s">
        <v>9</v>
      </c>
      <c r="D1751" s="18">
        <v>119836.85</v>
      </c>
      <c r="E1751" s="19"/>
      <c r="F1751" s="15">
        <f t="shared" si="30"/>
        <v>14152334.860000001</v>
      </c>
    </row>
    <row r="1752" spans="1:6" x14ac:dyDescent="0.2">
      <c r="A1752" s="3">
        <v>45691</v>
      </c>
      <c r="B1752" s="43">
        <v>31825</v>
      </c>
      <c r="C1752" s="17" t="s">
        <v>9</v>
      </c>
      <c r="D1752" s="18">
        <v>405969.51</v>
      </c>
      <c r="E1752" s="19"/>
      <c r="F1752" s="15">
        <f t="shared" si="30"/>
        <v>13746365.350000001</v>
      </c>
    </row>
    <row r="1753" spans="1:6" x14ac:dyDescent="0.2">
      <c r="A1753" s="3">
        <v>45691</v>
      </c>
      <c r="B1753" s="43">
        <v>31991</v>
      </c>
      <c r="C1753" s="17" t="s">
        <v>9</v>
      </c>
      <c r="D1753" s="18">
        <v>3474922.22</v>
      </c>
      <c r="E1753" s="19"/>
      <c r="F1753" s="15">
        <f t="shared" si="30"/>
        <v>10271443.130000001</v>
      </c>
    </row>
    <row r="1754" spans="1:6" x14ac:dyDescent="0.2">
      <c r="A1754" s="3">
        <v>45691</v>
      </c>
      <c r="B1754" s="43">
        <v>31965</v>
      </c>
      <c r="C1754" s="17" t="s">
        <v>9</v>
      </c>
      <c r="D1754" s="18">
        <v>5969020.8200000003</v>
      </c>
      <c r="E1754" s="19"/>
      <c r="F1754" s="15">
        <f t="shared" si="30"/>
        <v>4302422.3100000005</v>
      </c>
    </row>
    <row r="1755" spans="1:6" x14ac:dyDescent="0.2">
      <c r="A1755" s="3">
        <v>45691</v>
      </c>
      <c r="B1755" s="43">
        <v>32021</v>
      </c>
      <c r="C1755" s="17" t="s">
        <v>9</v>
      </c>
      <c r="D1755" s="18">
        <v>6168363.4400000004</v>
      </c>
      <c r="E1755" s="19"/>
      <c r="F1755" s="15">
        <f t="shared" si="30"/>
        <v>-1865941.13</v>
      </c>
    </row>
    <row r="1756" spans="1:6" x14ac:dyDescent="0.2">
      <c r="A1756" s="3">
        <v>45691</v>
      </c>
      <c r="B1756" s="45"/>
      <c r="C1756" s="17" t="s">
        <v>143</v>
      </c>
      <c r="D1756" s="18">
        <v>490</v>
      </c>
      <c r="E1756" s="19"/>
      <c r="F1756" s="15">
        <f t="shared" si="30"/>
        <v>-1866431.13</v>
      </c>
    </row>
    <row r="1757" spans="1:6" x14ac:dyDescent="0.2">
      <c r="A1757" s="3">
        <v>45691</v>
      </c>
      <c r="B1757" s="45"/>
      <c r="C1757" s="17" t="s">
        <v>227</v>
      </c>
      <c r="D1757" s="18">
        <v>102.9</v>
      </c>
      <c r="E1757" s="19"/>
      <c r="F1757" s="15">
        <f t="shared" si="30"/>
        <v>-1866534.0299999998</v>
      </c>
    </row>
    <row r="1758" spans="1:6" x14ac:dyDescent="0.2">
      <c r="A1758" s="3">
        <v>45691</v>
      </c>
      <c r="B1758" s="43">
        <v>366499</v>
      </c>
      <c r="C1758" s="20" t="s">
        <v>90</v>
      </c>
      <c r="D1758" s="25"/>
      <c r="E1758" s="25">
        <v>10000000</v>
      </c>
      <c r="F1758" s="15">
        <f t="shared" si="30"/>
        <v>8133465.9700000007</v>
      </c>
    </row>
    <row r="1759" spans="1:6" x14ac:dyDescent="0.2">
      <c r="A1759" s="3">
        <v>45691</v>
      </c>
      <c r="B1759" s="43">
        <v>5169797</v>
      </c>
      <c r="C1759" s="20" t="s">
        <v>283</v>
      </c>
      <c r="D1759" s="19"/>
      <c r="E1759" s="18">
        <v>23570</v>
      </c>
      <c r="F1759" s="15">
        <f t="shared" si="30"/>
        <v>8157035.9700000007</v>
      </c>
    </row>
    <row r="1760" spans="1:6" x14ac:dyDescent="0.2">
      <c r="A1760" s="3">
        <v>45691</v>
      </c>
      <c r="B1760" s="43">
        <v>31878</v>
      </c>
      <c r="C1760" s="17" t="s">
        <v>12</v>
      </c>
      <c r="D1760" s="18">
        <v>5481545</v>
      </c>
      <c r="E1760" s="19"/>
      <c r="F1760" s="15">
        <f t="shared" si="30"/>
        <v>2675490.9700000007</v>
      </c>
    </row>
    <row r="1761" spans="1:6" x14ac:dyDescent="0.2">
      <c r="A1761" s="3">
        <v>45691</v>
      </c>
      <c r="B1761" s="45"/>
      <c r="C1761" s="17" t="s">
        <v>22</v>
      </c>
      <c r="D1761" s="18">
        <v>60141.42</v>
      </c>
      <c r="E1761" s="19"/>
      <c r="F1761" s="15">
        <f t="shared" si="30"/>
        <v>2615349.5500000007</v>
      </c>
    </row>
    <row r="1762" spans="1:6" x14ac:dyDescent="0.2">
      <c r="A1762" s="3">
        <v>45691</v>
      </c>
      <c r="B1762" s="45"/>
      <c r="C1762" s="17" t="s">
        <v>16</v>
      </c>
      <c r="D1762" s="18">
        <v>130440.52</v>
      </c>
      <c r="E1762" s="19"/>
      <c r="F1762" s="15">
        <f t="shared" si="30"/>
        <v>2484909.0300000007</v>
      </c>
    </row>
    <row r="1763" spans="1:6" x14ac:dyDescent="0.2">
      <c r="A1763" s="3">
        <v>45691</v>
      </c>
      <c r="B1763" s="45"/>
      <c r="C1763" s="20" t="s">
        <v>284</v>
      </c>
      <c r="D1763" s="18">
        <v>10023.57</v>
      </c>
      <c r="E1763" s="19"/>
      <c r="F1763" s="15">
        <f t="shared" si="30"/>
        <v>2474885.4600000009</v>
      </c>
    </row>
    <row r="1764" spans="1:6" x14ac:dyDescent="0.2">
      <c r="A1764" s="3">
        <v>45692</v>
      </c>
      <c r="B1764" s="43">
        <v>31829</v>
      </c>
      <c r="C1764" s="17" t="s">
        <v>9</v>
      </c>
      <c r="D1764" s="18">
        <v>482265</v>
      </c>
      <c r="E1764" s="19"/>
      <c r="F1764" s="15">
        <f t="shared" si="30"/>
        <v>1992620.4600000009</v>
      </c>
    </row>
    <row r="1765" spans="1:6" x14ac:dyDescent="0.2">
      <c r="A1765" s="3">
        <v>45692</v>
      </c>
      <c r="B1765" s="43">
        <v>31821</v>
      </c>
      <c r="C1765" s="17" t="s">
        <v>9</v>
      </c>
      <c r="D1765" s="18">
        <v>1209900</v>
      </c>
      <c r="E1765" s="19"/>
      <c r="F1765" s="15">
        <f t="shared" si="30"/>
        <v>782720.46000000089</v>
      </c>
    </row>
    <row r="1766" spans="1:6" x14ac:dyDescent="0.2">
      <c r="A1766" s="3">
        <v>45692</v>
      </c>
      <c r="B1766" s="43">
        <v>43040759</v>
      </c>
      <c r="C1766" s="20" t="s">
        <v>285</v>
      </c>
      <c r="D1766" s="19"/>
      <c r="E1766" s="18">
        <v>25000</v>
      </c>
      <c r="F1766" s="15">
        <f t="shared" si="30"/>
        <v>807720.46000000089</v>
      </c>
    </row>
    <row r="1767" spans="1:6" x14ac:dyDescent="0.2">
      <c r="A1767" s="3">
        <v>45692</v>
      </c>
      <c r="B1767" s="43">
        <v>41354424</v>
      </c>
      <c r="C1767" s="17" t="s">
        <v>286</v>
      </c>
      <c r="D1767" s="18">
        <v>48854.76</v>
      </c>
      <c r="E1767" s="19"/>
      <c r="F1767" s="15">
        <f t="shared" si="30"/>
        <v>758865.70000000088</v>
      </c>
    </row>
    <row r="1768" spans="1:6" x14ac:dyDescent="0.2">
      <c r="A1768" s="3">
        <v>45692</v>
      </c>
      <c r="B1768" s="46">
        <v>980559</v>
      </c>
      <c r="C1768" s="9" t="s">
        <v>234</v>
      </c>
      <c r="D1768" s="52"/>
      <c r="E1768" s="52">
        <v>150000000</v>
      </c>
      <c r="F1768" s="15">
        <f t="shared" si="30"/>
        <v>150758865.69999999</v>
      </c>
    </row>
    <row r="1769" spans="1:6" x14ac:dyDescent="0.2">
      <c r="A1769" s="3">
        <v>45692</v>
      </c>
      <c r="B1769" s="44">
        <v>4099968</v>
      </c>
      <c r="C1769" s="28" t="s">
        <v>287</v>
      </c>
      <c r="D1769" s="31">
        <v>2075000</v>
      </c>
      <c r="E1769" s="24"/>
      <c r="F1769" s="15">
        <f t="shared" si="30"/>
        <v>148683865.69999999</v>
      </c>
    </row>
    <row r="1770" spans="1:6" x14ac:dyDescent="0.2">
      <c r="A1770" s="3">
        <v>45692</v>
      </c>
      <c r="B1770" s="43">
        <v>33629</v>
      </c>
      <c r="C1770" s="20" t="s">
        <v>11</v>
      </c>
      <c r="D1770" s="18">
        <v>12601375</v>
      </c>
      <c r="E1770" s="19"/>
      <c r="F1770" s="15">
        <f t="shared" si="30"/>
        <v>136082490.69999999</v>
      </c>
    </row>
    <row r="1771" spans="1:6" x14ac:dyDescent="0.2">
      <c r="A1771" s="3">
        <v>45692</v>
      </c>
      <c r="B1771" s="43">
        <v>5450770</v>
      </c>
      <c r="C1771" s="20" t="s">
        <v>288</v>
      </c>
      <c r="D1771" s="19"/>
      <c r="E1771" s="18">
        <v>80019.61</v>
      </c>
      <c r="F1771" s="15">
        <f t="shared" si="30"/>
        <v>136162510.31</v>
      </c>
    </row>
    <row r="1772" spans="1:6" x14ac:dyDescent="0.2">
      <c r="A1772" s="3">
        <v>45692</v>
      </c>
      <c r="B1772" s="43">
        <v>4166331</v>
      </c>
      <c r="C1772" s="20" t="s">
        <v>225</v>
      </c>
      <c r="D1772" s="18">
        <v>90000</v>
      </c>
      <c r="E1772" s="19"/>
      <c r="F1772" s="15">
        <f t="shared" si="30"/>
        <v>136072510.31</v>
      </c>
    </row>
    <row r="1773" spans="1:6" x14ac:dyDescent="0.2">
      <c r="A1773" s="3">
        <v>45692</v>
      </c>
      <c r="B1773" s="43">
        <v>4166332</v>
      </c>
      <c r="C1773" s="20" t="s">
        <v>289</v>
      </c>
      <c r="D1773" s="18">
        <v>18500</v>
      </c>
      <c r="E1773" s="19"/>
      <c r="F1773" s="15">
        <f t="shared" si="30"/>
        <v>136054010.31</v>
      </c>
    </row>
    <row r="1774" spans="1:6" x14ac:dyDescent="0.2">
      <c r="A1774" s="3">
        <v>45692</v>
      </c>
      <c r="B1774" s="43">
        <v>4166333</v>
      </c>
      <c r="C1774" s="20" t="s">
        <v>290</v>
      </c>
      <c r="D1774" s="18">
        <v>386623.19</v>
      </c>
      <c r="E1774" s="19"/>
      <c r="F1774" s="15">
        <f t="shared" si="30"/>
        <v>135667387.12</v>
      </c>
    </row>
    <row r="1775" spans="1:6" x14ac:dyDescent="0.2">
      <c r="A1775" s="3">
        <v>45692</v>
      </c>
      <c r="B1775" s="43">
        <v>4166335</v>
      </c>
      <c r="C1775" s="20" t="s">
        <v>280</v>
      </c>
      <c r="D1775" s="18">
        <v>100000</v>
      </c>
      <c r="E1775" s="19"/>
      <c r="F1775" s="15">
        <f t="shared" si="30"/>
        <v>135567387.12</v>
      </c>
    </row>
    <row r="1776" spans="1:6" x14ac:dyDescent="0.2">
      <c r="A1776" s="3">
        <v>45692</v>
      </c>
      <c r="B1776" s="43">
        <v>7099</v>
      </c>
      <c r="C1776" s="20" t="s">
        <v>21</v>
      </c>
      <c r="D1776" s="25"/>
      <c r="E1776" s="25">
        <v>1469500</v>
      </c>
      <c r="F1776" s="15">
        <f t="shared" si="30"/>
        <v>137036887.12</v>
      </c>
    </row>
    <row r="1777" spans="1:6" x14ac:dyDescent="0.2">
      <c r="A1777" s="3">
        <v>45692</v>
      </c>
      <c r="B1777" s="45"/>
      <c r="C1777" s="17" t="s">
        <v>13</v>
      </c>
      <c r="D1777" s="18">
        <v>71154858</v>
      </c>
      <c r="E1777" s="19"/>
      <c r="F1777" s="15">
        <f t="shared" si="30"/>
        <v>65882029.120000005</v>
      </c>
    </row>
    <row r="1778" spans="1:6" x14ac:dyDescent="0.2">
      <c r="A1778" s="3">
        <v>45692</v>
      </c>
      <c r="B1778" s="45"/>
      <c r="C1778" s="17" t="s">
        <v>232</v>
      </c>
      <c r="D1778" s="18">
        <v>926.2</v>
      </c>
      <c r="E1778" s="19"/>
      <c r="F1778" s="15">
        <f t="shared" si="30"/>
        <v>65881102.920000002</v>
      </c>
    </row>
    <row r="1779" spans="1:6" x14ac:dyDescent="0.2">
      <c r="A1779" s="3">
        <v>45692</v>
      </c>
      <c r="B1779" s="45"/>
      <c r="C1779" s="17" t="s">
        <v>14</v>
      </c>
      <c r="D1779" s="18">
        <v>4410.49</v>
      </c>
      <c r="E1779" s="19"/>
      <c r="F1779" s="15">
        <f t="shared" si="30"/>
        <v>65876692.43</v>
      </c>
    </row>
    <row r="1780" spans="1:6" x14ac:dyDescent="0.2">
      <c r="A1780" s="3">
        <v>45692</v>
      </c>
      <c r="B1780" s="45"/>
      <c r="C1780" s="17" t="s">
        <v>16</v>
      </c>
      <c r="D1780" s="18">
        <v>529096.42000000004</v>
      </c>
      <c r="E1780" s="19"/>
      <c r="F1780" s="15">
        <f t="shared" si="30"/>
        <v>65347596.009999998</v>
      </c>
    </row>
    <row r="1781" spans="1:6" x14ac:dyDescent="0.2">
      <c r="A1781" s="3">
        <v>45692</v>
      </c>
      <c r="B1781" s="45"/>
      <c r="C1781" s="17" t="s">
        <v>22</v>
      </c>
      <c r="D1781" s="18">
        <v>909447.12</v>
      </c>
      <c r="E1781" s="19"/>
      <c r="F1781" s="15">
        <f t="shared" si="30"/>
        <v>64438148.890000001</v>
      </c>
    </row>
    <row r="1782" spans="1:6" x14ac:dyDescent="0.2">
      <c r="A1782" s="3">
        <v>45692</v>
      </c>
      <c r="B1782" s="45"/>
      <c r="C1782" s="20" t="s">
        <v>291</v>
      </c>
      <c r="D1782" s="18">
        <v>151574.51999999999</v>
      </c>
      <c r="E1782" s="19"/>
      <c r="F1782" s="15">
        <f t="shared" si="30"/>
        <v>64286574.369999997</v>
      </c>
    </row>
    <row r="1783" spans="1:6" x14ac:dyDescent="0.2">
      <c r="A1783" s="3">
        <v>45693</v>
      </c>
      <c r="B1783" s="43">
        <v>10017</v>
      </c>
      <c r="C1783" s="20" t="s">
        <v>21</v>
      </c>
      <c r="D1783" s="25"/>
      <c r="E1783" s="25">
        <v>1390280</v>
      </c>
      <c r="F1783" s="15">
        <f t="shared" si="30"/>
        <v>65676854.369999997</v>
      </c>
    </row>
    <row r="1784" spans="1:6" x14ac:dyDescent="0.2">
      <c r="A1784" s="3">
        <v>45693</v>
      </c>
      <c r="B1784" s="43">
        <v>31834</v>
      </c>
      <c r="C1784" s="17" t="s">
        <v>12</v>
      </c>
      <c r="D1784" s="18">
        <v>143557.5</v>
      </c>
      <c r="E1784" s="19"/>
      <c r="F1784" s="15">
        <f t="shared" si="30"/>
        <v>65533296.869999997</v>
      </c>
    </row>
    <row r="1785" spans="1:6" x14ac:dyDescent="0.2">
      <c r="A1785" s="3">
        <v>45693</v>
      </c>
      <c r="B1785" s="45"/>
      <c r="C1785" s="17" t="s">
        <v>16</v>
      </c>
      <c r="D1785" s="18">
        <v>1770.8</v>
      </c>
      <c r="E1785" s="19"/>
      <c r="F1785" s="15">
        <f t="shared" si="30"/>
        <v>65531526.07</v>
      </c>
    </row>
    <row r="1786" spans="1:6" x14ac:dyDescent="0.2">
      <c r="A1786" s="3">
        <v>45693</v>
      </c>
      <c r="B1786" s="45"/>
      <c r="C1786" s="17" t="s">
        <v>22</v>
      </c>
      <c r="D1786" s="18">
        <v>8341.68</v>
      </c>
      <c r="E1786" s="19"/>
      <c r="F1786" s="15">
        <f t="shared" si="30"/>
        <v>65523184.390000001</v>
      </c>
    </row>
    <row r="1787" spans="1:6" x14ac:dyDescent="0.2">
      <c r="A1787" s="3">
        <v>45693</v>
      </c>
      <c r="B1787" s="45"/>
      <c r="C1787" s="20" t="s">
        <v>292</v>
      </c>
      <c r="D1787" s="18">
        <v>1390.28</v>
      </c>
      <c r="E1787" s="19"/>
      <c r="F1787" s="15">
        <f t="shared" si="30"/>
        <v>65521794.109999999</v>
      </c>
    </row>
    <row r="1788" spans="1:6" x14ac:dyDescent="0.2">
      <c r="A1788" s="3">
        <v>45694</v>
      </c>
      <c r="B1788" s="45"/>
      <c r="C1788" s="17" t="s">
        <v>113</v>
      </c>
      <c r="D1788" s="18">
        <v>11195.65</v>
      </c>
      <c r="E1788" s="19"/>
      <c r="F1788" s="15">
        <f t="shared" si="30"/>
        <v>65510598.460000001</v>
      </c>
    </row>
    <row r="1789" spans="1:6" x14ac:dyDescent="0.2">
      <c r="A1789" s="3">
        <v>45694</v>
      </c>
      <c r="B1789" s="45"/>
      <c r="C1789" s="17" t="s">
        <v>36</v>
      </c>
      <c r="D1789" s="18">
        <v>167.93</v>
      </c>
      <c r="E1789" s="19"/>
      <c r="F1789" s="15">
        <f t="shared" si="30"/>
        <v>65510430.530000001</v>
      </c>
    </row>
    <row r="1790" spans="1:6" x14ac:dyDescent="0.2">
      <c r="A1790" s="3">
        <v>45694</v>
      </c>
      <c r="B1790" s="45"/>
      <c r="C1790" s="17" t="s">
        <v>227</v>
      </c>
      <c r="D1790" s="18">
        <v>2351.09</v>
      </c>
      <c r="E1790" s="19"/>
      <c r="F1790" s="15">
        <f t="shared" si="30"/>
        <v>65508079.439999998</v>
      </c>
    </row>
    <row r="1791" spans="1:6" x14ac:dyDescent="0.2">
      <c r="A1791" s="3">
        <v>45694</v>
      </c>
      <c r="B1791" s="45"/>
      <c r="C1791" s="17" t="s">
        <v>37</v>
      </c>
      <c r="D1791" s="18">
        <v>335.87</v>
      </c>
      <c r="E1791" s="19"/>
      <c r="F1791" s="15">
        <f t="shared" si="30"/>
        <v>65507743.57</v>
      </c>
    </row>
    <row r="1792" spans="1:6" x14ac:dyDescent="0.2">
      <c r="A1792" s="3">
        <v>45694</v>
      </c>
      <c r="B1792" s="43">
        <v>31971</v>
      </c>
      <c r="C1792" s="17" t="s">
        <v>12</v>
      </c>
      <c r="D1792" s="18">
        <v>2962714.56</v>
      </c>
      <c r="E1792" s="19"/>
      <c r="F1792" s="15">
        <f t="shared" si="30"/>
        <v>62545029.009999998</v>
      </c>
    </row>
    <row r="1793" spans="1:6" x14ac:dyDescent="0.2">
      <c r="A1793" s="3">
        <v>45694</v>
      </c>
      <c r="B1793" s="43">
        <v>31778</v>
      </c>
      <c r="C1793" s="17" t="s">
        <v>12</v>
      </c>
      <c r="D1793" s="18">
        <v>8288367</v>
      </c>
      <c r="E1793" s="19"/>
      <c r="F1793" s="15">
        <f t="shared" si="30"/>
        <v>54256662.009999998</v>
      </c>
    </row>
    <row r="1794" spans="1:6" x14ac:dyDescent="0.2">
      <c r="A1794" s="3">
        <v>45694</v>
      </c>
      <c r="B1794" s="45"/>
      <c r="C1794" s="17" t="s">
        <v>16</v>
      </c>
      <c r="D1794" s="18">
        <v>67599.14</v>
      </c>
      <c r="E1794" s="19"/>
      <c r="F1794" s="15">
        <f t="shared" si="30"/>
        <v>54189062.869999997</v>
      </c>
    </row>
    <row r="1795" spans="1:6" x14ac:dyDescent="0.2">
      <c r="A1795" s="3">
        <v>45695</v>
      </c>
      <c r="B1795" s="43">
        <v>32010</v>
      </c>
      <c r="C1795" s="17" t="s">
        <v>9</v>
      </c>
      <c r="D1795" s="18">
        <v>2852126</v>
      </c>
      <c r="E1795" s="19"/>
      <c r="F1795" s="15">
        <f t="shared" si="30"/>
        <v>51336936.869999997</v>
      </c>
    </row>
    <row r="1796" spans="1:6" x14ac:dyDescent="0.2">
      <c r="A1796" s="3">
        <v>45695</v>
      </c>
      <c r="B1796" s="43">
        <v>4207987</v>
      </c>
      <c r="C1796" s="20" t="s">
        <v>293</v>
      </c>
      <c r="D1796" s="18">
        <v>6304972</v>
      </c>
      <c r="E1796" s="19"/>
      <c r="F1796" s="15">
        <f t="shared" si="30"/>
        <v>45031964.869999997</v>
      </c>
    </row>
    <row r="1797" spans="1:6" x14ac:dyDescent="0.2">
      <c r="A1797" s="3">
        <v>45695</v>
      </c>
      <c r="B1797" s="43">
        <v>4207988</v>
      </c>
      <c r="C1797" s="20" t="s">
        <v>51</v>
      </c>
      <c r="D1797" s="18">
        <v>240000</v>
      </c>
      <c r="E1797" s="19"/>
      <c r="F1797" s="15">
        <f t="shared" si="30"/>
        <v>44791964.869999997</v>
      </c>
    </row>
    <row r="1798" spans="1:6" x14ac:dyDescent="0.2">
      <c r="A1798" s="3">
        <v>45695</v>
      </c>
      <c r="B1798" s="43">
        <v>4207989</v>
      </c>
      <c r="C1798" s="20" t="s">
        <v>146</v>
      </c>
      <c r="D1798" s="18">
        <v>3485650.32</v>
      </c>
      <c r="E1798" s="19"/>
      <c r="F1798" s="15">
        <f t="shared" si="30"/>
        <v>41306314.549999997</v>
      </c>
    </row>
    <row r="1799" spans="1:6" x14ac:dyDescent="0.2">
      <c r="A1799" s="3">
        <v>45695</v>
      </c>
      <c r="B1799" s="45"/>
      <c r="C1799" s="17" t="s">
        <v>16</v>
      </c>
      <c r="D1799" s="18">
        <v>77296.490000000005</v>
      </c>
      <c r="E1799" s="19"/>
      <c r="F1799" s="15">
        <f t="shared" si="30"/>
        <v>41229018.059999995</v>
      </c>
    </row>
    <row r="1800" spans="1:6" x14ac:dyDescent="0.2">
      <c r="A1800" s="3">
        <v>45698</v>
      </c>
      <c r="B1800" s="43">
        <v>96349705</v>
      </c>
      <c r="C1800" s="20" t="s">
        <v>294</v>
      </c>
      <c r="D1800" s="19"/>
      <c r="E1800" s="18">
        <v>27000</v>
      </c>
      <c r="F1800" s="15">
        <f t="shared" si="30"/>
        <v>41256018.059999995</v>
      </c>
    </row>
    <row r="1801" spans="1:6" x14ac:dyDescent="0.2">
      <c r="A1801" s="3">
        <v>45698</v>
      </c>
      <c r="B1801" s="43">
        <v>4294393</v>
      </c>
      <c r="C1801" s="20" t="s">
        <v>78</v>
      </c>
      <c r="D1801" s="18">
        <v>270000</v>
      </c>
      <c r="E1801" s="19"/>
      <c r="F1801" s="15">
        <f t="shared" si="30"/>
        <v>40986018.059999995</v>
      </c>
    </row>
    <row r="1802" spans="1:6" x14ac:dyDescent="0.2">
      <c r="A1802" s="3">
        <v>45698</v>
      </c>
      <c r="B1802" s="43">
        <v>4294395</v>
      </c>
      <c r="C1802" s="20" t="s">
        <v>162</v>
      </c>
      <c r="D1802" s="18">
        <v>1537000</v>
      </c>
      <c r="E1802" s="19"/>
      <c r="F1802" s="15">
        <f t="shared" si="30"/>
        <v>39449018.059999995</v>
      </c>
    </row>
    <row r="1803" spans="1:6" x14ac:dyDescent="0.2">
      <c r="A1803" s="3">
        <v>45698</v>
      </c>
      <c r="B1803" s="43">
        <v>18326432</v>
      </c>
      <c r="C1803" s="20" t="s">
        <v>295</v>
      </c>
      <c r="D1803" s="18">
        <v>850000</v>
      </c>
      <c r="E1803" s="19"/>
      <c r="F1803" s="15">
        <f t="shared" si="30"/>
        <v>38599018.059999995</v>
      </c>
    </row>
    <row r="1804" spans="1:6" x14ac:dyDescent="0.2">
      <c r="A1804" s="3">
        <v>45698</v>
      </c>
      <c r="B1804" s="45"/>
      <c r="C1804" s="17" t="s">
        <v>22</v>
      </c>
      <c r="D1804" s="18">
        <v>162</v>
      </c>
      <c r="E1804" s="19"/>
      <c r="F1804" s="15">
        <f t="shared" si="30"/>
        <v>38598856.059999995</v>
      </c>
    </row>
    <row r="1805" spans="1:6" x14ac:dyDescent="0.2">
      <c r="A1805" s="3">
        <v>45698</v>
      </c>
      <c r="B1805" s="45"/>
      <c r="C1805" s="17" t="s">
        <v>16</v>
      </c>
      <c r="D1805" s="18">
        <v>15942</v>
      </c>
      <c r="E1805" s="19"/>
      <c r="F1805" s="15">
        <f t="shared" si="30"/>
        <v>38582914.059999995</v>
      </c>
    </row>
    <row r="1806" spans="1:6" x14ac:dyDescent="0.2">
      <c r="A1806" s="3">
        <v>45698</v>
      </c>
      <c r="B1806" s="45"/>
      <c r="C1806" s="20" t="s">
        <v>296</v>
      </c>
      <c r="D1806" s="18">
        <v>27</v>
      </c>
      <c r="E1806" s="19"/>
      <c r="F1806" s="15">
        <f t="shared" si="30"/>
        <v>38582887.059999995</v>
      </c>
    </row>
    <row r="1807" spans="1:6" x14ac:dyDescent="0.2">
      <c r="A1807" s="3">
        <v>45699</v>
      </c>
      <c r="B1807" s="46">
        <v>32063</v>
      </c>
      <c r="C1807" s="47" t="s">
        <v>9</v>
      </c>
      <c r="D1807" s="48">
        <v>859363.9</v>
      </c>
      <c r="E1807" s="49"/>
      <c r="F1807" s="15">
        <f t="shared" si="30"/>
        <v>37723523.159999996</v>
      </c>
    </row>
    <row r="1808" spans="1:6" x14ac:dyDescent="0.2">
      <c r="A1808" s="3">
        <v>45699</v>
      </c>
      <c r="B1808" s="44">
        <v>32071</v>
      </c>
      <c r="C1808" s="28" t="s">
        <v>97</v>
      </c>
      <c r="D1808" s="23">
        <v>50000</v>
      </c>
      <c r="E1808" s="24"/>
      <c r="F1808" s="15">
        <f t="shared" si="30"/>
        <v>37673523.159999996</v>
      </c>
    </row>
    <row r="1809" spans="1:6" x14ac:dyDescent="0.2">
      <c r="A1809" s="3">
        <v>45699</v>
      </c>
      <c r="B1809" s="43">
        <v>4059131</v>
      </c>
      <c r="C1809" s="20" t="s">
        <v>297</v>
      </c>
      <c r="D1809" s="18">
        <v>183455.28</v>
      </c>
      <c r="E1809" s="19"/>
      <c r="F1809" s="15">
        <f t="shared" si="30"/>
        <v>37490067.879999995</v>
      </c>
    </row>
    <row r="1810" spans="1:6" x14ac:dyDescent="0.2">
      <c r="A1810" s="3">
        <v>45699</v>
      </c>
      <c r="B1810" s="45"/>
      <c r="C1810" s="17" t="s">
        <v>16</v>
      </c>
      <c r="D1810" s="18">
        <v>6257.07</v>
      </c>
      <c r="E1810" s="19"/>
      <c r="F1810" s="15">
        <f t="shared" si="30"/>
        <v>37483810.809999995</v>
      </c>
    </row>
    <row r="1811" spans="1:6" x14ac:dyDescent="0.2">
      <c r="A1811" s="3">
        <v>45699</v>
      </c>
      <c r="B1811" s="45"/>
      <c r="C1811" s="17" t="s">
        <v>34</v>
      </c>
      <c r="D1811" s="18">
        <v>600</v>
      </c>
      <c r="E1811" s="19"/>
      <c r="F1811" s="15">
        <f t="shared" si="30"/>
        <v>37483210.809999995</v>
      </c>
    </row>
    <row r="1812" spans="1:6" x14ac:dyDescent="0.2">
      <c r="A1812" s="3">
        <v>45699</v>
      </c>
      <c r="B1812" s="43">
        <v>12265</v>
      </c>
      <c r="C1812" s="20" t="s">
        <v>7</v>
      </c>
      <c r="D1812" s="18">
        <v>720</v>
      </c>
      <c r="E1812" s="19"/>
      <c r="F1812" s="15">
        <f t="shared" si="30"/>
        <v>37482490.809999995</v>
      </c>
    </row>
    <row r="1813" spans="1:6" x14ac:dyDescent="0.2">
      <c r="A1813" s="3">
        <v>45699</v>
      </c>
      <c r="B1813" s="43">
        <v>12265</v>
      </c>
      <c r="C1813" s="17" t="s">
        <v>227</v>
      </c>
      <c r="D1813" s="18">
        <v>151.19999999999999</v>
      </c>
      <c r="E1813" s="19"/>
      <c r="F1813" s="15">
        <f t="shared" si="30"/>
        <v>37482339.609999992</v>
      </c>
    </row>
    <row r="1814" spans="1:6" x14ac:dyDescent="0.2">
      <c r="A1814" s="3">
        <v>45700</v>
      </c>
      <c r="B1814" s="43">
        <v>20000008</v>
      </c>
      <c r="C1814" s="17" t="s">
        <v>24</v>
      </c>
      <c r="D1814" s="19"/>
      <c r="E1814" s="18">
        <v>177905.31</v>
      </c>
      <c r="F1814" s="15">
        <f t="shared" ref="F1814:F1877" si="31">+F1813+E1814-D1814</f>
        <v>37660244.919999994</v>
      </c>
    </row>
    <row r="1815" spans="1:6" x14ac:dyDescent="0.2">
      <c r="A1815" s="3">
        <v>45700</v>
      </c>
      <c r="B1815" s="43">
        <v>32041</v>
      </c>
      <c r="C1815" s="17" t="s">
        <v>9</v>
      </c>
      <c r="D1815" s="18">
        <v>140294.94</v>
      </c>
      <c r="E1815" s="19"/>
      <c r="F1815" s="15">
        <f t="shared" si="31"/>
        <v>37519949.979999997</v>
      </c>
    </row>
    <row r="1816" spans="1:6" x14ac:dyDescent="0.2">
      <c r="A1816" s="3">
        <v>45700</v>
      </c>
      <c r="B1816" s="45"/>
      <c r="C1816" s="20" t="s">
        <v>207</v>
      </c>
      <c r="D1816" s="18">
        <v>1100</v>
      </c>
      <c r="E1816" s="19"/>
      <c r="F1816" s="15">
        <f t="shared" si="31"/>
        <v>37518849.979999997</v>
      </c>
    </row>
    <row r="1817" spans="1:6" x14ac:dyDescent="0.2">
      <c r="A1817" s="3">
        <v>45700</v>
      </c>
      <c r="B1817" s="45"/>
      <c r="C1817" s="17" t="s">
        <v>227</v>
      </c>
      <c r="D1817" s="18">
        <v>231</v>
      </c>
      <c r="E1817" s="19"/>
      <c r="F1817" s="15">
        <f t="shared" si="31"/>
        <v>37518618.979999997</v>
      </c>
    </row>
    <row r="1818" spans="1:6" x14ac:dyDescent="0.2">
      <c r="A1818" s="3">
        <v>45700</v>
      </c>
      <c r="B1818" s="43">
        <v>32073</v>
      </c>
      <c r="C1818" s="20" t="s">
        <v>28</v>
      </c>
      <c r="D1818" s="18">
        <v>50000</v>
      </c>
      <c r="E1818" s="19"/>
      <c r="F1818" s="15">
        <f t="shared" si="31"/>
        <v>37468618.979999997</v>
      </c>
    </row>
    <row r="1819" spans="1:6" x14ac:dyDescent="0.2">
      <c r="A1819" s="3">
        <v>45700</v>
      </c>
      <c r="B1819" s="43">
        <v>32074</v>
      </c>
      <c r="C1819" s="20" t="s">
        <v>97</v>
      </c>
      <c r="D1819" s="18">
        <v>50000</v>
      </c>
      <c r="E1819" s="19"/>
      <c r="F1819" s="15">
        <f t="shared" si="31"/>
        <v>37418618.979999997</v>
      </c>
    </row>
    <row r="1820" spans="1:6" x14ac:dyDescent="0.2">
      <c r="A1820" s="3">
        <v>45700</v>
      </c>
      <c r="B1820" s="43">
        <v>32075</v>
      </c>
      <c r="C1820" s="20" t="s">
        <v>298</v>
      </c>
      <c r="D1820" s="18">
        <v>50000</v>
      </c>
      <c r="E1820" s="19"/>
      <c r="F1820" s="15">
        <f t="shared" si="31"/>
        <v>37368618.979999997</v>
      </c>
    </row>
    <row r="1821" spans="1:6" x14ac:dyDescent="0.2">
      <c r="A1821" s="3">
        <v>45700</v>
      </c>
      <c r="B1821" s="43">
        <v>32076</v>
      </c>
      <c r="C1821" s="20" t="s">
        <v>29</v>
      </c>
      <c r="D1821" s="18">
        <v>50000</v>
      </c>
      <c r="E1821" s="19"/>
      <c r="F1821" s="15">
        <f t="shared" si="31"/>
        <v>37318618.979999997</v>
      </c>
    </row>
    <row r="1822" spans="1:6" x14ac:dyDescent="0.2">
      <c r="A1822" s="3">
        <v>45700</v>
      </c>
      <c r="B1822" s="43">
        <v>6854071</v>
      </c>
      <c r="C1822" s="20" t="s">
        <v>299</v>
      </c>
      <c r="D1822" s="19"/>
      <c r="E1822" s="18">
        <v>54515.7</v>
      </c>
      <c r="F1822" s="15">
        <f t="shared" si="31"/>
        <v>37373134.68</v>
      </c>
    </row>
    <row r="1823" spans="1:6" x14ac:dyDescent="0.2">
      <c r="A1823" s="3">
        <v>45700</v>
      </c>
      <c r="B1823" s="45"/>
      <c r="C1823" s="17" t="s">
        <v>34</v>
      </c>
      <c r="D1823" s="18">
        <v>2400</v>
      </c>
      <c r="E1823" s="19"/>
      <c r="F1823" s="15">
        <f t="shared" si="31"/>
        <v>37370734.68</v>
      </c>
    </row>
    <row r="1824" spans="1:6" x14ac:dyDescent="0.2">
      <c r="A1824" s="3">
        <v>45700</v>
      </c>
      <c r="B1824" s="45"/>
      <c r="C1824" s="17" t="s">
        <v>16</v>
      </c>
      <c r="D1824" s="18">
        <v>854.99</v>
      </c>
      <c r="E1824" s="19"/>
      <c r="F1824" s="15">
        <f t="shared" si="31"/>
        <v>37369879.689999998</v>
      </c>
    </row>
    <row r="1825" spans="1:6" x14ac:dyDescent="0.2">
      <c r="A1825" s="3">
        <v>45700</v>
      </c>
      <c r="B1825" s="45"/>
      <c r="C1825" s="17" t="s">
        <v>22</v>
      </c>
      <c r="D1825" s="18">
        <v>1394.52</v>
      </c>
      <c r="E1825" s="19"/>
      <c r="F1825" s="15">
        <f t="shared" si="31"/>
        <v>37368485.169999994</v>
      </c>
    </row>
    <row r="1826" spans="1:6" x14ac:dyDescent="0.2">
      <c r="A1826" s="3">
        <v>45700</v>
      </c>
      <c r="B1826" s="45"/>
      <c r="C1826" s="20" t="s">
        <v>300</v>
      </c>
      <c r="D1826" s="18">
        <v>232.43</v>
      </c>
      <c r="E1826" s="19"/>
      <c r="F1826" s="15">
        <f t="shared" si="31"/>
        <v>37368252.739999995</v>
      </c>
    </row>
    <row r="1827" spans="1:6" x14ac:dyDescent="0.2">
      <c r="A1827" s="3">
        <v>45701</v>
      </c>
      <c r="B1827" s="45"/>
      <c r="C1827" s="20" t="s">
        <v>35</v>
      </c>
      <c r="D1827" s="18">
        <v>4000</v>
      </c>
      <c r="E1827" s="19"/>
      <c r="F1827" s="15">
        <f t="shared" si="31"/>
        <v>37364252.739999995</v>
      </c>
    </row>
    <row r="1828" spans="1:6" x14ac:dyDescent="0.2">
      <c r="A1828" s="3">
        <v>45701</v>
      </c>
      <c r="B1828" s="45"/>
      <c r="C1828" s="17" t="s">
        <v>36</v>
      </c>
      <c r="D1828" s="18">
        <v>60</v>
      </c>
      <c r="E1828" s="19"/>
      <c r="F1828" s="15">
        <f t="shared" si="31"/>
        <v>37364192.739999995</v>
      </c>
    </row>
    <row r="1829" spans="1:6" x14ac:dyDescent="0.2">
      <c r="A1829" s="3">
        <v>45701</v>
      </c>
      <c r="B1829" s="45"/>
      <c r="C1829" s="17" t="s">
        <v>227</v>
      </c>
      <c r="D1829" s="18">
        <v>840</v>
      </c>
      <c r="E1829" s="19"/>
      <c r="F1829" s="15">
        <f t="shared" si="31"/>
        <v>37363352.739999995</v>
      </c>
    </row>
    <row r="1830" spans="1:6" x14ac:dyDescent="0.2">
      <c r="A1830" s="3">
        <v>45701</v>
      </c>
      <c r="B1830" s="45"/>
      <c r="C1830" s="17" t="s">
        <v>37</v>
      </c>
      <c r="D1830" s="18">
        <v>120</v>
      </c>
      <c r="E1830" s="19"/>
      <c r="F1830" s="15">
        <f t="shared" si="31"/>
        <v>37363232.739999995</v>
      </c>
    </row>
    <row r="1831" spans="1:6" x14ac:dyDescent="0.2">
      <c r="A1831" s="3">
        <v>45701</v>
      </c>
      <c r="B1831" s="43">
        <v>27851207</v>
      </c>
      <c r="C1831" s="20" t="s">
        <v>301</v>
      </c>
      <c r="D1831" s="19"/>
      <c r="E1831" s="18">
        <v>65000</v>
      </c>
      <c r="F1831" s="15">
        <f t="shared" si="31"/>
        <v>37428232.739999995</v>
      </c>
    </row>
    <row r="1832" spans="1:6" x14ac:dyDescent="0.2">
      <c r="A1832" s="3">
        <v>45701</v>
      </c>
      <c r="B1832" s="43">
        <v>48025</v>
      </c>
      <c r="C1832" s="20" t="s">
        <v>302</v>
      </c>
      <c r="D1832" s="19"/>
      <c r="E1832" s="18">
        <v>14666.65</v>
      </c>
      <c r="F1832" s="15">
        <f t="shared" si="31"/>
        <v>37442899.389999993</v>
      </c>
    </row>
    <row r="1833" spans="1:6" x14ac:dyDescent="0.2">
      <c r="A1833" s="3">
        <v>45701</v>
      </c>
      <c r="B1833" s="46">
        <v>3499874</v>
      </c>
      <c r="C1833" s="9" t="s">
        <v>303</v>
      </c>
      <c r="D1833" s="62"/>
      <c r="E1833" s="63">
        <v>4864.7299999999996</v>
      </c>
      <c r="F1833" s="15">
        <f t="shared" si="31"/>
        <v>37447764.11999999</v>
      </c>
    </row>
    <row r="1834" spans="1:6" x14ac:dyDescent="0.2">
      <c r="A1834" s="3">
        <v>45701</v>
      </c>
      <c r="B1834" s="50"/>
      <c r="C1834" s="22" t="s">
        <v>22</v>
      </c>
      <c r="D1834" s="23">
        <v>507.19</v>
      </c>
      <c r="E1834" s="24"/>
      <c r="F1834" s="15">
        <f t="shared" si="31"/>
        <v>37447256.929999992</v>
      </c>
    </row>
    <row r="1835" spans="1:6" x14ac:dyDescent="0.2">
      <c r="A1835" s="3">
        <v>45701</v>
      </c>
      <c r="B1835" s="45"/>
      <c r="C1835" s="17" t="s">
        <v>16</v>
      </c>
      <c r="D1835" s="18">
        <v>31.51</v>
      </c>
      <c r="E1835" s="19"/>
      <c r="F1835" s="15">
        <f t="shared" si="31"/>
        <v>37447225.419999994</v>
      </c>
    </row>
    <row r="1836" spans="1:6" x14ac:dyDescent="0.2">
      <c r="A1836" s="3">
        <v>45701</v>
      </c>
      <c r="B1836" s="45"/>
      <c r="C1836" s="20" t="s">
        <v>304</v>
      </c>
      <c r="D1836" s="18">
        <v>84.53</v>
      </c>
      <c r="E1836" s="19"/>
      <c r="F1836" s="15">
        <f t="shared" si="31"/>
        <v>37447140.889999993</v>
      </c>
    </row>
    <row r="1837" spans="1:6" x14ac:dyDescent="0.2">
      <c r="A1837" s="3">
        <v>45702</v>
      </c>
      <c r="B1837" s="43">
        <v>11181346</v>
      </c>
      <c r="C1837" s="20" t="s">
        <v>305</v>
      </c>
      <c r="D1837" s="18">
        <v>344300</v>
      </c>
      <c r="E1837" s="19"/>
      <c r="F1837" s="15">
        <f t="shared" si="31"/>
        <v>37102840.889999993</v>
      </c>
    </row>
    <row r="1838" spans="1:6" x14ac:dyDescent="0.2">
      <c r="A1838" s="3">
        <v>45702</v>
      </c>
      <c r="B1838" s="43">
        <v>4233862</v>
      </c>
      <c r="C1838" s="20" t="s">
        <v>306</v>
      </c>
      <c r="D1838" s="18">
        <v>105500</v>
      </c>
      <c r="E1838" s="19"/>
      <c r="F1838" s="15">
        <f t="shared" si="31"/>
        <v>36997340.889999993</v>
      </c>
    </row>
    <row r="1839" spans="1:6" x14ac:dyDescent="0.2">
      <c r="A1839" s="3">
        <v>45702</v>
      </c>
      <c r="B1839" s="43">
        <v>4233864</v>
      </c>
      <c r="C1839" s="20" t="s">
        <v>306</v>
      </c>
      <c r="D1839" s="18">
        <v>58000</v>
      </c>
      <c r="E1839" s="19"/>
      <c r="F1839" s="15">
        <f t="shared" si="31"/>
        <v>36939340.889999993</v>
      </c>
    </row>
    <row r="1840" spans="1:6" x14ac:dyDescent="0.2">
      <c r="A1840" s="3">
        <v>45702</v>
      </c>
      <c r="B1840" s="43">
        <v>4233868</v>
      </c>
      <c r="C1840" s="20" t="s">
        <v>280</v>
      </c>
      <c r="D1840" s="18">
        <v>100000</v>
      </c>
      <c r="E1840" s="19"/>
      <c r="F1840" s="15">
        <f t="shared" si="31"/>
        <v>36839340.889999993</v>
      </c>
    </row>
    <row r="1841" spans="1:6" x14ac:dyDescent="0.2">
      <c r="A1841" s="3">
        <v>45702</v>
      </c>
      <c r="B1841" s="43">
        <v>12437</v>
      </c>
      <c r="C1841" s="20" t="s">
        <v>21</v>
      </c>
      <c r="D1841" s="19"/>
      <c r="E1841" s="18">
        <v>51920.9</v>
      </c>
      <c r="F1841" s="15">
        <f t="shared" si="31"/>
        <v>36891261.789999992</v>
      </c>
    </row>
    <row r="1842" spans="1:6" x14ac:dyDescent="0.2">
      <c r="A1842" s="3">
        <v>45702</v>
      </c>
      <c r="B1842" s="43">
        <v>31977</v>
      </c>
      <c r="C1842" s="17" t="s">
        <v>12</v>
      </c>
      <c r="D1842" s="18">
        <v>80970.009999999995</v>
      </c>
      <c r="E1842" s="19"/>
      <c r="F1842" s="15">
        <f t="shared" si="31"/>
        <v>36810291.779999994</v>
      </c>
    </row>
    <row r="1843" spans="1:6" x14ac:dyDescent="0.2">
      <c r="A1843" s="3">
        <v>45702</v>
      </c>
      <c r="B1843" s="45"/>
      <c r="C1843" s="17" t="s">
        <v>16</v>
      </c>
      <c r="D1843" s="18">
        <v>4133.13</v>
      </c>
      <c r="E1843" s="19"/>
      <c r="F1843" s="15">
        <f t="shared" si="31"/>
        <v>36806158.649999991</v>
      </c>
    </row>
    <row r="1844" spans="1:6" x14ac:dyDescent="0.2">
      <c r="A1844" s="3">
        <v>45702</v>
      </c>
      <c r="B1844" s="45"/>
      <c r="C1844" s="17" t="s">
        <v>22</v>
      </c>
      <c r="D1844" s="18">
        <v>311.52999999999997</v>
      </c>
      <c r="E1844" s="19"/>
      <c r="F1844" s="15">
        <f t="shared" si="31"/>
        <v>36805847.11999999</v>
      </c>
    </row>
    <row r="1845" spans="1:6" x14ac:dyDescent="0.2">
      <c r="A1845" s="3">
        <v>45702</v>
      </c>
      <c r="B1845" s="43">
        <v>15122</v>
      </c>
      <c r="C1845" s="20" t="s">
        <v>7</v>
      </c>
      <c r="D1845" s="18">
        <v>720</v>
      </c>
      <c r="E1845" s="19"/>
      <c r="F1845" s="15">
        <f t="shared" si="31"/>
        <v>36805127.11999999</v>
      </c>
    </row>
    <row r="1846" spans="1:6" x14ac:dyDescent="0.2">
      <c r="A1846" s="3">
        <v>45702</v>
      </c>
      <c r="B1846" s="43">
        <v>15122</v>
      </c>
      <c r="C1846" s="17" t="s">
        <v>227</v>
      </c>
      <c r="D1846" s="18">
        <v>151.19999999999999</v>
      </c>
      <c r="E1846" s="19"/>
      <c r="F1846" s="15">
        <f t="shared" si="31"/>
        <v>36804975.919999987</v>
      </c>
    </row>
    <row r="1847" spans="1:6" x14ac:dyDescent="0.2">
      <c r="A1847" s="3">
        <v>45702</v>
      </c>
      <c r="B1847" s="43">
        <v>15123</v>
      </c>
      <c r="C1847" s="20" t="s">
        <v>7</v>
      </c>
      <c r="D1847" s="18">
        <v>720</v>
      </c>
      <c r="E1847" s="19"/>
      <c r="F1847" s="15">
        <f t="shared" si="31"/>
        <v>36804255.919999987</v>
      </c>
    </row>
    <row r="1848" spans="1:6" x14ac:dyDescent="0.2">
      <c r="A1848" s="3">
        <v>45702</v>
      </c>
      <c r="B1848" s="43">
        <v>15123</v>
      </c>
      <c r="C1848" s="17" t="s">
        <v>227</v>
      </c>
      <c r="D1848" s="18">
        <v>151.19999999999999</v>
      </c>
      <c r="E1848" s="19"/>
      <c r="F1848" s="15">
        <f t="shared" si="31"/>
        <v>36804104.719999984</v>
      </c>
    </row>
    <row r="1849" spans="1:6" x14ac:dyDescent="0.2">
      <c r="A1849" s="3">
        <v>45702</v>
      </c>
      <c r="B1849" s="43">
        <v>15124</v>
      </c>
      <c r="C1849" s="20" t="s">
        <v>7</v>
      </c>
      <c r="D1849" s="18">
        <v>720</v>
      </c>
      <c r="E1849" s="19"/>
      <c r="F1849" s="15">
        <f t="shared" si="31"/>
        <v>36803384.719999984</v>
      </c>
    </row>
    <row r="1850" spans="1:6" x14ac:dyDescent="0.2">
      <c r="A1850" s="3">
        <v>45702</v>
      </c>
      <c r="B1850" s="43">
        <v>15124</v>
      </c>
      <c r="C1850" s="17" t="s">
        <v>227</v>
      </c>
      <c r="D1850" s="18">
        <v>151.19999999999999</v>
      </c>
      <c r="E1850" s="19"/>
      <c r="F1850" s="15">
        <f t="shared" si="31"/>
        <v>36803233.519999981</v>
      </c>
    </row>
    <row r="1851" spans="1:6" x14ac:dyDescent="0.2">
      <c r="A1851" s="3">
        <v>45702</v>
      </c>
      <c r="B1851" s="45"/>
      <c r="C1851" s="20" t="s">
        <v>307</v>
      </c>
      <c r="D1851" s="18">
        <v>51.92</v>
      </c>
      <c r="E1851" s="19"/>
      <c r="F1851" s="15">
        <f t="shared" si="31"/>
        <v>36803181.599999979</v>
      </c>
    </row>
    <row r="1852" spans="1:6" x14ac:dyDescent="0.2">
      <c r="A1852" s="3">
        <v>45705</v>
      </c>
      <c r="B1852" s="43">
        <v>109951</v>
      </c>
      <c r="C1852" s="20" t="s">
        <v>46</v>
      </c>
      <c r="D1852" s="18">
        <v>48824.41</v>
      </c>
      <c r="E1852" s="19"/>
      <c r="F1852" s="15">
        <f t="shared" si="31"/>
        <v>36754357.189999983</v>
      </c>
    </row>
    <row r="1853" spans="1:6" x14ac:dyDescent="0.2">
      <c r="A1853" s="3">
        <v>45705</v>
      </c>
      <c r="B1853" s="43">
        <v>109952</v>
      </c>
      <c r="C1853" s="20" t="s">
        <v>46</v>
      </c>
      <c r="D1853" s="18">
        <v>591990.4</v>
      </c>
      <c r="E1853" s="19"/>
      <c r="F1853" s="15">
        <f t="shared" si="31"/>
        <v>36162366.789999984</v>
      </c>
    </row>
    <row r="1854" spans="1:6" x14ac:dyDescent="0.2">
      <c r="A1854" s="3">
        <v>45705</v>
      </c>
      <c r="B1854" s="43">
        <v>157795</v>
      </c>
      <c r="C1854" s="20" t="s">
        <v>46</v>
      </c>
      <c r="D1854" s="18">
        <v>259570.14</v>
      </c>
      <c r="E1854" s="19"/>
      <c r="F1854" s="15">
        <f t="shared" si="31"/>
        <v>35902796.649999984</v>
      </c>
    </row>
    <row r="1855" spans="1:6" x14ac:dyDescent="0.2">
      <c r="A1855" s="3">
        <v>45705</v>
      </c>
      <c r="B1855" s="43">
        <v>240407</v>
      </c>
      <c r="C1855" s="20" t="s">
        <v>46</v>
      </c>
      <c r="D1855" s="18">
        <v>2680479.87</v>
      </c>
      <c r="E1855" s="19"/>
      <c r="F1855" s="15">
        <f t="shared" si="31"/>
        <v>33222316.779999983</v>
      </c>
    </row>
    <row r="1856" spans="1:6" x14ac:dyDescent="0.2">
      <c r="A1856" s="3">
        <v>45705</v>
      </c>
      <c r="B1856" s="43">
        <v>240408</v>
      </c>
      <c r="C1856" s="20" t="s">
        <v>46</v>
      </c>
      <c r="D1856" s="18">
        <v>2701040.94</v>
      </c>
      <c r="E1856" s="19"/>
      <c r="F1856" s="15">
        <f t="shared" si="31"/>
        <v>30521275.839999981</v>
      </c>
    </row>
    <row r="1857" spans="1:6" x14ac:dyDescent="0.2">
      <c r="A1857" s="3">
        <v>45705</v>
      </c>
      <c r="B1857" s="46">
        <v>240409</v>
      </c>
      <c r="C1857" s="9" t="s">
        <v>46</v>
      </c>
      <c r="D1857" s="48">
        <v>2771406.99</v>
      </c>
      <c r="E1857" s="49"/>
      <c r="F1857" s="15">
        <f t="shared" si="31"/>
        <v>27749868.849999979</v>
      </c>
    </row>
    <row r="1858" spans="1:6" x14ac:dyDescent="0.2">
      <c r="A1858" s="3">
        <v>45705</v>
      </c>
      <c r="B1858" s="44">
        <v>240410</v>
      </c>
      <c r="C1858" s="28" t="s">
        <v>46</v>
      </c>
      <c r="D1858" s="23">
        <v>2971286.58</v>
      </c>
      <c r="E1858" s="24"/>
      <c r="F1858" s="15">
        <f t="shared" si="31"/>
        <v>24778582.269999981</v>
      </c>
    </row>
    <row r="1859" spans="1:6" x14ac:dyDescent="0.2">
      <c r="A1859" s="3">
        <v>45705</v>
      </c>
      <c r="B1859" s="43">
        <v>240411</v>
      </c>
      <c r="C1859" s="20" t="s">
        <v>46</v>
      </c>
      <c r="D1859" s="18">
        <v>3068147.36</v>
      </c>
      <c r="E1859" s="19"/>
      <c r="F1859" s="15">
        <f t="shared" si="31"/>
        <v>21710434.909999982</v>
      </c>
    </row>
    <row r="1860" spans="1:6" x14ac:dyDescent="0.2">
      <c r="A1860" s="3">
        <v>45705</v>
      </c>
      <c r="B1860" s="43">
        <v>240412</v>
      </c>
      <c r="C1860" s="20" t="s">
        <v>46</v>
      </c>
      <c r="D1860" s="18">
        <v>4730355.55</v>
      </c>
      <c r="E1860" s="19"/>
      <c r="F1860" s="15">
        <f t="shared" si="31"/>
        <v>16980079.359999981</v>
      </c>
    </row>
    <row r="1861" spans="1:6" x14ac:dyDescent="0.2">
      <c r="A1861" s="3">
        <v>45705</v>
      </c>
      <c r="B1861" s="43">
        <v>301144</v>
      </c>
      <c r="C1861" s="20" t="s">
        <v>46</v>
      </c>
      <c r="D1861" s="18">
        <v>450308.01</v>
      </c>
      <c r="E1861" s="19"/>
      <c r="F1861" s="15">
        <f t="shared" si="31"/>
        <v>16529771.349999981</v>
      </c>
    </row>
    <row r="1862" spans="1:6" x14ac:dyDescent="0.2">
      <c r="A1862" s="3">
        <v>45705</v>
      </c>
      <c r="B1862" s="43">
        <v>70390</v>
      </c>
      <c r="C1862" s="20" t="s">
        <v>308</v>
      </c>
      <c r="D1862" s="25"/>
      <c r="E1862" s="25">
        <v>1101360.57</v>
      </c>
      <c r="F1862" s="15">
        <f t="shared" si="31"/>
        <v>17631131.919999979</v>
      </c>
    </row>
    <row r="1863" spans="1:6" x14ac:dyDescent="0.2">
      <c r="A1863" s="3">
        <v>45705</v>
      </c>
      <c r="B1863" s="43">
        <v>78107</v>
      </c>
      <c r="C1863" s="20" t="s">
        <v>217</v>
      </c>
      <c r="D1863" s="25"/>
      <c r="E1863" s="25">
        <v>100000000</v>
      </c>
      <c r="F1863" s="15">
        <f t="shared" si="31"/>
        <v>117631131.91999999</v>
      </c>
    </row>
    <row r="1864" spans="1:6" x14ac:dyDescent="0.2">
      <c r="A1864" s="3">
        <v>45705</v>
      </c>
      <c r="B1864" s="43">
        <v>4064984</v>
      </c>
      <c r="C1864" s="20" t="s">
        <v>205</v>
      </c>
      <c r="D1864" s="18">
        <v>3025000</v>
      </c>
      <c r="E1864" s="19"/>
      <c r="F1864" s="15">
        <f t="shared" si="31"/>
        <v>114606131.91999999</v>
      </c>
    </row>
    <row r="1865" spans="1:6" x14ac:dyDescent="0.2">
      <c r="A1865" s="3">
        <v>45705</v>
      </c>
      <c r="B1865" s="43">
        <v>4064985</v>
      </c>
      <c r="C1865" s="20" t="s">
        <v>139</v>
      </c>
      <c r="D1865" s="18">
        <v>1032648.9</v>
      </c>
      <c r="E1865" s="19"/>
      <c r="F1865" s="15">
        <f t="shared" si="31"/>
        <v>113573483.01999998</v>
      </c>
    </row>
    <row r="1866" spans="1:6" x14ac:dyDescent="0.2">
      <c r="A1866" s="3">
        <v>45705</v>
      </c>
      <c r="B1866" s="43">
        <v>4064986</v>
      </c>
      <c r="C1866" s="20" t="s">
        <v>309</v>
      </c>
      <c r="D1866" s="18">
        <v>279625</v>
      </c>
      <c r="E1866" s="19"/>
      <c r="F1866" s="15">
        <f t="shared" si="31"/>
        <v>113293858.01999998</v>
      </c>
    </row>
    <row r="1867" spans="1:6" x14ac:dyDescent="0.2">
      <c r="A1867" s="3">
        <v>45705</v>
      </c>
      <c r="B1867" s="43">
        <v>4064987</v>
      </c>
      <c r="C1867" s="20" t="s">
        <v>125</v>
      </c>
      <c r="D1867" s="18">
        <v>2000000</v>
      </c>
      <c r="E1867" s="19"/>
      <c r="F1867" s="15">
        <f t="shared" si="31"/>
        <v>111293858.01999998</v>
      </c>
    </row>
    <row r="1868" spans="1:6" x14ac:dyDescent="0.2">
      <c r="A1868" s="3">
        <v>45705</v>
      </c>
      <c r="B1868" s="43">
        <v>41313655</v>
      </c>
      <c r="C1868" s="20" t="s">
        <v>53</v>
      </c>
      <c r="D1868" s="18">
        <v>27586.16</v>
      </c>
      <c r="E1868" s="19"/>
      <c r="F1868" s="15">
        <f t="shared" si="31"/>
        <v>111266271.85999998</v>
      </c>
    </row>
    <row r="1869" spans="1:6" x14ac:dyDescent="0.2">
      <c r="A1869" s="3">
        <v>45705</v>
      </c>
      <c r="B1869" s="43">
        <v>42516419</v>
      </c>
      <c r="C1869" s="20" t="s">
        <v>65</v>
      </c>
      <c r="D1869" s="18">
        <v>167721.97</v>
      </c>
      <c r="E1869" s="19"/>
      <c r="F1869" s="15">
        <f t="shared" si="31"/>
        <v>111098549.88999999</v>
      </c>
    </row>
    <row r="1870" spans="1:6" x14ac:dyDescent="0.2">
      <c r="A1870" s="3">
        <v>45705</v>
      </c>
      <c r="B1870" s="43">
        <v>43586422</v>
      </c>
      <c r="C1870" s="20" t="s">
        <v>66</v>
      </c>
      <c r="D1870" s="18">
        <v>579607.43000000005</v>
      </c>
      <c r="E1870" s="19"/>
      <c r="F1870" s="15">
        <f t="shared" si="31"/>
        <v>110518942.45999998</v>
      </c>
    </row>
    <row r="1871" spans="1:6" x14ac:dyDescent="0.2">
      <c r="A1871" s="3">
        <v>45705</v>
      </c>
      <c r="B1871" s="43">
        <v>44594260</v>
      </c>
      <c r="C1871" s="20" t="s">
        <v>70</v>
      </c>
      <c r="D1871" s="18">
        <v>21791.82</v>
      </c>
      <c r="E1871" s="19"/>
      <c r="F1871" s="15">
        <f t="shared" si="31"/>
        <v>110497150.63999999</v>
      </c>
    </row>
    <row r="1872" spans="1:6" x14ac:dyDescent="0.2">
      <c r="A1872" s="3">
        <v>45705</v>
      </c>
      <c r="B1872" s="43">
        <v>45495684</v>
      </c>
      <c r="C1872" s="20" t="s">
        <v>62</v>
      </c>
      <c r="D1872" s="18">
        <v>4572.3500000000004</v>
      </c>
      <c r="E1872" s="19"/>
      <c r="F1872" s="15">
        <f t="shared" si="31"/>
        <v>110492578.28999999</v>
      </c>
    </row>
    <row r="1873" spans="1:6" x14ac:dyDescent="0.2">
      <c r="A1873" s="3">
        <v>45705</v>
      </c>
      <c r="B1873" s="43">
        <v>46882392</v>
      </c>
      <c r="C1873" s="20" t="s">
        <v>54</v>
      </c>
      <c r="D1873" s="18">
        <v>72463.61</v>
      </c>
      <c r="E1873" s="19"/>
      <c r="F1873" s="15">
        <f t="shared" si="31"/>
        <v>110420114.67999999</v>
      </c>
    </row>
    <row r="1874" spans="1:6" x14ac:dyDescent="0.2">
      <c r="A1874" s="3">
        <v>45705</v>
      </c>
      <c r="B1874" s="43">
        <v>48290440</v>
      </c>
      <c r="C1874" s="20" t="s">
        <v>261</v>
      </c>
      <c r="D1874" s="18">
        <v>31636.28</v>
      </c>
      <c r="E1874" s="19"/>
      <c r="F1874" s="15">
        <f t="shared" si="31"/>
        <v>110388478.39999999</v>
      </c>
    </row>
    <row r="1875" spans="1:6" x14ac:dyDescent="0.2">
      <c r="A1875" s="3">
        <v>45705</v>
      </c>
      <c r="B1875" s="43">
        <v>71320004</v>
      </c>
      <c r="C1875" s="20" t="s">
        <v>262</v>
      </c>
      <c r="D1875" s="18">
        <v>12831.6</v>
      </c>
      <c r="E1875" s="19"/>
      <c r="F1875" s="15">
        <f t="shared" si="31"/>
        <v>110375646.8</v>
      </c>
    </row>
    <row r="1876" spans="1:6" x14ac:dyDescent="0.2">
      <c r="A1876" s="3">
        <v>45705</v>
      </c>
      <c r="B1876" s="43">
        <v>72336779</v>
      </c>
      <c r="C1876" s="20" t="s">
        <v>55</v>
      </c>
      <c r="D1876" s="18">
        <v>97526.399999999994</v>
      </c>
      <c r="E1876" s="19"/>
      <c r="F1876" s="15">
        <f t="shared" si="31"/>
        <v>110278120.39999999</v>
      </c>
    </row>
    <row r="1877" spans="1:6" x14ac:dyDescent="0.2">
      <c r="A1877" s="3">
        <v>45705</v>
      </c>
      <c r="B1877" s="43">
        <v>73387299</v>
      </c>
      <c r="C1877" s="20" t="s">
        <v>56</v>
      </c>
      <c r="D1877" s="18">
        <v>118472.35</v>
      </c>
      <c r="E1877" s="19"/>
      <c r="F1877" s="15">
        <f t="shared" si="31"/>
        <v>110159648.05</v>
      </c>
    </row>
    <row r="1878" spans="1:6" x14ac:dyDescent="0.2">
      <c r="A1878" s="3">
        <v>45705</v>
      </c>
      <c r="B1878" s="43">
        <v>74610092</v>
      </c>
      <c r="C1878" s="20" t="s">
        <v>263</v>
      </c>
      <c r="D1878" s="18">
        <v>14993.41</v>
      </c>
      <c r="E1878" s="19"/>
      <c r="F1878" s="15">
        <f t="shared" ref="F1878:F1941" si="32">+F1877+E1878-D1878</f>
        <v>110144654.64</v>
      </c>
    </row>
    <row r="1879" spans="1:6" x14ac:dyDescent="0.2">
      <c r="A1879" s="3">
        <v>45705</v>
      </c>
      <c r="B1879" s="43">
        <v>75786092</v>
      </c>
      <c r="C1879" s="20" t="s">
        <v>57</v>
      </c>
      <c r="D1879" s="18">
        <v>138388</v>
      </c>
      <c r="E1879" s="19"/>
      <c r="F1879" s="15">
        <f t="shared" si="32"/>
        <v>110006266.64</v>
      </c>
    </row>
    <row r="1880" spans="1:6" x14ac:dyDescent="0.2">
      <c r="A1880" s="3">
        <v>45705</v>
      </c>
      <c r="B1880" s="46">
        <v>76868691</v>
      </c>
      <c r="C1880" s="9" t="s">
        <v>67</v>
      </c>
      <c r="D1880" s="48">
        <v>23581.75</v>
      </c>
      <c r="E1880" s="49"/>
      <c r="F1880" s="15">
        <f t="shared" si="32"/>
        <v>109982684.89</v>
      </c>
    </row>
    <row r="1881" spans="1:6" x14ac:dyDescent="0.2">
      <c r="A1881" s="3">
        <v>45705</v>
      </c>
      <c r="B1881" s="44">
        <v>78146562</v>
      </c>
      <c r="C1881" s="28" t="s">
        <v>117</v>
      </c>
      <c r="D1881" s="23">
        <v>192912.97</v>
      </c>
      <c r="E1881" s="24"/>
      <c r="F1881" s="15">
        <f t="shared" si="32"/>
        <v>109789771.92</v>
      </c>
    </row>
    <row r="1882" spans="1:6" x14ac:dyDescent="0.2">
      <c r="A1882" s="3">
        <v>45705</v>
      </c>
      <c r="B1882" s="43">
        <v>79515234</v>
      </c>
      <c r="C1882" s="20" t="s">
        <v>177</v>
      </c>
      <c r="D1882" s="18">
        <v>2114334.2599999998</v>
      </c>
      <c r="E1882" s="19"/>
      <c r="F1882" s="15">
        <f t="shared" si="32"/>
        <v>107675437.66</v>
      </c>
    </row>
    <row r="1883" spans="1:6" x14ac:dyDescent="0.2">
      <c r="A1883" s="3">
        <v>45705</v>
      </c>
      <c r="B1883" s="43">
        <v>23933955</v>
      </c>
      <c r="C1883" s="20" t="s">
        <v>71</v>
      </c>
      <c r="D1883" s="18">
        <v>113016.71</v>
      </c>
      <c r="E1883" s="19"/>
      <c r="F1883" s="15">
        <f t="shared" si="32"/>
        <v>107562420.95</v>
      </c>
    </row>
    <row r="1884" spans="1:6" x14ac:dyDescent="0.2">
      <c r="A1884" s="3">
        <v>45705</v>
      </c>
      <c r="B1884" s="43">
        <v>25165550</v>
      </c>
      <c r="C1884" s="20" t="s">
        <v>101</v>
      </c>
      <c r="D1884" s="18">
        <v>118455.03</v>
      </c>
      <c r="E1884" s="19"/>
      <c r="F1884" s="15">
        <f t="shared" si="32"/>
        <v>107443965.92</v>
      </c>
    </row>
    <row r="1885" spans="1:6" x14ac:dyDescent="0.2">
      <c r="A1885" s="3">
        <v>45705</v>
      </c>
      <c r="B1885" s="43">
        <v>26187759</v>
      </c>
      <c r="C1885" s="20" t="s">
        <v>69</v>
      </c>
      <c r="D1885" s="18">
        <v>31374.1</v>
      </c>
      <c r="E1885" s="19"/>
      <c r="F1885" s="15">
        <f t="shared" si="32"/>
        <v>107412591.82000001</v>
      </c>
    </row>
    <row r="1886" spans="1:6" x14ac:dyDescent="0.2">
      <c r="A1886" s="3">
        <v>45705</v>
      </c>
      <c r="B1886" s="43">
        <v>27616856</v>
      </c>
      <c r="C1886" s="20" t="s">
        <v>68</v>
      </c>
      <c r="D1886" s="18">
        <v>40493.800000000003</v>
      </c>
      <c r="E1886" s="19"/>
      <c r="F1886" s="15">
        <f t="shared" si="32"/>
        <v>107372098.02000001</v>
      </c>
    </row>
    <row r="1887" spans="1:6" x14ac:dyDescent="0.2">
      <c r="A1887" s="3">
        <v>45705</v>
      </c>
      <c r="B1887" s="43">
        <v>70310</v>
      </c>
      <c r="C1887" s="20" t="s">
        <v>11</v>
      </c>
      <c r="D1887" s="18">
        <v>1711467</v>
      </c>
      <c r="E1887" s="19"/>
      <c r="F1887" s="15">
        <f t="shared" si="32"/>
        <v>105660631.02000001</v>
      </c>
    </row>
    <row r="1888" spans="1:6" x14ac:dyDescent="0.2">
      <c r="A1888" s="3">
        <v>45705</v>
      </c>
      <c r="B1888" s="45"/>
      <c r="C1888" s="17" t="s">
        <v>13</v>
      </c>
      <c r="D1888" s="18">
        <v>20043698.800000001</v>
      </c>
      <c r="E1888" s="19"/>
      <c r="F1888" s="15">
        <f t="shared" si="32"/>
        <v>85616932.220000014</v>
      </c>
    </row>
    <row r="1889" spans="1:6" x14ac:dyDescent="0.2">
      <c r="A1889" s="3">
        <v>45705</v>
      </c>
      <c r="B1889" s="45"/>
      <c r="C1889" s="17" t="s">
        <v>232</v>
      </c>
      <c r="D1889" s="18">
        <v>125.78</v>
      </c>
      <c r="E1889" s="19"/>
      <c r="F1889" s="15">
        <f t="shared" si="32"/>
        <v>85616806.440000013</v>
      </c>
    </row>
    <row r="1890" spans="1:6" x14ac:dyDescent="0.2">
      <c r="A1890" s="3">
        <v>45705</v>
      </c>
      <c r="B1890" s="45"/>
      <c r="C1890" s="17" t="s">
        <v>14</v>
      </c>
      <c r="D1890" s="18">
        <v>599.02</v>
      </c>
      <c r="E1890" s="19"/>
      <c r="F1890" s="15">
        <f t="shared" si="32"/>
        <v>85616207.420000017</v>
      </c>
    </row>
    <row r="1891" spans="1:6" x14ac:dyDescent="0.2">
      <c r="A1891" s="3">
        <v>45705</v>
      </c>
      <c r="B1891" s="45"/>
      <c r="C1891" s="17" t="s">
        <v>16</v>
      </c>
      <c r="D1891" s="18">
        <v>313745.98</v>
      </c>
      <c r="E1891" s="19"/>
      <c r="F1891" s="15">
        <f t="shared" si="32"/>
        <v>85302461.440000013</v>
      </c>
    </row>
    <row r="1892" spans="1:6" x14ac:dyDescent="0.2">
      <c r="A1892" s="3">
        <v>45705</v>
      </c>
      <c r="B1892" s="45"/>
      <c r="C1892" s="17" t="s">
        <v>22</v>
      </c>
      <c r="D1892" s="18">
        <v>6608.16</v>
      </c>
      <c r="E1892" s="19"/>
      <c r="F1892" s="15">
        <f t="shared" si="32"/>
        <v>85295853.280000016</v>
      </c>
    </row>
    <row r="1893" spans="1:6" x14ac:dyDescent="0.2">
      <c r="A1893" s="3">
        <v>45705</v>
      </c>
      <c r="B1893" s="43">
        <v>13253</v>
      </c>
      <c r="C1893" s="20" t="s">
        <v>7</v>
      </c>
      <c r="D1893" s="18">
        <v>720</v>
      </c>
      <c r="E1893" s="19"/>
      <c r="F1893" s="15">
        <f t="shared" si="32"/>
        <v>85295133.280000016</v>
      </c>
    </row>
    <row r="1894" spans="1:6" x14ac:dyDescent="0.2">
      <c r="A1894" s="3">
        <v>45705</v>
      </c>
      <c r="B1894" s="43">
        <v>13253</v>
      </c>
      <c r="C1894" s="17" t="s">
        <v>227</v>
      </c>
      <c r="D1894" s="18">
        <v>151.19999999999999</v>
      </c>
      <c r="E1894" s="19"/>
      <c r="F1894" s="15">
        <f t="shared" si="32"/>
        <v>85294982.080000013</v>
      </c>
    </row>
    <row r="1895" spans="1:6" x14ac:dyDescent="0.2">
      <c r="A1895" s="3">
        <v>45705</v>
      </c>
      <c r="B1895" s="43">
        <v>13254</v>
      </c>
      <c r="C1895" s="20" t="s">
        <v>7</v>
      </c>
      <c r="D1895" s="18">
        <v>1485</v>
      </c>
      <c r="E1895" s="19"/>
      <c r="F1895" s="15">
        <f t="shared" si="32"/>
        <v>85293497.080000013</v>
      </c>
    </row>
    <row r="1896" spans="1:6" x14ac:dyDescent="0.2">
      <c r="A1896" s="3">
        <v>45705</v>
      </c>
      <c r="B1896" s="43">
        <v>13254</v>
      </c>
      <c r="C1896" s="17" t="s">
        <v>227</v>
      </c>
      <c r="D1896" s="18">
        <v>311.85000000000002</v>
      </c>
      <c r="E1896" s="19"/>
      <c r="F1896" s="15">
        <f t="shared" si="32"/>
        <v>85293185.230000019</v>
      </c>
    </row>
    <row r="1897" spans="1:6" x14ac:dyDescent="0.2">
      <c r="A1897" s="3">
        <v>45705</v>
      </c>
      <c r="B1897" s="43">
        <v>13255</v>
      </c>
      <c r="C1897" s="20" t="s">
        <v>7</v>
      </c>
      <c r="D1897" s="18">
        <v>1485</v>
      </c>
      <c r="E1897" s="19"/>
      <c r="F1897" s="15">
        <f t="shared" si="32"/>
        <v>85291700.230000019</v>
      </c>
    </row>
    <row r="1898" spans="1:6" x14ac:dyDescent="0.2">
      <c r="A1898" s="3">
        <v>45705</v>
      </c>
      <c r="B1898" s="43">
        <v>13255</v>
      </c>
      <c r="C1898" s="17" t="s">
        <v>227</v>
      </c>
      <c r="D1898" s="18">
        <v>311.85000000000002</v>
      </c>
      <c r="E1898" s="19"/>
      <c r="F1898" s="15">
        <f t="shared" si="32"/>
        <v>85291388.380000025</v>
      </c>
    </row>
    <row r="1899" spans="1:6" x14ac:dyDescent="0.2">
      <c r="A1899" s="3">
        <v>45705</v>
      </c>
      <c r="B1899" s="43">
        <v>13256</v>
      </c>
      <c r="C1899" s="20" t="s">
        <v>7</v>
      </c>
      <c r="D1899" s="18">
        <v>1485</v>
      </c>
      <c r="E1899" s="19"/>
      <c r="F1899" s="15">
        <f t="shared" si="32"/>
        <v>85289903.380000025</v>
      </c>
    </row>
    <row r="1900" spans="1:6" x14ac:dyDescent="0.2">
      <c r="A1900" s="3">
        <v>45705</v>
      </c>
      <c r="B1900" s="43">
        <v>13256</v>
      </c>
      <c r="C1900" s="17" t="s">
        <v>227</v>
      </c>
      <c r="D1900" s="18">
        <v>311.85000000000002</v>
      </c>
      <c r="E1900" s="19"/>
      <c r="F1900" s="15">
        <f t="shared" si="32"/>
        <v>85289591.530000031</v>
      </c>
    </row>
    <row r="1901" spans="1:6" x14ac:dyDescent="0.2">
      <c r="A1901" s="3">
        <v>45705</v>
      </c>
      <c r="B1901" s="45"/>
      <c r="C1901" s="20" t="s">
        <v>310</v>
      </c>
      <c r="D1901" s="18">
        <v>1101.3599999999999</v>
      </c>
      <c r="E1901" s="19"/>
      <c r="F1901" s="15">
        <f t="shared" si="32"/>
        <v>85288490.170000032</v>
      </c>
    </row>
    <row r="1902" spans="1:6" x14ac:dyDescent="0.2">
      <c r="A1902" s="3">
        <v>45706</v>
      </c>
      <c r="B1902" s="43">
        <v>32078</v>
      </c>
      <c r="C1902" s="20" t="s">
        <v>28</v>
      </c>
      <c r="D1902" s="18">
        <v>50000</v>
      </c>
      <c r="E1902" s="19"/>
      <c r="F1902" s="15">
        <f t="shared" si="32"/>
        <v>85238490.170000032</v>
      </c>
    </row>
    <row r="1903" spans="1:6" x14ac:dyDescent="0.2">
      <c r="A1903" s="3">
        <v>45706</v>
      </c>
      <c r="B1903" s="43">
        <v>32077</v>
      </c>
      <c r="C1903" s="20" t="s">
        <v>29</v>
      </c>
      <c r="D1903" s="18">
        <v>50000</v>
      </c>
      <c r="E1903" s="19"/>
      <c r="F1903" s="15">
        <f t="shared" si="32"/>
        <v>85188490.170000032</v>
      </c>
    </row>
    <row r="1904" spans="1:6" x14ac:dyDescent="0.2">
      <c r="A1904" s="3">
        <v>45706</v>
      </c>
      <c r="B1904" s="43">
        <v>32079</v>
      </c>
      <c r="C1904" s="20" t="s">
        <v>298</v>
      </c>
      <c r="D1904" s="18">
        <v>50000</v>
      </c>
      <c r="E1904" s="19"/>
      <c r="F1904" s="15">
        <f t="shared" si="32"/>
        <v>85138490.170000032</v>
      </c>
    </row>
    <row r="1905" spans="1:6" x14ac:dyDescent="0.2">
      <c r="A1905" s="3">
        <v>45706</v>
      </c>
      <c r="B1905" s="43">
        <v>32080</v>
      </c>
      <c r="C1905" s="20" t="s">
        <v>97</v>
      </c>
      <c r="D1905" s="18">
        <v>50000</v>
      </c>
      <c r="E1905" s="19"/>
      <c r="F1905" s="15">
        <f t="shared" si="32"/>
        <v>85088490.170000032</v>
      </c>
    </row>
    <row r="1906" spans="1:6" x14ac:dyDescent="0.2">
      <c r="A1906" s="3">
        <v>45706</v>
      </c>
      <c r="B1906" s="45"/>
      <c r="C1906" s="17" t="s">
        <v>16</v>
      </c>
      <c r="D1906" s="18">
        <v>44.18</v>
      </c>
      <c r="E1906" s="19"/>
      <c r="F1906" s="15">
        <f t="shared" si="32"/>
        <v>85088445.990000024</v>
      </c>
    </row>
    <row r="1907" spans="1:6" x14ac:dyDescent="0.2">
      <c r="A1907" s="3">
        <v>45706</v>
      </c>
      <c r="B1907" s="51"/>
      <c r="C1907" s="47" t="s">
        <v>34</v>
      </c>
      <c r="D1907" s="48">
        <v>2400</v>
      </c>
      <c r="E1907" s="49"/>
      <c r="F1907" s="15">
        <f t="shared" si="32"/>
        <v>85086045.990000024</v>
      </c>
    </row>
    <row r="1908" spans="1:6" x14ac:dyDescent="0.2">
      <c r="A1908" s="3">
        <v>45707</v>
      </c>
      <c r="B1908" s="50"/>
      <c r="C1908" s="28" t="s">
        <v>35</v>
      </c>
      <c r="D1908" s="23">
        <v>4000</v>
      </c>
      <c r="E1908" s="24"/>
      <c r="F1908" s="15">
        <f t="shared" si="32"/>
        <v>85082045.990000024</v>
      </c>
    </row>
    <row r="1909" spans="1:6" x14ac:dyDescent="0.2">
      <c r="A1909" s="3">
        <v>45707</v>
      </c>
      <c r="B1909" s="45"/>
      <c r="C1909" s="17" t="s">
        <v>36</v>
      </c>
      <c r="D1909" s="18">
        <v>60</v>
      </c>
      <c r="E1909" s="19"/>
      <c r="F1909" s="15">
        <f t="shared" si="32"/>
        <v>85081985.990000024</v>
      </c>
    </row>
    <row r="1910" spans="1:6" x14ac:dyDescent="0.2">
      <c r="A1910" s="3">
        <v>45707</v>
      </c>
      <c r="B1910" s="45"/>
      <c r="C1910" s="17" t="s">
        <v>227</v>
      </c>
      <c r="D1910" s="18">
        <v>840</v>
      </c>
      <c r="E1910" s="19"/>
      <c r="F1910" s="15">
        <f t="shared" si="32"/>
        <v>85081145.990000024</v>
      </c>
    </row>
    <row r="1911" spans="1:6" x14ac:dyDescent="0.2">
      <c r="A1911" s="3">
        <v>45707</v>
      </c>
      <c r="B1911" s="45"/>
      <c r="C1911" s="17" t="s">
        <v>37</v>
      </c>
      <c r="D1911" s="18">
        <v>120</v>
      </c>
      <c r="E1911" s="19"/>
      <c r="F1911" s="15">
        <f t="shared" si="32"/>
        <v>85081025.990000024</v>
      </c>
    </row>
    <row r="1912" spans="1:6" x14ac:dyDescent="0.2">
      <c r="A1912" s="3">
        <v>45707</v>
      </c>
      <c r="B1912" s="43">
        <v>32083</v>
      </c>
      <c r="C1912" s="20" t="s">
        <v>28</v>
      </c>
      <c r="D1912" s="18">
        <v>50000</v>
      </c>
      <c r="E1912" s="19"/>
      <c r="F1912" s="15">
        <f t="shared" si="32"/>
        <v>85031025.990000024</v>
      </c>
    </row>
    <row r="1913" spans="1:6" x14ac:dyDescent="0.2">
      <c r="A1913" s="3">
        <v>45707</v>
      </c>
      <c r="B1913" s="43">
        <v>32081</v>
      </c>
      <c r="C1913" s="20" t="s">
        <v>298</v>
      </c>
      <c r="D1913" s="18">
        <v>50000</v>
      </c>
      <c r="E1913" s="19"/>
      <c r="F1913" s="15">
        <f t="shared" si="32"/>
        <v>84981025.990000024</v>
      </c>
    </row>
    <row r="1914" spans="1:6" x14ac:dyDescent="0.2">
      <c r="A1914" s="3">
        <v>45707</v>
      </c>
      <c r="B1914" s="43">
        <v>32082</v>
      </c>
      <c r="C1914" s="20" t="s">
        <v>29</v>
      </c>
      <c r="D1914" s="18">
        <v>50000</v>
      </c>
      <c r="E1914" s="19"/>
      <c r="F1914" s="15">
        <f t="shared" si="32"/>
        <v>84931025.990000024</v>
      </c>
    </row>
    <row r="1915" spans="1:6" x14ac:dyDescent="0.2">
      <c r="A1915" s="3">
        <v>45707</v>
      </c>
      <c r="B1915" s="43">
        <v>32084</v>
      </c>
      <c r="C1915" s="20" t="s">
        <v>97</v>
      </c>
      <c r="D1915" s="18">
        <v>50000</v>
      </c>
      <c r="E1915" s="19"/>
      <c r="F1915" s="15">
        <f t="shared" si="32"/>
        <v>84881025.990000024</v>
      </c>
    </row>
    <row r="1916" spans="1:6" x14ac:dyDescent="0.2">
      <c r="A1916" s="3">
        <v>45707</v>
      </c>
      <c r="B1916" s="43">
        <v>83765</v>
      </c>
      <c r="C1916" s="20" t="s">
        <v>311</v>
      </c>
      <c r="D1916" s="19"/>
      <c r="E1916" s="18">
        <v>19900</v>
      </c>
      <c r="F1916" s="15">
        <f t="shared" si="32"/>
        <v>84900925.990000024</v>
      </c>
    </row>
    <row r="1917" spans="1:6" x14ac:dyDescent="0.2">
      <c r="A1917" s="3">
        <v>45707</v>
      </c>
      <c r="B1917" s="43">
        <v>4181843</v>
      </c>
      <c r="C1917" s="20" t="s">
        <v>59</v>
      </c>
      <c r="D1917" s="18">
        <v>3449736.54</v>
      </c>
      <c r="E1917" s="19"/>
      <c r="F1917" s="15">
        <f t="shared" si="32"/>
        <v>81451189.450000018</v>
      </c>
    </row>
    <row r="1918" spans="1:6" x14ac:dyDescent="0.2">
      <c r="A1918" s="3">
        <v>45707</v>
      </c>
      <c r="B1918" s="43">
        <v>15134858</v>
      </c>
      <c r="C1918" s="20" t="s">
        <v>312</v>
      </c>
      <c r="D1918" s="18">
        <v>354497</v>
      </c>
      <c r="E1918" s="19"/>
      <c r="F1918" s="15">
        <f t="shared" si="32"/>
        <v>81096692.450000018</v>
      </c>
    </row>
    <row r="1919" spans="1:6" x14ac:dyDescent="0.2">
      <c r="A1919" s="3">
        <v>45707</v>
      </c>
      <c r="B1919" s="43">
        <v>67636009</v>
      </c>
      <c r="C1919" s="20" t="s">
        <v>222</v>
      </c>
      <c r="D1919" s="18">
        <v>242009.98</v>
      </c>
      <c r="E1919" s="19"/>
      <c r="F1919" s="15">
        <f t="shared" si="32"/>
        <v>80854682.470000014</v>
      </c>
    </row>
    <row r="1920" spans="1:6" x14ac:dyDescent="0.2">
      <c r="A1920" s="3">
        <v>45707</v>
      </c>
      <c r="B1920" s="43">
        <v>68611037</v>
      </c>
      <c r="C1920" s="20" t="s">
        <v>63</v>
      </c>
      <c r="D1920" s="18">
        <v>20532.43</v>
      </c>
      <c r="E1920" s="19"/>
      <c r="F1920" s="15">
        <f t="shared" si="32"/>
        <v>80834150.040000007</v>
      </c>
    </row>
    <row r="1921" spans="1:6" x14ac:dyDescent="0.2">
      <c r="A1921" s="3">
        <v>45707</v>
      </c>
      <c r="B1921" s="43">
        <v>70047766</v>
      </c>
      <c r="C1921" s="20" t="s">
        <v>67</v>
      </c>
      <c r="D1921" s="18">
        <v>23581.75</v>
      </c>
      <c r="E1921" s="19"/>
      <c r="F1921" s="15">
        <f t="shared" si="32"/>
        <v>80810568.290000007</v>
      </c>
    </row>
    <row r="1922" spans="1:6" x14ac:dyDescent="0.2">
      <c r="A1922" s="3">
        <v>45707</v>
      </c>
      <c r="B1922" s="43">
        <v>71325150</v>
      </c>
      <c r="C1922" s="20" t="s">
        <v>100</v>
      </c>
      <c r="D1922" s="18">
        <v>296249.96999999997</v>
      </c>
      <c r="E1922" s="19"/>
      <c r="F1922" s="15">
        <f t="shared" si="32"/>
        <v>80514318.320000008</v>
      </c>
    </row>
    <row r="1923" spans="1:6" x14ac:dyDescent="0.2">
      <c r="A1923" s="3">
        <v>45707</v>
      </c>
      <c r="B1923" s="45"/>
      <c r="C1923" s="17" t="s">
        <v>34</v>
      </c>
      <c r="D1923" s="18">
        <v>2400</v>
      </c>
      <c r="E1923" s="19"/>
      <c r="F1923" s="15">
        <f t="shared" si="32"/>
        <v>80511918.320000008</v>
      </c>
    </row>
    <row r="1924" spans="1:6" x14ac:dyDescent="0.2">
      <c r="A1924" s="3">
        <v>45707</v>
      </c>
      <c r="B1924" s="45"/>
      <c r="C1924" s="17" t="s">
        <v>22</v>
      </c>
      <c r="D1924" s="18">
        <v>119.4</v>
      </c>
      <c r="E1924" s="19"/>
      <c r="F1924" s="15">
        <f t="shared" si="32"/>
        <v>80511798.920000002</v>
      </c>
    </row>
    <row r="1925" spans="1:6" x14ac:dyDescent="0.2">
      <c r="A1925" s="3">
        <v>45707</v>
      </c>
      <c r="B1925" s="45"/>
      <c r="C1925" s="17" t="s">
        <v>16</v>
      </c>
      <c r="D1925" s="18">
        <v>26349.759999999998</v>
      </c>
      <c r="E1925" s="19"/>
      <c r="F1925" s="15">
        <f t="shared" si="32"/>
        <v>80485449.159999996</v>
      </c>
    </row>
    <row r="1926" spans="1:6" x14ac:dyDescent="0.2">
      <c r="A1926" s="3">
        <v>45707</v>
      </c>
      <c r="B1926" s="43">
        <v>11628</v>
      </c>
      <c r="C1926" s="20" t="s">
        <v>7</v>
      </c>
      <c r="D1926" s="18">
        <v>1485</v>
      </c>
      <c r="E1926" s="19"/>
      <c r="F1926" s="15">
        <f t="shared" si="32"/>
        <v>80483964.159999996</v>
      </c>
    </row>
    <row r="1927" spans="1:6" x14ac:dyDescent="0.2">
      <c r="A1927" s="3">
        <v>45707</v>
      </c>
      <c r="B1927" s="43">
        <v>11628</v>
      </c>
      <c r="C1927" s="17" t="s">
        <v>227</v>
      </c>
      <c r="D1927" s="18">
        <v>311.85000000000002</v>
      </c>
      <c r="E1927" s="19"/>
      <c r="F1927" s="15">
        <f t="shared" si="32"/>
        <v>80483652.310000002</v>
      </c>
    </row>
    <row r="1928" spans="1:6" x14ac:dyDescent="0.2">
      <c r="A1928" s="3">
        <v>45707</v>
      </c>
      <c r="B1928" s="45"/>
      <c r="C1928" s="20" t="s">
        <v>313</v>
      </c>
      <c r="D1928" s="18">
        <v>19.899999999999999</v>
      </c>
      <c r="E1928" s="19"/>
      <c r="F1928" s="15">
        <f t="shared" si="32"/>
        <v>80483632.409999996</v>
      </c>
    </row>
    <row r="1929" spans="1:6" x14ac:dyDescent="0.2">
      <c r="A1929" s="3">
        <v>45708</v>
      </c>
      <c r="B1929" s="43">
        <v>5409</v>
      </c>
      <c r="C1929" s="20" t="s">
        <v>76</v>
      </c>
      <c r="D1929" s="18">
        <v>600701</v>
      </c>
      <c r="E1929" s="19"/>
      <c r="F1929" s="15">
        <f t="shared" si="32"/>
        <v>79882931.409999996</v>
      </c>
    </row>
    <row r="1930" spans="1:6" x14ac:dyDescent="0.2">
      <c r="A1930" s="3">
        <v>45708</v>
      </c>
      <c r="B1930" s="45"/>
      <c r="C1930" s="20" t="s">
        <v>35</v>
      </c>
      <c r="D1930" s="18">
        <v>4000</v>
      </c>
      <c r="E1930" s="19"/>
      <c r="F1930" s="15">
        <f t="shared" si="32"/>
        <v>79878931.409999996</v>
      </c>
    </row>
    <row r="1931" spans="1:6" x14ac:dyDescent="0.2">
      <c r="A1931" s="3">
        <v>45708</v>
      </c>
      <c r="B1931" s="45"/>
      <c r="C1931" s="17" t="s">
        <v>36</v>
      </c>
      <c r="D1931" s="18">
        <v>60</v>
      </c>
      <c r="E1931" s="19"/>
      <c r="F1931" s="15">
        <f t="shared" si="32"/>
        <v>79878871.409999996</v>
      </c>
    </row>
    <row r="1932" spans="1:6" x14ac:dyDescent="0.2">
      <c r="A1932" s="3">
        <v>45708</v>
      </c>
      <c r="B1932" s="45"/>
      <c r="C1932" s="17" t="s">
        <v>227</v>
      </c>
      <c r="D1932" s="18">
        <v>840</v>
      </c>
      <c r="E1932" s="19"/>
      <c r="F1932" s="15">
        <f t="shared" si="32"/>
        <v>79878031.409999996</v>
      </c>
    </row>
    <row r="1933" spans="1:6" x14ac:dyDescent="0.2">
      <c r="A1933" s="3">
        <v>45708</v>
      </c>
      <c r="B1933" s="51"/>
      <c r="C1933" s="47" t="s">
        <v>37</v>
      </c>
      <c r="D1933" s="48">
        <v>120</v>
      </c>
      <c r="E1933" s="49"/>
      <c r="F1933" s="15">
        <f t="shared" si="32"/>
        <v>79877911.409999996</v>
      </c>
    </row>
    <row r="1934" spans="1:6" x14ac:dyDescent="0.2">
      <c r="A1934" s="3">
        <v>45708</v>
      </c>
      <c r="B1934" s="44">
        <v>32085</v>
      </c>
      <c r="C1934" s="28" t="s">
        <v>28</v>
      </c>
      <c r="D1934" s="23">
        <v>50000</v>
      </c>
      <c r="E1934" s="24"/>
      <c r="F1934" s="15">
        <f t="shared" si="32"/>
        <v>79827911.409999996</v>
      </c>
    </row>
    <row r="1935" spans="1:6" x14ac:dyDescent="0.2">
      <c r="A1935" s="3">
        <v>45708</v>
      </c>
      <c r="B1935" s="43">
        <v>32072</v>
      </c>
      <c r="C1935" s="20" t="s">
        <v>97</v>
      </c>
      <c r="D1935" s="18">
        <v>40000</v>
      </c>
      <c r="E1935" s="19"/>
      <c r="F1935" s="15">
        <f t="shared" si="32"/>
        <v>79787911.409999996</v>
      </c>
    </row>
    <row r="1936" spans="1:6" x14ac:dyDescent="0.2">
      <c r="A1936" s="3">
        <v>45708</v>
      </c>
      <c r="B1936" s="45"/>
      <c r="C1936" s="17" t="s">
        <v>34</v>
      </c>
      <c r="D1936" s="18">
        <v>1080</v>
      </c>
      <c r="E1936" s="19"/>
      <c r="F1936" s="15">
        <f t="shared" si="32"/>
        <v>79786831.409999996</v>
      </c>
    </row>
    <row r="1937" spans="1:6" x14ac:dyDescent="0.2">
      <c r="A1937" s="3">
        <v>45708</v>
      </c>
      <c r="B1937" s="45"/>
      <c r="C1937" s="17" t="s">
        <v>16</v>
      </c>
      <c r="D1937" s="18">
        <v>3645.23</v>
      </c>
      <c r="E1937" s="19"/>
      <c r="F1937" s="15">
        <f t="shared" si="32"/>
        <v>79783186.179999992</v>
      </c>
    </row>
    <row r="1938" spans="1:6" x14ac:dyDescent="0.2">
      <c r="A1938" s="3">
        <v>45709</v>
      </c>
      <c r="B1938" s="43">
        <v>8725</v>
      </c>
      <c r="C1938" s="17" t="s">
        <v>9</v>
      </c>
      <c r="D1938" s="18">
        <v>170281.99</v>
      </c>
      <c r="E1938" s="19"/>
      <c r="F1938" s="15">
        <f t="shared" si="32"/>
        <v>79612904.189999998</v>
      </c>
    </row>
    <row r="1939" spans="1:6" x14ac:dyDescent="0.2">
      <c r="A1939" s="3">
        <v>45709</v>
      </c>
      <c r="B1939" s="43">
        <v>8726</v>
      </c>
      <c r="C1939" s="17" t="s">
        <v>9</v>
      </c>
      <c r="D1939" s="18">
        <v>351705.8</v>
      </c>
      <c r="E1939" s="19"/>
      <c r="F1939" s="15">
        <f t="shared" si="32"/>
        <v>79261198.390000001</v>
      </c>
    </row>
    <row r="1940" spans="1:6" x14ac:dyDescent="0.2">
      <c r="A1940" s="3">
        <v>45709</v>
      </c>
      <c r="B1940" s="45"/>
      <c r="C1940" s="20" t="s">
        <v>314</v>
      </c>
      <c r="D1940" s="18">
        <v>1800</v>
      </c>
      <c r="E1940" s="19"/>
      <c r="F1940" s="15">
        <f t="shared" si="32"/>
        <v>79259398.390000001</v>
      </c>
    </row>
    <row r="1941" spans="1:6" x14ac:dyDescent="0.2">
      <c r="A1941" s="3">
        <v>45709</v>
      </c>
      <c r="B1941" s="45"/>
      <c r="C1941" s="17" t="s">
        <v>227</v>
      </c>
      <c r="D1941" s="18">
        <v>378</v>
      </c>
      <c r="E1941" s="19"/>
      <c r="F1941" s="15">
        <f t="shared" si="32"/>
        <v>79259020.390000001</v>
      </c>
    </row>
    <row r="1942" spans="1:6" x14ac:dyDescent="0.2">
      <c r="A1942" s="3">
        <v>45709</v>
      </c>
      <c r="B1942" s="43">
        <v>96332</v>
      </c>
      <c r="C1942" s="20" t="s">
        <v>248</v>
      </c>
      <c r="D1942" s="19"/>
      <c r="E1942" s="18">
        <v>7200</v>
      </c>
      <c r="F1942" s="15">
        <f t="shared" ref="F1942:F2005" si="33">+F1941+E1942-D1942</f>
        <v>79266220.390000001</v>
      </c>
    </row>
    <row r="1943" spans="1:6" x14ac:dyDescent="0.2">
      <c r="A1943" s="3">
        <v>45709</v>
      </c>
      <c r="B1943" s="43">
        <v>4069594</v>
      </c>
      <c r="C1943" s="20" t="s">
        <v>315</v>
      </c>
      <c r="D1943" s="18">
        <v>544500</v>
      </c>
      <c r="E1943" s="19"/>
      <c r="F1943" s="15">
        <f t="shared" si="33"/>
        <v>78721720.390000001</v>
      </c>
    </row>
    <row r="1944" spans="1:6" x14ac:dyDescent="0.2">
      <c r="A1944" s="3">
        <v>45709</v>
      </c>
      <c r="B1944" s="43">
        <v>4069595</v>
      </c>
      <c r="C1944" s="20" t="s">
        <v>316</v>
      </c>
      <c r="D1944" s="18">
        <v>67000</v>
      </c>
      <c r="E1944" s="19"/>
      <c r="F1944" s="15">
        <f t="shared" si="33"/>
        <v>78654720.390000001</v>
      </c>
    </row>
    <row r="1945" spans="1:6" x14ac:dyDescent="0.2">
      <c r="A1945" s="3">
        <v>45709</v>
      </c>
      <c r="B1945" s="43">
        <v>4069596</v>
      </c>
      <c r="C1945" s="20" t="s">
        <v>280</v>
      </c>
      <c r="D1945" s="18">
        <v>100000</v>
      </c>
      <c r="E1945" s="19"/>
      <c r="F1945" s="15">
        <f t="shared" si="33"/>
        <v>78554720.390000001</v>
      </c>
    </row>
    <row r="1946" spans="1:6" x14ac:dyDescent="0.2">
      <c r="A1946" s="3">
        <v>45709</v>
      </c>
      <c r="B1946" s="45"/>
      <c r="C1946" s="17" t="s">
        <v>16</v>
      </c>
      <c r="D1946" s="18">
        <v>7413.99</v>
      </c>
      <c r="E1946" s="19"/>
      <c r="F1946" s="15">
        <f t="shared" si="33"/>
        <v>78547306.400000006</v>
      </c>
    </row>
    <row r="1947" spans="1:6" x14ac:dyDescent="0.2">
      <c r="A1947" s="3">
        <v>45709</v>
      </c>
      <c r="B1947" s="45"/>
      <c r="C1947" s="17" t="s">
        <v>22</v>
      </c>
      <c r="D1947" s="18">
        <v>43.2</v>
      </c>
      <c r="E1947" s="19"/>
      <c r="F1947" s="15">
        <f t="shared" si="33"/>
        <v>78547263.200000003</v>
      </c>
    </row>
    <row r="1948" spans="1:6" x14ac:dyDescent="0.2">
      <c r="A1948" s="3">
        <v>45709</v>
      </c>
      <c r="B1948" s="43">
        <v>15377</v>
      </c>
      <c r="C1948" s="20" t="s">
        <v>7</v>
      </c>
      <c r="D1948" s="18">
        <v>720</v>
      </c>
      <c r="E1948" s="19"/>
      <c r="F1948" s="15">
        <f t="shared" si="33"/>
        <v>78546543.200000003</v>
      </c>
    </row>
    <row r="1949" spans="1:6" x14ac:dyDescent="0.2">
      <c r="A1949" s="3">
        <v>45709</v>
      </c>
      <c r="B1949" s="43">
        <v>15377</v>
      </c>
      <c r="C1949" s="17" t="s">
        <v>227</v>
      </c>
      <c r="D1949" s="18">
        <v>151.19999999999999</v>
      </c>
      <c r="E1949" s="19"/>
      <c r="F1949" s="15">
        <f t="shared" si="33"/>
        <v>78546392</v>
      </c>
    </row>
    <row r="1950" spans="1:6" x14ac:dyDescent="0.2">
      <c r="A1950" s="3">
        <v>45709</v>
      </c>
      <c r="B1950" s="43">
        <v>15378</v>
      </c>
      <c r="C1950" s="20" t="s">
        <v>7</v>
      </c>
      <c r="D1950" s="18">
        <v>720</v>
      </c>
      <c r="E1950" s="19"/>
      <c r="F1950" s="15">
        <f t="shared" si="33"/>
        <v>78545672</v>
      </c>
    </row>
    <row r="1951" spans="1:6" x14ac:dyDescent="0.2">
      <c r="A1951" s="3">
        <v>45709</v>
      </c>
      <c r="B1951" s="43">
        <v>15378</v>
      </c>
      <c r="C1951" s="17" t="s">
        <v>227</v>
      </c>
      <c r="D1951" s="18">
        <v>151.19999999999999</v>
      </c>
      <c r="E1951" s="19"/>
      <c r="F1951" s="15">
        <f t="shared" si="33"/>
        <v>78545520.799999997</v>
      </c>
    </row>
    <row r="1952" spans="1:6" x14ac:dyDescent="0.2">
      <c r="A1952" s="3">
        <v>45709</v>
      </c>
      <c r="B1952" s="43">
        <v>15379</v>
      </c>
      <c r="C1952" s="20" t="s">
        <v>7</v>
      </c>
      <c r="D1952" s="18">
        <v>1485</v>
      </c>
      <c r="E1952" s="19"/>
      <c r="F1952" s="15">
        <f t="shared" si="33"/>
        <v>78544035.799999997</v>
      </c>
    </row>
    <row r="1953" spans="1:6" x14ac:dyDescent="0.2">
      <c r="A1953" s="3">
        <v>45709</v>
      </c>
      <c r="B1953" s="43">
        <v>15379</v>
      </c>
      <c r="C1953" s="17" t="s">
        <v>227</v>
      </c>
      <c r="D1953" s="18">
        <v>311.85000000000002</v>
      </c>
      <c r="E1953" s="19"/>
      <c r="F1953" s="15">
        <f t="shared" si="33"/>
        <v>78543723.950000003</v>
      </c>
    </row>
    <row r="1954" spans="1:6" x14ac:dyDescent="0.2">
      <c r="A1954" s="3">
        <v>45709</v>
      </c>
      <c r="B1954" s="45"/>
      <c r="C1954" s="20" t="s">
        <v>317</v>
      </c>
      <c r="D1954" s="18">
        <v>7.2</v>
      </c>
      <c r="E1954" s="19"/>
      <c r="F1954" s="15">
        <f t="shared" si="33"/>
        <v>78543716.75</v>
      </c>
    </row>
    <row r="1955" spans="1:6" x14ac:dyDescent="0.2">
      <c r="A1955" s="3">
        <v>45712</v>
      </c>
      <c r="B1955" s="43">
        <v>31888</v>
      </c>
      <c r="C1955" s="17" t="s">
        <v>9</v>
      </c>
      <c r="D1955" s="18">
        <v>178888.45</v>
      </c>
      <c r="E1955" s="19"/>
      <c r="F1955" s="15">
        <f t="shared" si="33"/>
        <v>78364828.299999997</v>
      </c>
    </row>
    <row r="1956" spans="1:6" x14ac:dyDescent="0.2">
      <c r="A1956" s="3">
        <v>45712</v>
      </c>
      <c r="B1956" s="43">
        <v>31963</v>
      </c>
      <c r="C1956" s="17" t="s">
        <v>9</v>
      </c>
      <c r="D1956" s="18">
        <v>404320</v>
      </c>
      <c r="E1956" s="19"/>
      <c r="F1956" s="15">
        <f t="shared" si="33"/>
        <v>77960508.299999997</v>
      </c>
    </row>
    <row r="1957" spans="1:6" x14ac:dyDescent="0.2">
      <c r="A1957" s="3">
        <v>45712</v>
      </c>
      <c r="B1957" s="43">
        <v>121698</v>
      </c>
      <c r="C1957" s="20" t="s">
        <v>217</v>
      </c>
      <c r="D1957" s="25"/>
      <c r="E1957" s="25">
        <v>40000000</v>
      </c>
      <c r="F1957" s="15">
        <f t="shared" si="33"/>
        <v>117960508.3</v>
      </c>
    </row>
    <row r="1958" spans="1:6" x14ac:dyDescent="0.2">
      <c r="A1958" s="3">
        <v>45712</v>
      </c>
      <c r="B1958" s="46">
        <v>73454584</v>
      </c>
      <c r="C1958" s="9" t="s">
        <v>318</v>
      </c>
      <c r="D1958" s="48">
        <v>222000</v>
      </c>
      <c r="E1958" s="49"/>
      <c r="F1958" s="15">
        <f t="shared" si="33"/>
        <v>117738508.3</v>
      </c>
    </row>
    <row r="1959" spans="1:6" x14ac:dyDescent="0.2">
      <c r="A1959" s="3">
        <v>45712</v>
      </c>
      <c r="B1959" s="44">
        <v>15922296</v>
      </c>
      <c r="C1959" s="28" t="s">
        <v>319</v>
      </c>
      <c r="D1959" s="23">
        <v>4990000</v>
      </c>
      <c r="E1959" s="24"/>
      <c r="F1959" s="15">
        <f t="shared" si="33"/>
        <v>112748508.3</v>
      </c>
    </row>
    <row r="1960" spans="1:6" x14ac:dyDescent="0.2">
      <c r="A1960" s="3">
        <v>45712</v>
      </c>
      <c r="B1960" s="43">
        <v>15922297</v>
      </c>
      <c r="C1960" s="20" t="s">
        <v>319</v>
      </c>
      <c r="D1960" s="18">
        <v>76000</v>
      </c>
      <c r="E1960" s="19"/>
      <c r="F1960" s="15">
        <f t="shared" si="33"/>
        <v>112672508.3</v>
      </c>
    </row>
    <row r="1961" spans="1:6" x14ac:dyDescent="0.2">
      <c r="A1961" s="3">
        <v>45712</v>
      </c>
      <c r="B1961" s="43">
        <v>15922298</v>
      </c>
      <c r="C1961" s="20" t="s">
        <v>319</v>
      </c>
      <c r="D1961" s="18">
        <v>386290</v>
      </c>
      <c r="E1961" s="19"/>
      <c r="F1961" s="15">
        <f t="shared" si="33"/>
        <v>112286218.3</v>
      </c>
    </row>
    <row r="1962" spans="1:6" x14ac:dyDescent="0.2">
      <c r="A1962" s="3">
        <v>45712</v>
      </c>
      <c r="B1962" s="43">
        <v>15922299</v>
      </c>
      <c r="C1962" s="20" t="s">
        <v>319</v>
      </c>
      <c r="D1962" s="18">
        <v>967170</v>
      </c>
      <c r="E1962" s="19"/>
      <c r="F1962" s="15">
        <f t="shared" si="33"/>
        <v>111319048.3</v>
      </c>
    </row>
    <row r="1963" spans="1:6" x14ac:dyDescent="0.2">
      <c r="A1963" s="3">
        <v>45712</v>
      </c>
      <c r="B1963" s="43">
        <v>15922300</v>
      </c>
      <c r="C1963" s="20" t="s">
        <v>319</v>
      </c>
      <c r="D1963" s="18">
        <v>710400</v>
      </c>
      <c r="E1963" s="19"/>
      <c r="F1963" s="15">
        <f t="shared" si="33"/>
        <v>110608648.3</v>
      </c>
    </row>
    <row r="1964" spans="1:6" x14ac:dyDescent="0.2">
      <c r="A1964" s="3">
        <v>45712</v>
      </c>
      <c r="B1964" s="43">
        <v>15922301</v>
      </c>
      <c r="C1964" s="20" t="s">
        <v>319</v>
      </c>
      <c r="D1964" s="18">
        <v>617810</v>
      </c>
      <c r="E1964" s="19"/>
      <c r="F1964" s="15">
        <f t="shared" si="33"/>
        <v>109990838.3</v>
      </c>
    </row>
    <row r="1965" spans="1:6" x14ac:dyDescent="0.2">
      <c r="A1965" s="3">
        <v>45712</v>
      </c>
      <c r="B1965" s="43">
        <v>15922302</v>
      </c>
      <c r="C1965" s="20" t="s">
        <v>319</v>
      </c>
      <c r="D1965" s="18">
        <v>1081800</v>
      </c>
      <c r="E1965" s="19"/>
      <c r="F1965" s="15">
        <f t="shared" si="33"/>
        <v>108909038.3</v>
      </c>
    </row>
    <row r="1966" spans="1:6" x14ac:dyDescent="0.2">
      <c r="A1966" s="3">
        <v>45712</v>
      </c>
      <c r="B1966" s="43">
        <v>15922303</v>
      </c>
      <c r="C1966" s="20" t="s">
        <v>319</v>
      </c>
      <c r="D1966" s="18">
        <v>200000</v>
      </c>
      <c r="E1966" s="19"/>
      <c r="F1966" s="15">
        <f t="shared" si="33"/>
        <v>108709038.3</v>
      </c>
    </row>
    <row r="1967" spans="1:6" x14ac:dyDescent="0.2">
      <c r="A1967" s="3">
        <v>45712</v>
      </c>
      <c r="B1967" s="43">
        <v>15922304</v>
      </c>
      <c r="C1967" s="20" t="s">
        <v>319</v>
      </c>
      <c r="D1967" s="18">
        <v>4861000</v>
      </c>
      <c r="E1967" s="19"/>
      <c r="F1967" s="15">
        <f t="shared" si="33"/>
        <v>103848038.3</v>
      </c>
    </row>
    <row r="1968" spans="1:6" x14ac:dyDescent="0.2">
      <c r="A1968" s="3">
        <v>45712</v>
      </c>
      <c r="B1968" s="43">
        <v>15922305</v>
      </c>
      <c r="C1968" s="20" t="s">
        <v>319</v>
      </c>
      <c r="D1968" s="18">
        <v>222000</v>
      </c>
      <c r="E1968" s="19"/>
      <c r="F1968" s="15">
        <f t="shared" si="33"/>
        <v>103626038.3</v>
      </c>
    </row>
    <row r="1969" spans="1:6" x14ac:dyDescent="0.2">
      <c r="A1969" s="3">
        <v>45712</v>
      </c>
      <c r="B1969" s="43">
        <v>15922306</v>
      </c>
      <c r="C1969" s="20" t="s">
        <v>319</v>
      </c>
      <c r="D1969" s="18">
        <v>741000</v>
      </c>
      <c r="E1969" s="19"/>
      <c r="F1969" s="15">
        <f t="shared" si="33"/>
        <v>102885038.3</v>
      </c>
    </row>
    <row r="1970" spans="1:6" x14ac:dyDescent="0.2">
      <c r="A1970" s="3">
        <v>45712</v>
      </c>
      <c r="B1970" s="43">
        <v>15922307</v>
      </c>
      <c r="C1970" s="20" t="s">
        <v>319</v>
      </c>
      <c r="D1970" s="18">
        <v>2606325</v>
      </c>
      <c r="E1970" s="19"/>
      <c r="F1970" s="15">
        <f t="shared" si="33"/>
        <v>100278713.3</v>
      </c>
    </row>
    <row r="1971" spans="1:6" x14ac:dyDescent="0.2">
      <c r="A1971" s="3">
        <v>45712</v>
      </c>
      <c r="B1971" s="43">
        <v>15922308</v>
      </c>
      <c r="C1971" s="20" t="s">
        <v>319</v>
      </c>
      <c r="D1971" s="18">
        <v>139650</v>
      </c>
      <c r="E1971" s="19"/>
      <c r="F1971" s="15">
        <f t="shared" si="33"/>
        <v>100139063.3</v>
      </c>
    </row>
    <row r="1972" spans="1:6" x14ac:dyDescent="0.2">
      <c r="A1972" s="3">
        <v>45712</v>
      </c>
      <c r="B1972" s="43">
        <v>15922309</v>
      </c>
      <c r="C1972" s="20" t="s">
        <v>319</v>
      </c>
      <c r="D1972" s="18">
        <v>2925000</v>
      </c>
      <c r="E1972" s="19"/>
      <c r="F1972" s="15">
        <f t="shared" si="33"/>
        <v>97214063.299999997</v>
      </c>
    </row>
    <row r="1973" spans="1:6" x14ac:dyDescent="0.2">
      <c r="A1973" s="3">
        <v>45712</v>
      </c>
      <c r="B1973" s="43">
        <v>15922310</v>
      </c>
      <c r="C1973" s="20" t="s">
        <v>319</v>
      </c>
      <c r="D1973" s="18">
        <v>195000</v>
      </c>
      <c r="E1973" s="19"/>
      <c r="F1973" s="15">
        <f t="shared" si="33"/>
        <v>97019063.299999997</v>
      </c>
    </row>
    <row r="1974" spans="1:6" x14ac:dyDescent="0.2">
      <c r="A1974" s="3">
        <v>45712</v>
      </c>
      <c r="B1974" s="43">
        <v>15922311</v>
      </c>
      <c r="C1974" s="20" t="s">
        <v>319</v>
      </c>
      <c r="D1974" s="18">
        <v>305520</v>
      </c>
      <c r="E1974" s="19"/>
      <c r="F1974" s="15">
        <f t="shared" si="33"/>
        <v>96713543.299999997</v>
      </c>
    </row>
    <row r="1975" spans="1:6" x14ac:dyDescent="0.2">
      <c r="A1975" s="3">
        <v>45712</v>
      </c>
      <c r="B1975" s="43">
        <v>15922312</v>
      </c>
      <c r="C1975" s="20" t="s">
        <v>319</v>
      </c>
      <c r="D1975" s="18">
        <v>55100</v>
      </c>
      <c r="E1975" s="19"/>
      <c r="F1975" s="15">
        <f t="shared" si="33"/>
        <v>96658443.299999997</v>
      </c>
    </row>
    <row r="1976" spans="1:6" x14ac:dyDescent="0.2">
      <c r="A1976" s="3">
        <v>45712</v>
      </c>
      <c r="B1976" s="43">
        <v>15922313</v>
      </c>
      <c r="C1976" s="20" t="s">
        <v>319</v>
      </c>
      <c r="D1976" s="18">
        <v>895086</v>
      </c>
      <c r="E1976" s="19"/>
      <c r="F1976" s="15">
        <f t="shared" si="33"/>
        <v>95763357.299999997</v>
      </c>
    </row>
    <row r="1977" spans="1:6" x14ac:dyDescent="0.2">
      <c r="A1977" s="3">
        <v>45712</v>
      </c>
      <c r="B1977" s="43">
        <v>15922314</v>
      </c>
      <c r="C1977" s="20" t="s">
        <v>319</v>
      </c>
      <c r="D1977" s="18">
        <v>1458820</v>
      </c>
      <c r="E1977" s="19"/>
      <c r="F1977" s="15">
        <f t="shared" si="33"/>
        <v>94304537.299999997</v>
      </c>
    </row>
    <row r="1978" spans="1:6" x14ac:dyDescent="0.2">
      <c r="A1978" s="3">
        <v>45712</v>
      </c>
      <c r="B1978" s="43">
        <v>15922315</v>
      </c>
      <c r="C1978" s="20" t="s">
        <v>319</v>
      </c>
      <c r="D1978" s="18">
        <v>491100</v>
      </c>
      <c r="E1978" s="19"/>
      <c r="F1978" s="15">
        <f t="shared" si="33"/>
        <v>93813437.299999997</v>
      </c>
    </row>
    <row r="1979" spans="1:6" x14ac:dyDescent="0.2">
      <c r="A1979" s="3">
        <v>45712</v>
      </c>
      <c r="B1979" s="43">
        <v>15922316</v>
      </c>
      <c r="C1979" s="20" t="s">
        <v>319</v>
      </c>
      <c r="D1979" s="18">
        <v>450000</v>
      </c>
      <c r="E1979" s="19"/>
      <c r="F1979" s="15">
        <f t="shared" si="33"/>
        <v>93363437.299999997</v>
      </c>
    </row>
    <row r="1980" spans="1:6" x14ac:dyDescent="0.2">
      <c r="A1980" s="3">
        <v>45712</v>
      </c>
      <c r="B1980" s="43">
        <v>15922317</v>
      </c>
      <c r="C1980" s="20" t="s">
        <v>319</v>
      </c>
      <c r="D1980" s="18">
        <v>180600</v>
      </c>
      <c r="E1980" s="19"/>
      <c r="F1980" s="15">
        <f t="shared" si="33"/>
        <v>93182837.299999997</v>
      </c>
    </row>
    <row r="1981" spans="1:6" x14ac:dyDescent="0.2">
      <c r="A1981" s="3">
        <v>45712</v>
      </c>
      <c r="B1981" s="46">
        <v>15922318</v>
      </c>
      <c r="C1981" s="9" t="s">
        <v>319</v>
      </c>
      <c r="D1981" s="48">
        <v>592000</v>
      </c>
      <c r="E1981" s="49"/>
      <c r="F1981" s="15">
        <f t="shared" si="33"/>
        <v>92590837.299999997</v>
      </c>
    </row>
    <row r="1982" spans="1:6" x14ac:dyDescent="0.2">
      <c r="A1982" s="3">
        <v>45712</v>
      </c>
      <c r="B1982" s="44">
        <v>15922319</v>
      </c>
      <c r="C1982" s="28" t="s">
        <v>319</v>
      </c>
      <c r="D1982" s="23">
        <v>736500</v>
      </c>
      <c r="E1982" s="24"/>
      <c r="F1982" s="15">
        <f t="shared" si="33"/>
        <v>91854337.299999997</v>
      </c>
    </row>
    <row r="1983" spans="1:6" x14ac:dyDescent="0.2">
      <c r="A1983" s="3">
        <v>45712</v>
      </c>
      <c r="B1983" s="43">
        <v>15922320</v>
      </c>
      <c r="C1983" s="20" t="s">
        <v>319</v>
      </c>
      <c r="D1983" s="18">
        <v>1426425</v>
      </c>
      <c r="E1983" s="19"/>
      <c r="F1983" s="15">
        <f t="shared" si="33"/>
        <v>90427912.299999997</v>
      </c>
    </row>
    <row r="1984" spans="1:6" x14ac:dyDescent="0.2">
      <c r="A1984" s="3">
        <v>45712</v>
      </c>
      <c r="B1984" s="43">
        <v>15922321</v>
      </c>
      <c r="C1984" s="20" t="s">
        <v>319</v>
      </c>
      <c r="D1984" s="18">
        <v>72200</v>
      </c>
      <c r="E1984" s="19"/>
      <c r="F1984" s="15">
        <f t="shared" si="33"/>
        <v>90355712.299999997</v>
      </c>
    </row>
    <row r="1985" spans="1:6" x14ac:dyDescent="0.2">
      <c r="A1985" s="3">
        <v>45712</v>
      </c>
      <c r="B1985" s="43">
        <v>15922322</v>
      </c>
      <c r="C1985" s="20" t="s">
        <v>319</v>
      </c>
      <c r="D1985" s="18">
        <v>262500</v>
      </c>
      <c r="E1985" s="19"/>
      <c r="F1985" s="15">
        <f t="shared" si="33"/>
        <v>90093212.299999997</v>
      </c>
    </row>
    <row r="1986" spans="1:6" x14ac:dyDescent="0.2">
      <c r="A1986" s="3">
        <v>45712</v>
      </c>
      <c r="B1986" s="43">
        <v>15922323</v>
      </c>
      <c r="C1986" s="20" t="s">
        <v>319</v>
      </c>
      <c r="D1986" s="18">
        <v>956900</v>
      </c>
      <c r="E1986" s="19"/>
      <c r="F1986" s="15">
        <f t="shared" si="33"/>
        <v>89136312.299999997</v>
      </c>
    </row>
    <row r="1987" spans="1:6" x14ac:dyDescent="0.2">
      <c r="A1987" s="3">
        <v>45712</v>
      </c>
      <c r="B1987" s="43">
        <v>15922324</v>
      </c>
      <c r="C1987" s="20" t="s">
        <v>319</v>
      </c>
      <c r="D1987" s="18">
        <v>304800</v>
      </c>
      <c r="E1987" s="19"/>
      <c r="F1987" s="15">
        <f t="shared" si="33"/>
        <v>88831512.299999997</v>
      </c>
    </row>
    <row r="1988" spans="1:6" x14ac:dyDescent="0.2">
      <c r="A1988" s="3">
        <v>45712</v>
      </c>
      <c r="B1988" s="43">
        <v>15922325</v>
      </c>
      <c r="C1988" s="20" t="s">
        <v>319</v>
      </c>
      <c r="D1988" s="18">
        <v>1236800</v>
      </c>
      <c r="E1988" s="19"/>
      <c r="F1988" s="15">
        <f t="shared" si="33"/>
        <v>87594712.299999997</v>
      </c>
    </row>
    <row r="1989" spans="1:6" x14ac:dyDescent="0.2">
      <c r="A1989" s="3">
        <v>45712</v>
      </c>
      <c r="B1989" s="43">
        <v>15922326</v>
      </c>
      <c r="C1989" s="20" t="s">
        <v>319</v>
      </c>
      <c r="D1989" s="18">
        <v>600000</v>
      </c>
      <c r="E1989" s="19"/>
      <c r="F1989" s="15">
        <f t="shared" si="33"/>
        <v>86994712.299999997</v>
      </c>
    </row>
    <row r="1990" spans="1:6" x14ac:dyDescent="0.2">
      <c r="A1990" s="3">
        <v>45712</v>
      </c>
      <c r="B1990" s="43">
        <v>15922327</v>
      </c>
      <c r="C1990" s="20" t="s">
        <v>319</v>
      </c>
      <c r="D1990" s="18">
        <v>2440000</v>
      </c>
      <c r="E1990" s="19"/>
      <c r="F1990" s="15">
        <f t="shared" si="33"/>
        <v>84554712.299999997</v>
      </c>
    </row>
    <row r="1991" spans="1:6" x14ac:dyDescent="0.2">
      <c r="A1991" s="3">
        <v>45712</v>
      </c>
      <c r="B1991" s="43">
        <v>15922328</v>
      </c>
      <c r="C1991" s="20" t="s">
        <v>319</v>
      </c>
      <c r="D1991" s="18">
        <v>300000</v>
      </c>
      <c r="E1991" s="19"/>
      <c r="F1991" s="15">
        <f t="shared" si="33"/>
        <v>84254712.299999997</v>
      </c>
    </row>
    <row r="1992" spans="1:6" x14ac:dyDescent="0.2">
      <c r="A1992" s="3">
        <v>45712</v>
      </c>
      <c r="B1992" s="43">
        <v>15922329</v>
      </c>
      <c r="C1992" s="20" t="s">
        <v>319</v>
      </c>
      <c r="D1992" s="18">
        <v>1217090</v>
      </c>
      <c r="E1992" s="19"/>
      <c r="F1992" s="15">
        <f t="shared" si="33"/>
        <v>83037622.299999997</v>
      </c>
    </row>
    <row r="1993" spans="1:6" x14ac:dyDescent="0.2">
      <c r="A1993" s="3">
        <v>45712</v>
      </c>
      <c r="B1993" s="43">
        <v>15922330</v>
      </c>
      <c r="C1993" s="20" t="s">
        <v>319</v>
      </c>
      <c r="D1993" s="18">
        <v>522000</v>
      </c>
      <c r="E1993" s="19"/>
      <c r="F1993" s="15">
        <f t="shared" si="33"/>
        <v>82515622.299999997</v>
      </c>
    </row>
    <row r="1994" spans="1:6" x14ac:dyDescent="0.2">
      <c r="A1994" s="3">
        <v>45712</v>
      </c>
      <c r="B1994" s="43">
        <v>15922331</v>
      </c>
      <c r="C1994" s="20" t="s">
        <v>319</v>
      </c>
      <c r="D1994" s="18">
        <v>2496800</v>
      </c>
      <c r="E1994" s="19"/>
      <c r="F1994" s="15">
        <f t="shared" si="33"/>
        <v>80018822.299999997</v>
      </c>
    </row>
    <row r="1995" spans="1:6" x14ac:dyDescent="0.2">
      <c r="A1995" s="3">
        <v>45712</v>
      </c>
      <c r="B1995" s="43">
        <v>15922332</v>
      </c>
      <c r="C1995" s="20" t="s">
        <v>319</v>
      </c>
      <c r="D1995" s="18">
        <v>1353500</v>
      </c>
      <c r="E1995" s="19"/>
      <c r="F1995" s="15">
        <f t="shared" si="33"/>
        <v>78665322.299999997</v>
      </c>
    </row>
    <row r="1996" spans="1:6" x14ac:dyDescent="0.2">
      <c r="A1996" s="3">
        <v>45712</v>
      </c>
      <c r="B1996" s="43">
        <v>15922333</v>
      </c>
      <c r="C1996" s="20" t="s">
        <v>319</v>
      </c>
      <c r="D1996" s="18">
        <v>2852850</v>
      </c>
      <c r="E1996" s="19"/>
      <c r="F1996" s="15">
        <f t="shared" si="33"/>
        <v>75812472.299999997</v>
      </c>
    </row>
    <row r="1997" spans="1:6" x14ac:dyDescent="0.2">
      <c r="A1997" s="3">
        <v>45712</v>
      </c>
      <c r="B1997" s="43">
        <v>15922334</v>
      </c>
      <c r="C1997" s="20" t="s">
        <v>319</v>
      </c>
      <c r="D1997" s="18">
        <v>800000</v>
      </c>
      <c r="E1997" s="19"/>
      <c r="F1997" s="15">
        <f t="shared" si="33"/>
        <v>75012472.299999997</v>
      </c>
    </row>
    <row r="1998" spans="1:6" x14ac:dyDescent="0.2">
      <c r="A1998" s="3">
        <v>45712</v>
      </c>
      <c r="B1998" s="43">
        <v>15922335</v>
      </c>
      <c r="C1998" s="20" t="s">
        <v>319</v>
      </c>
      <c r="D1998" s="18">
        <v>691590</v>
      </c>
      <c r="E1998" s="19"/>
      <c r="F1998" s="15">
        <f t="shared" si="33"/>
        <v>74320882.299999997</v>
      </c>
    </row>
    <row r="1999" spans="1:6" x14ac:dyDescent="0.2">
      <c r="A1999" s="3">
        <v>45712</v>
      </c>
      <c r="B1999" s="43">
        <v>15922336</v>
      </c>
      <c r="C1999" s="20" t="s">
        <v>319</v>
      </c>
      <c r="D1999" s="18">
        <v>105700</v>
      </c>
      <c r="E1999" s="19"/>
      <c r="F1999" s="15">
        <f t="shared" si="33"/>
        <v>74215182.299999997</v>
      </c>
    </row>
    <row r="2000" spans="1:6" x14ac:dyDescent="0.2">
      <c r="A2000" s="3">
        <v>45712</v>
      </c>
      <c r="B2000" s="43">
        <v>15922337</v>
      </c>
      <c r="C2000" s="20" t="s">
        <v>319</v>
      </c>
      <c r="D2000" s="18">
        <v>61750</v>
      </c>
      <c r="E2000" s="19"/>
      <c r="F2000" s="15">
        <f t="shared" si="33"/>
        <v>74153432.299999997</v>
      </c>
    </row>
    <row r="2001" spans="1:6" x14ac:dyDescent="0.2">
      <c r="A2001" s="3">
        <v>45712</v>
      </c>
      <c r="B2001" s="43">
        <v>15922338</v>
      </c>
      <c r="C2001" s="20" t="s">
        <v>319</v>
      </c>
      <c r="D2001" s="18">
        <v>2837000</v>
      </c>
      <c r="E2001" s="19"/>
      <c r="F2001" s="15">
        <f t="shared" si="33"/>
        <v>71316432.299999997</v>
      </c>
    </row>
    <row r="2002" spans="1:6" x14ac:dyDescent="0.2">
      <c r="A2002" s="3">
        <v>45712</v>
      </c>
      <c r="B2002" s="43">
        <v>15922339</v>
      </c>
      <c r="C2002" s="20" t="s">
        <v>319</v>
      </c>
      <c r="D2002" s="18">
        <v>300000</v>
      </c>
      <c r="E2002" s="19"/>
      <c r="F2002" s="15">
        <f t="shared" si="33"/>
        <v>71016432.299999997</v>
      </c>
    </row>
    <row r="2003" spans="1:6" x14ac:dyDescent="0.2">
      <c r="A2003" s="3">
        <v>45712</v>
      </c>
      <c r="B2003" s="43">
        <v>15922340</v>
      </c>
      <c r="C2003" s="20" t="s">
        <v>319</v>
      </c>
      <c r="D2003" s="18">
        <v>1078250</v>
      </c>
      <c r="E2003" s="19"/>
      <c r="F2003" s="15">
        <f t="shared" si="33"/>
        <v>69938182.299999997</v>
      </c>
    </row>
    <row r="2004" spans="1:6" x14ac:dyDescent="0.2">
      <c r="A2004" s="3">
        <v>45712</v>
      </c>
      <c r="B2004" s="46">
        <v>15922341</v>
      </c>
      <c r="C2004" s="9" t="s">
        <v>319</v>
      </c>
      <c r="D2004" s="48">
        <v>79800</v>
      </c>
      <c r="E2004" s="49"/>
      <c r="F2004" s="15">
        <f t="shared" si="33"/>
        <v>69858382.299999997</v>
      </c>
    </row>
    <row r="2005" spans="1:6" x14ac:dyDescent="0.2">
      <c r="A2005" s="3">
        <v>45712</v>
      </c>
      <c r="B2005" s="44">
        <v>15922342</v>
      </c>
      <c r="C2005" s="28" t="s">
        <v>319</v>
      </c>
      <c r="D2005" s="23">
        <v>242000</v>
      </c>
      <c r="E2005" s="24"/>
      <c r="F2005" s="15">
        <f t="shared" si="33"/>
        <v>69616382.299999997</v>
      </c>
    </row>
    <row r="2006" spans="1:6" x14ac:dyDescent="0.2">
      <c r="A2006" s="3">
        <v>45712</v>
      </c>
      <c r="B2006" s="43">
        <v>15922343</v>
      </c>
      <c r="C2006" s="20" t="s">
        <v>319</v>
      </c>
      <c r="D2006" s="18">
        <v>1290100</v>
      </c>
      <c r="E2006" s="19"/>
      <c r="F2006" s="15">
        <f t="shared" ref="F2006:F2069" si="34">+F2005+E2006-D2006</f>
        <v>68326282.299999997</v>
      </c>
    </row>
    <row r="2007" spans="1:6" x14ac:dyDescent="0.2">
      <c r="A2007" s="3">
        <v>45712</v>
      </c>
      <c r="B2007" s="43">
        <v>15922344</v>
      </c>
      <c r="C2007" s="20" t="s">
        <v>319</v>
      </c>
      <c r="D2007" s="18">
        <v>185000</v>
      </c>
      <c r="E2007" s="19"/>
      <c r="F2007" s="15">
        <f t="shared" si="34"/>
        <v>68141282.299999997</v>
      </c>
    </row>
    <row r="2008" spans="1:6" x14ac:dyDescent="0.2">
      <c r="A2008" s="3">
        <v>45712</v>
      </c>
      <c r="B2008" s="43">
        <v>15922345</v>
      </c>
      <c r="C2008" s="20" t="s">
        <v>319</v>
      </c>
      <c r="D2008" s="18">
        <v>1048800</v>
      </c>
      <c r="E2008" s="19"/>
      <c r="F2008" s="15">
        <f t="shared" si="34"/>
        <v>67092482.299999997</v>
      </c>
    </row>
    <row r="2009" spans="1:6" x14ac:dyDescent="0.2">
      <c r="A2009" s="3">
        <v>45712</v>
      </c>
      <c r="B2009" s="43">
        <v>15922346</v>
      </c>
      <c r="C2009" s="20" t="s">
        <v>319</v>
      </c>
      <c r="D2009" s="18">
        <v>180000</v>
      </c>
      <c r="E2009" s="19"/>
      <c r="F2009" s="15">
        <f t="shared" si="34"/>
        <v>66912482.299999997</v>
      </c>
    </row>
    <row r="2010" spans="1:6" x14ac:dyDescent="0.2">
      <c r="A2010" s="3">
        <v>45712</v>
      </c>
      <c r="B2010" s="43">
        <v>15922347</v>
      </c>
      <c r="C2010" s="20" t="s">
        <v>319</v>
      </c>
      <c r="D2010" s="18">
        <v>1100000</v>
      </c>
      <c r="E2010" s="19"/>
      <c r="F2010" s="15">
        <f t="shared" si="34"/>
        <v>65812482.299999997</v>
      </c>
    </row>
    <row r="2011" spans="1:6" x14ac:dyDescent="0.2">
      <c r="A2011" s="3">
        <v>45712</v>
      </c>
      <c r="B2011" s="43">
        <v>15922348</v>
      </c>
      <c r="C2011" s="20" t="s">
        <v>319</v>
      </c>
      <c r="D2011" s="18">
        <v>364800</v>
      </c>
      <c r="E2011" s="19"/>
      <c r="F2011" s="15">
        <f t="shared" si="34"/>
        <v>65447682.299999997</v>
      </c>
    </row>
    <row r="2012" spans="1:6" x14ac:dyDescent="0.2">
      <c r="A2012" s="3">
        <v>45712</v>
      </c>
      <c r="B2012" s="43">
        <v>15922349</v>
      </c>
      <c r="C2012" s="20" t="s">
        <v>319</v>
      </c>
      <c r="D2012" s="18">
        <v>400000</v>
      </c>
      <c r="E2012" s="19"/>
      <c r="F2012" s="15">
        <f t="shared" si="34"/>
        <v>65047682.299999997</v>
      </c>
    </row>
    <row r="2013" spans="1:6" x14ac:dyDescent="0.2">
      <c r="A2013" s="3">
        <v>45712</v>
      </c>
      <c r="B2013" s="43">
        <v>15922350</v>
      </c>
      <c r="C2013" s="20" t="s">
        <v>319</v>
      </c>
      <c r="D2013" s="18">
        <v>774400</v>
      </c>
      <c r="E2013" s="19"/>
      <c r="F2013" s="15">
        <f t="shared" si="34"/>
        <v>64273282.299999997</v>
      </c>
    </row>
    <row r="2014" spans="1:6" x14ac:dyDescent="0.2">
      <c r="A2014" s="3">
        <v>45712</v>
      </c>
      <c r="B2014" s="43">
        <v>15922351</v>
      </c>
      <c r="C2014" s="20" t="s">
        <v>319</v>
      </c>
      <c r="D2014" s="18">
        <v>392000</v>
      </c>
      <c r="E2014" s="19"/>
      <c r="F2014" s="15">
        <f t="shared" si="34"/>
        <v>63881282.299999997</v>
      </c>
    </row>
    <row r="2015" spans="1:6" x14ac:dyDescent="0.2">
      <c r="A2015" s="3">
        <v>45712</v>
      </c>
      <c r="B2015" s="43">
        <v>15922352</v>
      </c>
      <c r="C2015" s="20" t="s">
        <v>319</v>
      </c>
      <c r="D2015" s="18">
        <v>665000</v>
      </c>
      <c r="E2015" s="19"/>
      <c r="F2015" s="15">
        <f t="shared" si="34"/>
        <v>63216282.299999997</v>
      </c>
    </row>
    <row r="2016" spans="1:6" x14ac:dyDescent="0.2">
      <c r="A2016" s="3">
        <v>45712</v>
      </c>
      <c r="B2016" s="45"/>
      <c r="C2016" s="17" t="s">
        <v>88</v>
      </c>
      <c r="D2016" s="18">
        <v>26539620</v>
      </c>
      <c r="E2016" s="19"/>
      <c r="F2016" s="15">
        <f t="shared" si="34"/>
        <v>36676662.299999997</v>
      </c>
    </row>
    <row r="2017" spans="1:6" x14ac:dyDescent="0.2">
      <c r="A2017" s="3">
        <v>45712</v>
      </c>
      <c r="B2017" s="45"/>
      <c r="C2017" s="17" t="s">
        <v>16</v>
      </c>
      <c r="D2017" s="18">
        <v>491223.61</v>
      </c>
      <c r="E2017" s="19"/>
      <c r="F2017" s="15">
        <f t="shared" si="34"/>
        <v>36185438.689999998</v>
      </c>
    </row>
    <row r="2018" spans="1:6" x14ac:dyDescent="0.2">
      <c r="A2018" s="3">
        <v>45712</v>
      </c>
      <c r="B2018" s="43">
        <v>13188</v>
      </c>
      <c r="C2018" s="20" t="s">
        <v>7</v>
      </c>
      <c r="D2018" s="18">
        <v>720</v>
      </c>
      <c r="E2018" s="19"/>
      <c r="F2018" s="15">
        <f t="shared" si="34"/>
        <v>36184718.689999998</v>
      </c>
    </row>
    <row r="2019" spans="1:6" x14ac:dyDescent="0.2">
      <c r="A2019" s="3">
        <v>45712</v>
      </c>
      <c r="B2019" s="43">
        <v>13188</v>
      </c>
      <c r="C2019" s="17" t="s">
        <v>227</v>
      </c>
      <c r="D2019" s="18">
        <v>151.19999999999999</v>
      </c>
      <c r="E2019" s="19"/>
      <c r="F2019" s="15">
        <f t="shared" si="34"/>
        <v>36184567.489999995</v>
      </c>
    </row>
    <row r="2020" spans="1:6" x14ac:dyDescent="0.2">
      <c r="A2020" s="3">
        <v>45713</v>
      </c>
      <c r="B2020" s="43">
        <v>31916</v>
      </c>
      <c r="C2020" s="17" t="s">
        <v>9</v>
      </c>
      <c r="D2020" s="18">
        <v>253000</v>
      </c>
      <c r="E2020" s="19"/>
      <c r="F2020" s="15">
        <f t="shared" si="34"/>
        <v>35931567.489999995</v>
      </c>
    </row>
    <row r="2021" spans="1:6" x14ac:dyDescent="0.2">
      <c r="A2021" s="3">
        <v>45713</v>
      </c>
      <c r="B2021" s="43">
        <v>8440271</v>
      </c>
      <c r="C2021" s="20" t="s">
        <v>320</v>
      </c>
      <c r="D2021" s="19"/>
      <c r="E2021" s="18">
        <v>77121</v>
      </c>
      <c r="F2021" s="15">
        <f t="shared" si="34"/>
        <v>36008688.489999995</v>
      </c>
    </row>
    <row r="2022" spans="1:6" x14ac:dyDescent="0.2">
      <c r="A2022" s="3">
        <v>45713</v>
      </c>
      <c r="B2022" s="45"/>
      <c r="C2022" s="17" t="s">
        <v>22</v>
      </c>
      <c r="D2022" s="18">
        <v>462.73</v>
      </c>
      <c r="E2022" s="19"/>
      <c r="F2022" s="15">
        <f t="shared" si="34"/>
        <v>36008225.759999998</v>
      </c>
    </row>
    <row r="2023" spans="1:6" x14ac:dyDescent="0.2">
      <c r="A2023" s="3">
        <v>45713</v>
      </c>
      <c r="B2023" s="45"/>
      <c r="C2023" s="17" t="s">
        <v>16</v>
      </c>
      <c r="D2023" s="18">
        <v>1523.23</v>
      </c>
      <c r="E2023" s="19"/>
      <c r="F2023" s="15">
        <f t="shared" si="34"/>
        <v>36006702.530000001</v>
      </c>
    </row>
    <row r="2024" spans="1:6" x14ac:dyDescent="0.2">
      <c r="A2024" s="3">
        <v>45713</v>
      </c>
      <c r="B2024" s="45"/>
      <c r="C2024" s="20" t="s">
        <v>321</v>
      </c>
      <c r="D2024" s="18">
        <v>77.12</v>
      </c>
      <c r="E2024" s="19"/>
      <c r="F2024" s="15">
        <f t="shared" si="34"/>
        <v>36006625.410000004</v>
      </c>
    </row>
    <row r="2025" spans="1:6" x14ac:dyDescent="0.2">
      <c r="A2025" s="3">
        <v>45714</v>
      </c>
      <c r="B2025" s="43">
        <v>31832</v>
      </c>
      <c r="C2025" s="17" t="s">
        <v>9</v>
      </c>
      <c r="D2025" s="18">
        <v>88513.919999999998</v>
      </c>
      <c r="E2025" s="19"/>
      <c r="F2025" s="15">
        <f t="shared" si="34"/>
        <v>35918111.490000002</v>
      </c>
    </row>
    <row r="2026" spans="1:6" x14ac:dyDescent="0.2">
      <c r="A2026" s="3">
        <v>45714</v>
      </c>
      <c r="B2026" s="43">
        <v>31923</v>
      </c>
      <c r="C2026" s="17" t="s">
        <v>9</v>
      </c>
      <c r="D2026" s="18">
        <v>90750</v>
      </c>
      <c r="E2026" s="19"/>
      <c r="F2026" s="15">
        <f t="shared" si="34"/>
        <v>35827361.490000002</v>
      </c>
    </row>
    <row r="2027" spans="1:6" x14ac:dyDescent="0.2">
      <c r="A2027" s="3">
        <v>45714</v>
      </c>
      <c r="B2027" s="43">
        <v>32067</v>
      </c>
      <c r="C2027" s="17" t="s">
        <v>9</v>
      </c>
      <c r="D2027" s="18">
        <v>141680.56</v>
      </c>
      <c r="E2027" s="19"/>
      <c r="F2027" s="15">
        <f t="shared" si="34"/>
        <v>35685680.93</v>
      </c>
    </row>
    <row r="2028" spans="1:6" x14ac:dyDescent="0.2">
      <c r="A2028" s="3">
        <v>45714</v>
      </c>
      <c r="B2028" s="43">
        <v>31932</v>
      </c>
      <c r="C2028" s="17" t="s">
        <v>9</v>
      </c>
      <c r="D2028" s="18">
        <v>268620</v>
      </c>
      <c r="E2028" s="19"/>
      <c r="F2028" s="15">
        <f t="shared" si="34"/>
        <v>35417060.93</v>
      </c>
    </row>
    <row r="2029" spans="1:6" x14ac:dyDescent="0.2">
      <c r="A2029" s="3">
        <v>45714</v>
      </c>
      <c r="B2029" s="43">
        <v>31851</v>
      </c>
      <c r="C2029" s="17" t="s">
        <v>9</v>
      </c>
      <c r="D2029" s="18">
        <v>525109.75</v>
      </c>
      <c r="E2029" s="19"/>
      <c r="F2029" s="15">
        <f t="shared" si="34"/>
        <v>34891951.18</v>
      </c>
    </row>
    <row r="2030" spans="1:6" x14ac:dyDescent="0.2">
      <c r="A2030" s="3">
        <v>45714</v>
      </c>
      <c r="B2030" s="43">
        <v>32126</v>
      </c>
      <c r="C2030" s="17" t="s">
        <v>9</v>
      </c>
      <c r="D2030" s="18">
        <v>2268100</v>
      </c>
      <c r="E2030" s="19"/>
      <c r="F2030" s="15">
        <f t="shared" si="34"/>
        <v>32623851.18</v>
      </c>
    </row>
    <row r="2031" spans="1:6" x14ac:dyDescent="0.2">
      <c r="A2031" s="3">
        <v>45714</v>
      </c>
      <c r="B2031" s="46">
        <v>31881</v>
      </c>
      <c r="C2031" s="47" t="s">
        <v>9</v>
      </c>
      <c r="D2031" s="48">
        <v>6269985.2599999998</v>
      </c>
      <c r="E2031" s="49"/>
      <c r="F2031" s="15">
        <f t="shared" si="34"/>
        <v>26353865.920000002</v>
      </c>
    </row>
    <row r="2032" spans="1:6" x14ac:dyDescent="0.2">
      <c r="A2032" s="3">
        <v>45714</v>
      </c>
      <c r="B2032" s="44">
        <v>73800369</v>
      </c>
      <c r="C2032" s="28" t="s">
        <v>61</v>
      </c>
      <c r="D2032" s="23">
        <v>91667.88</v>
      </c>
      <c r="E2032" s="24"/>
      <c r="F2032" s="15">
        <f t="shared" si="34"/>
        <v>26262198.040000003</v>
      </c>
    </row>
    <row r="2033" spans="1:6" x14ac:dyDescent="0.2">
      <c r="A2033" s="3">
        <v>45714</v>
      </c>
      <c r="B2033" s="43">
        <v>227856</v>
      </c>
      <c r="C2033" s="20" t="s">
        <v>322</v>
      </c>
      <c r="D2033" s="19"/>
      <c r="E2033" s="18">
        <v>14666.99</v>
      </c>
      <c r="F2033" s="15">
        <f t="shared" si="34"/>
        <v>26276865.030000001</v>
      </c>
    </row>
    <row r="2034" spans="1:6" x14ac:dyDescent="0.2">
      <c r="A2034" s="3">
        <v>45714</v>
      </c>
      <c r="B2034" s="43">
        <v>5000006</v>
      </c>
      <c r="C2034" s="17" t="s">
        <v>150</v>
      </c>
      <c r="D2034" s="19"/>
      <c r="E2034" s="18">
        <v>81178.8</v>
      </c>
      <c r="F2034" s="15">
        <f t="shared" si="34"/>
        <v>26358043.830000002</v>
      </c>
    </row>
    <row r="2035" spans="1:6" x14ac:dyDescent="0.2">
      <c r="A2035" s="3">
        <v>45714</v>
      </c>
      <c r="B2035" s="43">
        <v>31840</v>
      </c>
      <c r="C2035" s="17" t="s">
        <v>12</v>
      </c>
      <c r="D2035" s="18">
        <v>3729502.28</v>
      </c>
      <c r="E2035" s="19"/>
      <c r="F2035" s="15">
        <f t="shared" si="34"/>
        <v>22628541.550000001</v>
      </c>
    </row>
    <row r="2036" spans="1:6" x14ac:dyDescent="0.2">
      <c r="A2036" s="3">
        <v>45714</v>
      </c>
      <c r="B2036" s="43">
        <v>31858</v>
      </c>
      <c r="C2036" s="17" t="s">
        <v>12</v>
      </c>
      <c r="D2036" s="18">
        <v>6979932</v>
      </c>
      <c r="E2036" s="19"/>
      <c r="F2036" s="15">
        <f t="shared" si="34"/>
        <v>15648609.550000001</v>
      </c>
    </row>
    <row r="2037" spans="1:6" x14ac:dyDescent="0.2">
      <c r="A2037" s="3">
        <v>45714</v>
      </c>
      <c r="B2037" s="43">
        <v>31845</v>
      </c>
      <c r="C2037" s="17" t="s">
        <v>12</v>
      </c>
      <c r="D2037" s="18">
        <v>7267813</v>
      </c>
      <c r="E2037" s="19"/>
      <c r="F2037" s="15">
        <f t="shared" si="34"/>
        <v>8380796.5500000007</v>
      </c>
    </row>
    <row r="2038" spans="1:6" x14ac:dyDescent="0.2">
      <c r="A2038" s="3">
        <v>45714</v>
      </c>
      <c r="B2038" s="43">
        <v>31860</v>
      </c>
      <c r="C2038" s="17" t="s">
        <v>12</v>
      </c>
      <c r="D2038" s="18">
        <v>7814960</v>
      </c>
      <c r="E2038" s="19"/>
      <c r="F2038" s="15">
        <f t="shared" si="34"/>
        <v>565836.55000000075</v>
      </c>
    </row>
    <row r="2039" spans="1:6" x14ac:dyDescent="0.2">
      <c r="A2039" s="3">
        <v>45714</v>
      </c>
      <c r="B2039" s="43">
        <v>31921</v>
      </c>
      <c r="C2039" s="17" t="s">
        <v>12</v>
      </c>
      <c r="D2039" s="18">
        <v>492470</v>
      </c>
      <c r="E2039" s="19"/>
      <c r="F2039" s="15">
        <f t="shared" si="34"/>
        <v>73366.550000000745</v>
      </c>
    </row>
    <row r="2040" spans="1:6" x14ac:dyDescent="0.2">
      <c r="A2040" s="3">
        <v>45714</v>
      </c>
      <c r="B2040" s="45"/>
      <c r="C2040" s="17" t="s">
        <v>22</v>
      </c>
      <c r="D2040" s="18">
        <v>575.07000000000005</v>
      </c>
      <c r="E2040" s="19"/>
      <c r="F2040" s="15">
        <f t="shared" si="34"/>
        <v>72791.480000000738</v>
      </c>
    </row>
    <row r="2041" spans="1:6" x14ac:dyDescent="0.2">
      <c r="A2041" s="3">
        <v>45714</v>
      </c>
      <c r="B2041" s="45"/>
      <c r="C2041" s="17" t="s">
        <v>16</v>
      </c>
      <c r="D2041" s="18">
        <v>216175.08</v>
      </c>
      <c r="E2041" s="19"/>
      <c r="F2041" s="15">
        <f t="shared" si="34"/>
        <v>-143383.59999999925</v>
      </c>
    </row>
    <row r="2042" spans="1:6" x14ac:dyDescent="0.2">
      <c r="A2042" s="3">
        <v>45714</v>
      </c>
      <c r="B2042" s="45"/>
      <c r="C2042" s="20" t="s">
        <v>323</v>
      </c>
      <c r="D2042" s="18">
        <v>95.85</v>
      </c>
      <c r="E2042" s="19"/>
      <c r="F2042" s="15">
        <f t="shared" si="34"/>
        <v>-143479.44999999925</v>
      </c>
    </row>
    <row r="2043" spans="1:6" x14ac:dyDescent="0.2">
      <c r="A2043" s="3">
        <v>45715</v>
      </c>
      <c r="B2043" s="43">
        <v>5000006</v>
      </c>
      <c r="C2043" s="17" t="s">
        <v>24</v>
      </c>
      <c r="D2043" s="19"/>
      <c r="E2043" s="18">
        <v>164642.70000000001</v>
      </c>
      <c r="F2043" s="15">
        <f t="shared" si="34"/>
        <v>21163.250000000757</v>
      </c>
    </row>
    <row r="2044" spans="1:6" x14ac:dyDescent="0.2">
      <c r="A2044" s="3">
        <v>45715</v>
      </c>
      <c r="B2044" s="43">
        <v>31864</v>
      </c>
      <c r="C2044" s="17" t="s">
        <v>9</v>
      </c>
      <c r="D2044" s="18">
        <v>101250</v>
      </c>
      <c r="E2044" s="19"/>
      <c r="F2044" s="15">
        <f t="shared" si="34"/>
        <v>-80086.749999999243</v>
      </c>
    </row>
    <row r="2045" spans="1:6" x14ac:dyDescent="0.2">
      <c r="A2045" s="3">
        <v>45715</v>
      </c>
      <c r="B2045" s="43">
        <v>31837</v>
      </c>
      <c r="C2045" s="17" t="s">
        <v>9</v>
      </c>
      <c r="D2045" s="18">
        <v>355484.5</v>
      </c>
      <c r="E2045" s="19"/>
      <c r="F2045" s="15">
        <f t="shared" si="34"/>
        <v>-435571.24999999924</v>
      </c>
    </row>
    <row r="2046" spans="1:6" x14ac:dyDescent="0.2">
      <c r="A2046" s="3">
        <v>45715</v>
      </c>
      <c r="B2046" s="43">
        <v>31909</v>
      </c>
      <c r="C2046" s="17" t="s">
        <v>9</v>
      </c>
      <c r="D2046" s="18">
        <v>429334.8</v>
      </c>
      <c r="E2046" s="19"/>
      <c r="F2046" s="15">
        <f t="shared" si="34"/>
        <v>-864906.04999999923</v>
      </c>
    </row>
    <row r="2047" spans="1:6" x14ac:dyDescent="0.2">
      <c r="A2047" s="3">
        <v>45715</v>
      </c>
      <c r="B2047" s="43">
        <v>31849</v>
      </c>
      <c r="C2047" s="17" t="s">
        <v>9</v>
      </c>
      <c r="D2047" s="18">
        <v>548495.64</v>
      </c>
      <c r="E2047" s="19"/>
      <c r="F2047" s="15">
        <f t="shared" si="34"/>
        <v>-1413401.6899999992</v>
      </c>
    </row>
    <row r="2048" spans="1:6" x14ac:dyDescent="0.2">
      <c r="A2048" s="3">
        <v>45715</v>
      </c>
      <c r="B2048" s="43">
        <v>31844</v>
      </c>
      <c r="C2048" s="17" t="s">
        <v>9</v>
      </c>
      <c r="D2048" s="18">
        <v>861154.1</v>
      </c>
      <c r="E2048" s="19"/>
      <c r="F2048" s="15">
        <f t="shared" si="34"/>
        <v>-2274555.7899999991</v>
      </c>
    </row>
    <row r="2049" spans="1:6" x14ac:dyDescent="0.2">
      <c r="A2049" s="3">
        <v>45715</v>
      </c>
      <c r="B2049" s="43">
        <v>31842</v>
      </c>
      <c r="C2049" s="17" t="s">
        <v>9</v>
      </c>
      <c r="D2049" s="18">
        <v>1020827.5</v>
      </c>
      <c r="E2049" s="19"/>
      <c r="F2049" s="15">
        <f t="shared" si="34"/>
        <v>-3295383.2899999991</v>
      </c>
    </row>
    <row r="2050" spans="1:6" x14ac:dyDescent="0.2">
      <c r="A2050" s="3">
        <v>45715</v>
      </c>
      <c r="B2050" s="43">
        <v>31850</v>
      </c>
      <c r="C2050" s="17" t="s">
        <v>9</v>
      </c>
      <c r="D2050" s="18">
        <v>1089595.81</v>
      </c>
      <c r="E2050" s="19"/>
      <c r="F2050" s="15">
        <f t="shared" si="34"/>
        <v>-4384979.0999999996</v>
      </c>
    </row>
    <row r="2051" spans="1:6" x14ac:dyDescent="0.2">
      <c r="A2051" s="3">
        <v>45715</v>
      </c>
      <c r="B2051" s="43">
        <v>31841</v>
      </c>
      <c r="C2051" s="17" t="s">
        <v>9</v>
      </c>
      <c r="D2051" s="18">
        <v>1773694.64</v>
      </c>
      <c r="E2051" s="19"/>
      <c r="F2051" s="15">
        <f t="shared" si="34"/>
        <v>-6158673.7399999993</v>
      </c>
    </row>
    <row r="2052" spans="1:6" x14ac:dyDescent="0.2">
      <c r="A2052" s="3">
        <v>45715</v>
      </c>
      <c r="B2052" s="43">
        <v>31874</v>
      </c>
      <c r="C2052" s="17" t="s">
        <v>9</v>
      </c>
      <c r="D2052" s="18">
        <v>2265153.7999999998</v>
      </c>
      <c r="E2052" s="19"/>
      <c r="F2052" s="15">
        <f t="shared" si="34"/>
        <v>-8423827.5399999991</v>
      </c>
    </row>
    <row r="2053" spans="1:6" x14ac:dyDescent="0.2">
      <c r="A2053" s="3">
        <v>45715</v>
      </c>
      <c r="B2053" s="43">
        <v>31857</v>
      </c>
      <c r="C2053" s="17" t="s">
        <v>9</v>
      </c>
      <c r="D2053" s="18">
        <v>2350671.0099999998</v>
      </c>
      <c r="E2053" s="19"/>
      <c r="F2053" s="15">
        <f t="shared" si="34"/>
        <v>-10774498.549999999</v>
      </c>
    </row>
    <row r="2054" spans="1:6" x14ac:dyDescent="0.2">
      <c r="A2054" s="3">
        <v>45715</v>
      </c>
      <c r="B2054" s="43">
        <v>32125</v>
      </c>
      <c r="C2054" s="17" t="s">
        <v>9</v>
      </c>
      <c r="D2054" s="18">
        <v>2791900</v>
      </c>
      <c r="E2054" s="19"/>
      <c r="F2054" s="15">
        <f t="shared" si="34"/>
        <v>-13566398.549999999</v>
      </c>
    </row>
    <row r="2055" spans="1:6" x14ac:dyDescent="0.2">
      <c r="A2055" s="3">
        <v>45715</v>
      </c>
      <c r="B2055" s="43">
        <v>31847</v>
      </c>
      <c r="C2055" s="17" t="s">
        <v>9</v>
      </c>
      <c r="D2055" s="18">
        <v>5022856.71</v>
      </c>
      <c r="E2055" s="19"/>
      <c r="F2055" s="15">
        <f t="shared" si="34"/>
        <v>-18589255.259999998</v>
      </c>
    </row>
    <row r="2056" spans="1:6" x14ac:dyDescent="0.2">
      <c r="A2056" s="3">
        <v>45715</v>
      </c>
      <c r="B2056" s="45"/>
      <c r="C2056" s="17" t="s">
        <v>92</v>
      </c>
      <c r="D2056" s="18">
        <v>44400</v>
      </c>
      <c r="E2056" s="19"/>
      <c r="F2056" s="15">
        <f t="shared" si="34"/>
        <v>-18633655.259999998</v>
      </c>
    </row>
    <row r="2057" spans="1:6" x14ac:dyDescent="0.2">
      <c r="A2057" s="3">
        <v>45715</v>
      </c>
      <c r="B2057" s="45"/>
      <c r="C2057" s="17" t="s">
        <v>36</v>
      </c>
      <c r="D2057" s="18">
        <v>666</v>
      </c>
      <c r="E2057" s="19"/>
      <c r="F2057" s="15">
        <f t="shared" si="34"/>
        <v>-18634321.259999998</v>
      </c>
    </row>
    <row r="2058" spans="1:6" x14ac:dyDescent="0.2">
      <c r="A2058" s="3">
        <v>45715</v>
      </c>
      <c r="B2058" s="45"/>
      <c r="C2058" s="17" t="s">
        <v>227</v>
      </c>
      <c r="D2058" s="18">
        <v>9324</v>
      </c>
      <c r="E2058" s="19"/>
      <c r="F2058" s="15">
        <f t="shared" si="34"/>
        <v>-18643645.259999998</v>
      </c>
    </row>
    <row r="2059" spans="1:6" x14ac:dyDescent="0.2">
      <c r="A2059" s="3">
        <v>45715</v>
      </c>
      <c r="B2059" s="45"/>
      <c r="C2059" s="17" t="s">
        <v>37</v>
      </c>
      <c r="D2059" s="18">
        <v>1332</v>
      </c>
      <c r="E2059" s="19"/>
      <c r="F2059" s="15">
        <f t="shared" si="34"/>
        <v>-18644977.259999998</v>
      </c>
    </row>
    <row r="2060" spans="1:6" x14ac:dyDescent="0.2">
      <c r="A2060" s="3">
        <v>45715</v>
      </c>
      <c r="B2060" s="45"/>
      <c r="C2060" s="17" t="s">
        <v>93</v>
      </c>
      <c r="D2060" s="18">
        <v>33620</v>
      </c>
      <c r="E2060" s="19"/>
      <c r="F2060" s="15">
        <f t="shared" si="34"/>
        <v>-18678597.259999998</v>
      </c>
    </row>
    <row r="2061" spans="1:6" x14ac:dyDescent="0.2">
      <c r="A2061" s="3">
        <v>45715</v>
      </c>
      <c r="B2061" s="45"/>
      <c r="C2061" s="17" t="s">
        <v>36</v>
      </c>
      <c r="D2061" s="18">
        <v>504.3</v>
      </c>
      <c r="E2061" s="19"/>
      <c r="F2061" s="15">
        <f t="shared" si="34"/>
        <v>-18679101.559999999</v>
      </c>
    </row>
    <row r="2062" spans="1:6" x14ac:dyDescent="0.2">
      <c r="A2062" s="3">
        <v>45715</v>
      </c>
      <c r="B2062" s="51"/>
      <c r="C2062" s="47" t="s">
        <v>227</v>
      </c>
      <c r="D2062" s="48">
        <v>7060.2</v>
      </c>
      <c r="E2062" s="49"/>
      <c r="F2062" s="15">
        <f t="shared" si="34"/>
        <v>-18686161.759999998</v>
      </c>
    </row>
    <row r="2063" spans="1:6" x14ac:dyDescent="0.2">
      <c r="A2063" s="3">
        <v>45715</v>
      </c>
      <c r="B2063" s="50"/>
      <c r="C2063" s="22" t="s">
        <v>37</v>
      </c>
      <c r="D2063" s="31">
        <v>1008.6</v>
      </c>
      <c r="E2063" s="24"/>
      <c r="F2063" s="15">
        <f t="shared" si="34"/>
        <v>-18687170.359999999</v>
      </c>
    </row>
    <row r="2064" spans="1:6" x14ac:dyDescent="0.2">
      <c r="A2064" s="3">
        <v>45715</v>
      </c>
      <c r="B2064" s="43">
        <v>117322</v>
      </c>
      <c r="C2064" s="20" t="s">
        <v>89</v>
      </c>
      <c r="D2064" s="25"/>
      <c r="E2064" s="25">
        <v>2792360.62</v>
      </c>
      <c r="F2064" s="15">
        <f t="shared" si="34"/>
        <v>-15894809.739999998</v>
      </c>
    </row>
    <row r="2065" spans="1:6" x14ac:dyDescent="0.2">
      <c r="A2065" s="3">
        <v>45715</v>
      </c>
      <c r="B2065" s="43">
        <v>137073</v>
      </c>
      <c r="C2065" s="20" t="s">
        <v>217</v>
      </c>
      <c r="D2065" s="25"/>
      <c r="E2065" s="25">
        <v>145000000</v>
      </c>
      <c r="F2065" s="15">
        <f t="shared" si="34"/>
        <v>129105190.26000001</v>
      </c>
    </row>
    <row r="2066" spans="1:6" x14ac:dyDescent="0.2">
      <c r="A2066" s="3">
        <v>45715</v>
      </c>
      <c r="B2066" s="43">
        <v>387447</v>
      </c>
      <c r="C2066" s="20" t="s">
        <v>94</v>
      </c>
      <c r="D2066" s="25"/>
      <c r="E2066" s="25">
        <v>1115763.1399999999</v>
      </c>
      <c r="F2066" s="15">
        <f t="shared" si="34"/>
        <v>130220953.40000001</v>
      </c>
    </row>
    <row r="2067" spans="1:6" x14ac:dyDescent="0.2">
      <c r="A2067" s="3">
        <v>45715</v>
      </c>
      <c r="B2067" s="43">
        <v>32055</v>
      </c>
      <c r="C2067" s="17" t="s">
        <v>12</v>
      </c>
      <c r="D2067" s="18">
        <v>131716</v>
      </c>
      <c r="E2067" s="19"/>
      <c r="F2067" s="15">
        <f t="shared" si="34"/>
        <v>130089237.40000001</v>
      </c>
    </row>
    <row r="2068" spans="1:6" x14ac:dyDescent="0.2">
      <c r="A2068" s="3">
        <v>45715</v>
      </c>
      <c r="B2068" s="43">
        <v>31835</v>
      </c>
      <c r="C2068" s="17" t="s">
        <v>12</v>
      </c>
      <c r="D2068" s="18">
        <v>865900</v>
      </c>
      <c r="E2068" s="19"/>
      <c r="F2068" s="15">
        <f t="shared" si="34"/>
        <v>129223337.40000001</v>
      </c>
    </row>
    <row r="2069" spans="1:6" x14ac:dyDescent="0.2">
      <c r="A2069" s="3">
        <v>45715</v>
      </c>
      <c r="B2069" s="43">
        <v>31846</v>
      </c>
      <c r="C2069" s="17" t="s">
        <v>12</v>
      </c>
      <c r="D2069" s="18">
        <v>1613543.2</v>
      </c>
      <c r="E2069" s="19"/>
      <c r="F2069" s="15">
        <f t="shared" si="34"/>
        <v>127609794.2</v>
      </c>
    </row>
    <row r="2070" spans="1:6" x14ac:dyDescent="0.2">
      <c r="A2070" s="3">
        <v>45715</v>
      </c>
      <c r="B2070" s="43">
        <v>31867</v>
      </c>
      <c r="C2070" s="17" t="s">
        <v>12</v>
      </c>
      <c r="D2070" s="18">
        <v>3240407.58</v>
      </c>
      <c r="E2070" s="19"/>
      <c r="F2070" s="15">
        <f t="shared" ref="F2070:F2100" si="35">+F2069+E2070-D2070</f>
        <v>124369386.62</v>
      </c>
    </row>
    <row r="2071" spans="1:6" x14ac:dyDescent="0.2">
      <c r="A2071" s="3">
        <v>45715</v>
      </c>
      <c r="B2071" s="45"/>
      <c r="C2071" s="17" t="s">
        <v>22</v>
      </c>
      <c r="D2071" s="18">
        <v>24436.6</v>
      </c>
      <c r="E2071" s="19"/>
      <c r="F2071" s="15">
        <f t="shared" si="35"/>
        <v>124344950.02000001</v>
      </c>
    </row>
    <row r="2072" spans="1:6" x14ac:dyDescent="0.2">
      <c r="A2072" s="3">
        <v>45715</v>
      </c>
      <c r="B2072" s="45"/>
      <c r="C2072" s="17" t="s">
        <v>16</v>
      </c>
      <c r="D2072" s="18">
        <v>147359.99</v>
      </c>
      <c r="E2072" s="19"/>
      <c r="F2072" s="15">
        <f t="shared" si="35"/>
        <v>124197590.03000002</v>
      </c>
    </row>
    <row r="2073" spans="1:6" x14ac:dyDescent="0.2">
      <c r="A2073" s="3">
        <v>45715</v>
      </c>
      <c r="B2073" s="45"/>
      <c r="C2073" s="20" t="s">
        <v>324</v>
      </c>
      <c r="D2073" s="18">
        <v>4072.76</v>
      </c>
      <c r="E2073" s="19"/>
      <c r="F2073" s="15">
        <f t="shared" si="35"/>
        <v>124193517.27000001</v>
      </c>
    </row>
    <row r="2074" spans="1:6" x14ac:dyDescent="0.2">
      <c r="A2074" s="3">
        <v>45716</v>
      </c>
      <c r="B2074" s="43">
        <v>31983</v>
      </c>
      <c r="C2074" s="17" t="s">
        <v>9</v>
      </c>
      <c r="D2074" s="18">
        <v>127000</v>
      </c>
      <c r="E2074" s="19"/>
      <c r="F2074" s="15">
        <f t="shared" si="35"/>
        <v>124066517.27000001</v>
      </c>
    </row>
    <row r="2075" spans="1:6" x14ac:dyDescent="0.2">
      <c r="A2075" s="3">
        <v>45716</v>
      </c>
      <c r="B2075" s="43">
        <v>32046</v>
      </c>
      <c r="C2075" s="17" t="s">
        <v>9</v>
      </c>
      <c r="D2075" s="18">
        <v>127000</v>
      </c>
      <c r="E2075" s="19"/>
      <c r="F2075" s="15">
        <f t="shared" si="35"/>
        <v>123939517.27000001</v>
      </c>
    </row>
    <row r="2076" spans="1:6" x14ac:dyDescent="0.2">
      <c r="A2076" s="3">
        <v>45716</v>
      </c>
      <c r="B2076" s="43">
        <v>31931</v>
      </c>
      <c r="C2076" s="17" t="s">
        <v>9</v>
      </c>
      <c r="D2076" s="18">
        <v>127583.57</v>
      </c>
      <c r="E2076" s="19"/>
      <c r="F2076" s="15">
        <f t="shared" si="35"/>
        <v>123811933.70000002</v>
      </c>
    </row>
    <row r="2077" spans="1:6" x14ac:dyDescent="0.2">
      <c r="A2077" s="3">
        <v>45716</v>
      </c>
      <c r="B2077" s="43">
        <v>31875</v>
      </c>
      <c r="C2077" s="17" t="s">
        <v>9</v>
      </c>
      <c r="D2077" s="18">
        <v>238210</v>
      </c>
      <c r="E2077" s="19"/>
      <c r="F2077" s="15">
        <f t="shared" si="35"/>
        <v>123573723.70000002</v>
      </c>
    </row>
    <row r="2078" spans="1:6" x14ac:dyDescent="0.2">
      <c r="A2078" s="3">
        <v>45716</v>
      </c>
      <c r="B2078" s="43">
        <v>32129</v>
      </c>
      <c r="C2078" s="17" t="s">
        <v>9</v>
      </c>
      <c r="D2078" s="18">
        <v>334543.40000000002</v>
      </c>
      <c r="E2078" s="19"/>
      <c r="F2078" s="15">
        <f t="shared" si="35"/>
        <v>123239180.30000001</v>
      </c>
    </row>
    <row r="2079" spans="1:6" x14ac:dyDescent="0.2">
      <c r="A2079" s="3">
        <v>45716</v>
      </c>
      <c r="B2079" s="43">
        <v>31962</v>
      </c>
      <c r="C2079" s="17" t="s">
        <v>9</v>
      </c>
      <c r="D2079" s="18">
        <v>1995675.56</v>
      </c>
      <c r="E2079" s="19"/>
      <c r="F2079" s="15">
        <f t="shared" si="35"/>
        <v>121243504.74000001</v>
      </c>
    </row>
    <row r="2080" spans="1:6" x14ac:dyDescent="0.2">
      <c r="A2080" s="3">
        <v>45716</v>
      </c>
      <c r="B2080" s="43">
        <v>32111</v>
      </c>
      <c r="C2080" s="17" t="s">
        <v>9</v>
      </c>
      <c r="D2080" s="18">
        <v>4183479.4</v>
      </c>
      <c r="E2080" s="19"/>
      <c r="F2080" s="15">
        <f t="shared" si="35"/>
        <v>117060025.34</v>
      </c>
    </row>
    <row r="2081" spans="1:6" x14ac:dyDescent="0.2">
      <c r="A2081" s="3">
        <v>45716</v>
      </c>
      <c r="B2081" s="43">
        <v>31980</v>
      </c>
      <c r="C2081" s="17" t="s">
        <v>9</v>
      </c>
      <c r="D2081" s="18">
        <v>5655625</v>
      </c>
      <c r="E2081" s="19"/>
      <c r="F2081" s="15">
        <f t="shared" si="35"/>
        <v>111404400.34</v>
      </c>
    </row>
    <row r="2082" spans="1:6" x14ac:dyDescent="0.2">
      <c r="A2082" s="3">
        <v>45716</v>
      </c>
      <c r="B2082" s="43">
        <v>11142680</v>
      </c>
      <c r="C2082" s="20" t="s">
        <v>137</v>
      </c>
      <c r="D2082" s="19"/>
      <c r="E2082" s="18">
        <v>11000</v>
      </c>
      <c r="F2082" s="15">
        <f t="shared" si="35"/>
        <v>111415400.34</v>
      </c>
    </row>
    <row r="2083" spans="1:6" x14ac:dyDescent="0.2">
      <c r="A2083" s="3">
        <v>45716</v>
      </c>
      <c r="B2083" s="43">
        <v>16107070</v>
      </c>
      <c r="C2083" s="20" t="s">
        <v>325</v>
      </c>
      <c r="D2083" s="18">
        <v>1500000</v>
      </c>
      <c r="E2083" s="19"/>
      <c r="F2083" s="15">
        <f t="shared" si="35"/>
        <v>109915400.34</v>
      </c>
    </row>
    <row r="2084" spans="1:6" x14ac:dyDescent="0.2">
      <c r="A2084" s="3">
        <v>45716</v>
      </c>
      <c r="B2084" s="43">
        <v>4185467</v>
      </c>
      <c r="C2084" s="20" t="s">
        <v>123</v>
      </c>
      <c r="D2084" s="18">
        <v>893241.98</v>
      </c>
      <c r="E2084" s="19"/>
      <c r="F2084" s="15">
        <f t="shared" si="35"/>
        <v>109022158.36</v>
      </c>
    </row>
    <row r="2085" spans="1:6" x14ac:dyDescent="0.2">
      <c r="A2085" s="3">
        <v>45716</v>
      </c>
      <c r="B2085" s="43">
        <v>4185468</v>
      </c>
      <c r="C2085" s="20" t="s">
        <v>220</v>
      </c>
      <c r="D2085" s="18">
        <v>363000</v>
      </c>
      <c r="E2085" s="19"/>
      <c r="F2085" s="15">
        <f t="shared" si="35"/>
        <v>108659158.36</v>
      </c>
    </row>
    <row r="2086" spans="1:6" x14ac:dyDescent="0.2">
      <c r="A2086" s="3">
        <v>45716</v>
      </c>
      <c r="B2086" s="43">
        <v>4185470</v>
      </c>
      <c r="C2086" s="20" t="s">
        <v>326</v>
      </c>
      <c r="D2086" s="18">
        <v>140000</v>
      </c>
      <c r="E2086" s="19"/>
      <c r="F2086" s="15">
        <f t="shared" si="35"/>
        <v>108519158.36</v>
      </c>
    </row>
    <row r="2087" spans="1:6" x14ac:dyDescent="0.2">
      <c r="A2087" s="3">
        <v>45716</v>
      </c>
      <c r="B2087" s="43">
        <v>4185471</v>
      </c>
      <c r="C2087" s="20" t="s">
        <v>78</v>
      </c>
      <c r="D2087" s="18">
        <v>270000</v>
      </c>
      <c r="E2087" s="19"/>
      <c r="F2087" s="15">
        <f t="shared" si="35"/>
        <v>108249158.36</v>
      </c>
    </row>
    <row r="2088" spans="1:6" x14ac:dyDescent="0.2">
      <c r="A2088" s="3">
        <v>45716</v>
      </c>
      <c r="B2088" s="43">
        <v>4185472</v>
      </c>
      <c r="C2088" s="20" t="s">
        <v>327</v>
      </c>
      <c r="D2088" s="18">
        <v>238247.18</v>
      </c>
      <c r="E2088" s="19"/>
      <c r="F2088" s="15">
        <f t="shared" si="35"/>
        <v>108010911.17999999</v>
      </c>
    </row>
    <row r="2089" spans="1:6" x14ac:dyDescent="0.2">
      <c r="A2089" s="3">
        <v>45716</v>
      </c>
      <c r="B2089" s="46">
        <v>4185473</v>
      </c>
      <c r="C2089" s="9" t="s">
        <v>178</v>
      </c>
      <c r="D2089" s="48">
        <v>1480359.98</v>
      </c>
      <c r="E2089" s="49"/>
      <c r="F2089" s="15">
        <f t="shared" si="35"/>
        <v>106530551.19999999</v>
      </c>
    </row>
    <row r="2090" spans="1:6" x14ac:dyDescent="0.2">
      <c r="A2090" s="3">
        <v>45716</v>
      </c>
      <c r="B2090" s="44">
        <v>4185474</v>
      </c>
      <c r="C2090" s="28" t="s">
        <v>328</v>
      </c>
      <c r="D2090" s="53">
        <v>1024000</v>
      </c>
      <c r="E2090" s="24"/>
      <c r="F2090" s="15">
        <f t="shared" si="35"/>
        <v>105506551.19999999</v>
      </c>
    </row>
    <row r="2091" spans="1:6" x14ac:dyDescent="0.2">
      <c r="A2091" s="3">
        <v>45716</v>
      </c>
      <c r="B2091" s="43">
        <v>4185475</v>
      </c>
      <c r="C2091" s="20" t="s">
        <v>49</v>
      </c>
      <c r="D2091" s="25">
        <v>763050</v>
      </c>
      <c r="E2091" s="19"/>
      <c r="F2091" s="15">
        <f t="shared" si="35"/>
        <v>104743501.19999999</v>
      </c>
    </row>
    <row r="2092" spans="1:6" x14ac:dyDescent="0.2">
      <c r="A2092" s="3">
        <v>45716</v>
      </c>
      <c r="B2092" s="43">
        <v>4185476</v>
      </c>
      <c r="C2092" s="20" t="s">
        <v>329</v>
      </c>
      <c r="D2092" s="25">
        <v>24200</v>
      </c>
      <c r="E2092" s="19"/>
      <c r="F2092" s="15">
        <f t="shared" si="35"/>
        <v>104719301.19999999</v>
      </c>
    </row>
    <row r="2093" spans="1:6" x14ac:dyDescent="0.2">
      <c r="A2093" s="3">
        <v>45716</v>
      </c>
      <c r="B2093" s="43">
        <v>6455689</v>
      </c>
      <c r="C2093" s="17" t="s">
        <v>106</v>
      </c>
      <c r="D2093" s="25"/>
      <c r="E2093" s="25">
        <v>22950525.109999999</v>
      </c>
      <c r="F2093" s="15">
        <f t="shared" si="35"/>
        <v>127669826.30999999</v>
      </c>
    </row>
    <row r="2094" spans="1:6" x14ac:dyDescent="0.2">
      <c r="A2094" s="3">
        <v>45716</v>
      </c>
      <c r="B2094" s="43">
        <v>32098</v>
      </c>
      <c r="C2094" s="17" t="s">
        <v>12</v>
      </c>
      <c r="D2094" s="25">
        <v>79001.899999999994</v>
      </c>
      <c r="E2094" s="19"/>
      <c r="F2094" s="15">
        <f t="shared" si="35"/>
        <v>127590824.40999998</v>
      </c>
    </row>
    <row r="2095" spans="1:6" x14ac:dyDescent="0.2">
      <c r="A2095" s="3">
        <v>45716</v>
      </c>
      <c r="B2095" s="43">
        <v>32114</v>
      </c>
      <c r="C2095" s="17" t="s">
        <v>12</v>
      </c>
      <c r="D2095" s="25">
        <v>106212.6</v>
      </c>
      <c r="E2095" s="19"/>
      <c r="F2095" s="15">
        <f t="shared" si="35"/>
        <v>127484611.80999999</v>
      </c>
    </row>
    <row r="2096" spans="1:6" x14ac:dyDescent="0.2">
      <c r="A2096" s="3">
        <v>45716</v>
      </c>
      <c r="B2096" s="43">
        <v>31996</v>
      </c>
      <c r="C2096" s="17" t="s">
        <v>12</v>
      </c>
      <c r="D2096" s="25">
        <v>2042000</v>
      </c>
      <c r="E2096" s="19"/>
      <c r="F2096" s="15">
        <f t="shared" si="35"/>
        <v>125442611.80999999</v>
      </c>
    </row>
    <row r="2097" spans="1:6" x14ac:dyDescent="0.2">
      <c r="A2097" s="3">
        <v>45716</v>
      </c>
      <c r="B2097" s="45"/>
      <c r="C2097" s="17" t="s">
        <v>95</v>
      </c>
      <c r="D2097" s="25">
        <v>2223</v>
      </c>
      <c r="E2097" s="19"/>
      <c r="F2097" s="15">
        <f t="shared" si="35"/>
        <v>125440388.80999999</v>
      </c>
    </row>
    <row r="2098" spans="1:6" x14ac:dyDescent="0.2">
      <c r="A2098" s="3">
        <v>45716</v>
      </c>
      <c r="B2098" s="45"/>
      <c r="C2098" s="17" t="s">
        <v>232</v>
      </c>
      <c r="D2098" s="25">
        <v>466.83</v>
      </c>
      <c r="E2098" s="19"/>
      <c r="F2098" s="15">
        <f t="shared" si="35"/>
        <v>125439921.97999999</v>
      </c>
    </row>
    <row r="2099" spans="1:6" x14ac:dyDescent="0.2">
      <c r="A2099" s="3">
        <v>45716</v>
      </c>
      <c r="B2099" s="45"/>
      <c r="C2099" s="17" t="s">
        <v>22</v>
      </c>
      <c r="D2099" s="25">
        <v>66</v>
      </c>
      <c r="E2099" s="19"/>
      <c r="F2099" s="15">
        <f t="shared" si="35"/>
        <v>125439855.97999999</v>
      </c>
    </row>
    <row r="2100" spans="1:6" x14ac:dyDescent="0.2">
      <c r="A2100" s="3">
        <v>45716</v>
      </c>
      <c r="B2100" s="54"/>
      <c r="C2100" s="33" t="s">
        <v>16</v>
      </c>
      <c r="D2100" s="34">
        <v>130315.16</v>
      </c>
      <c r="E2100" s="35"/>
      <c r="F2100" s="15">
        <f t="shared" si="35"/>
        <v>125309540.81999999</v>
      </c>
    </row>
    <row r="2103" spans="1:6" x14ac:dyDescent="0.2">
      <c r="A2103" s="1" t="s">
        <v>0</v>
      </c>
      <c r="B2103" s="1" t="s">
        <v>1</v>
      </c>
      <c r="C2103" s="1" t="s">
        <v>2</v>
      </c>
      <c r="D2103" s="1" t="s">
        <v>3</v>
      </c>
      <c r="E2103" s="1" t="s">
        <v>4</v>
      </c>
      <c r="F2103" s="1" t="s">
        <v>5</v>
      </c>
    </row>
    <row r="2104" spans="1:6" x14ac:dyDescent="0.2">
      <c r="A2104" s="3">
        <v>45717</v>
      </c>
      <c r="B2104" s="41"/>
      <c r="C2104" s="55" t="s">
        <v>6</v>
      </c>
      <c r="D2104" s="6"/>
      <c r="E2104" s="7"/>
      <c r="F2104" s="8">
        <v>125309540.81999999</v>
      </c>
    </row>
    <row r="2105" spans="1:6" x14ac:dyDescent="0.2">
      <c r="A2105" s="3">
        <v>45716</v>
      </c>
      <c r="B2105" s="60">
        <v>16873</v>
      </c>
      <c r="C2105" s="12" t="s">
        <v>7</v>
      </c>
      <c r="D2105" s="13">
        <v>315</v>
      </c>
      <c r="E2105" s="14"/>
      <c r="F2105" s="15">
        <f t="shared" ref="F2105:F2168" si="36">+F2104+E2105-D2105</f>
        <v>125309225.81999999</v>
      </c>
    </row>
    <row r="2106" spans="1:6" x14ac:dyDescent="0.2">
      <c r="A2106" s="3">
        <v>45716</v>
      </c>
      <c r="B2106" s="43">
        <v>16873</v>
      </c>
      <c r="C2106" s="17" t="s">
        <v>227</v>
      </c>
      <c r="D2106" s="18">
        <v>66.150000000000006</v>
      </c>
      <c r="E2106" s="19"/>
      <c r="F2106" s="15">
        <f t="shared" si="36"/>
        <v>125309159.66999999</v>
      </c>
    </row>
    <row r="2107" spans="1:6" x14ac:dyDescent="0.2">
      <c r="A2107" s="3">
        <v>45716</v>
      </c>
      <c r="B2107" s="43">
        <v>16874</v>
      </c>
      <c r="C2107" s="20" t="s">
        <v>7</v>
      </c>
      <c r="D2107" s="18">
        <v>720</v>
      </c>
      <c r="E2107" s="19"/>
      <c r="F2107" s="15">
        <f t="shared" si="36"/>
        <v>125308439.66999999</v>
      </c>
    </row>
    <row r="2108" spans="1:6" x14ac:dyDescent="0.2">
      <c r="A2108" s="3">
        <v>45716</v>
      </c>
      <c r="B2108" s="43">
        <v>16874</v>
      </c>
      <c r="C2108" s="17" t="s">
        <v>227</v>
      </c>
      <c r="D2108" s="18">
        <v>151.19999999999999</v>
      </c>
      <c r="E2108" s="19"/>
      <c r="F2108" s="15">
        <f t="shared" si="36"/>
        <v>125308288.46999998</v>
      </c>
    </row>
    <row r="2109" spans="1:6" x14ac:dyDescent="0.2">
      <c r="A2109" s="3">
        <v>45716</v>
      </c>
      <c r="B2109" s="43">
        <v>16875</v>
      </c>
      <c r="C2109" s="20" t="s">
        <v>7</v>
      </c>
      <c r="D2109" s="18">
        <v>720</v>
      </c>
      <c r="E2109" s="19"/>
      <c r="F2109" s="15">
        <f t="shared" si="36"/>
        <v>125307568.46999998</v>
      </c>
    </row>
    <row r="2110" spans="1:6" x14ac:dyDescent="0.2">
      <c r="A2110" s="3">
        <v>45716</v>
      </c>
      <c r="B2110" s="43">
        <v>16875</v>
      </c>
      <c r="C2110" s="17" t="s">
        <v>227</v>
      </c>
      <c r="D2110" s="18">
        <v>151.19999999999999</v>
      </c>
      <c r="E2110" s="19"/>
      <c r="F2110" s="15">
        <f t="shared" si="36"/>
        <v>125307417.26999998</v>
      </c>
    </row>
    <row r="2111" spans="1:6" x14ac:dyDescent="0.2">
      <c r="A2111" s="3">
        <v>45716</v>
      </c>
      <c r="B2111" s="43">
        <v>16876</v>
      </c>
      <c r="C2111" s="20" t="s">
        <v>7</v>
      </c>
      <c r="D2111" s="18">
        <v>720</v>
      </c>
      <c r="E2111" s="19"/>
      <c r="F2111" s="15">
        <f t="shared" si="36"/>
        <v>125306697.26999998</v>
      </c>
    </row>
    <row r="2112" spans="1:6" x14ac:dyDescent="0.2">
      <c r="A2112" s="3">
        <v>45716</v>
      </c>
      <c r="B2112" s="43">
        <v>16876</v>
      </c>
      <c r="C2112" s="17" t="s">
        <v>227</v>
      </c>
      <c r="D2112" s="18">
        <v>151.19999999999999</v>
      </c>
      <c r="E2112" s="19"/>
      <c r="F2112" s="15">
        <f t="shared" si="36"/>
        <v>125306546.06999998</v>
      </c>
    </row>
    <row r="2113" spans="1:6" x14ac:dyDescent="0.2">
      <c r="A2113" s="3">
        <v>45716</v>
      </c>
      <c r="B2113" s="43">
        <v>16877</v>
      </c>
      <c r="C2113" s="20" t="s">
        <v>7</v>
      </c>
      <c r="D2113" s="18">
        <v>1485</v>
      </c>
      <c r="E2113" s="19"/>
      <c r="F2113" s="15">
        <f t="shared" si="36"/>
        <v>125305061.06999998</v>
      </c>
    </row>
    <row r="2114" spans="1:6" x14ac:dyDescent="0.2">
      <c r="A2114" s="3">
        <v>45716</v>
      </c>
      <c r="B2114" s="43">
        <v>16877</v>
      </c>
      <c r="C2114" s="17" t="s">
        <v>227</v>
      </c>
      <c r="D2114" s="18">
        <v>311.85000000000002</v>
      </c>
      <c r="E2114" s="19"/>
      <c r="F2114" s="15">
        <f t="shared" si="36"/>
        <v>125304749.21999998</v>
      </c>
    </row>
    <row r="2115" spans="1:6" x14ac:dyDescent="0.2">
      <c r="A2115" s="3">
        <v>45716</v>
      </c>
      <c r="B2115" s="43">
        <v>16878</v>
      </c>
      <c r="C2115" s="20" t="s">
        <v>7</v>
      </c>
      <c r="D2115" s="18">
        <v>1485</v>
      </c>
      <c r="E2115" s="19"/>
      <c r="F2115" s="15">
        <f t="shared" si="36"/>
        <v>125303264.21999998</v>
      </c>
    </row>
    <row r="2116" spans="1:6" x14ac:dyDescent="0.2">
      <c r="A2116" s="3">
        <v>45716</v>
      </c>
      <c r="B2116" s="43">
        <v>16878</v>
      </c>
      <c r="C2116" s="17" t="s">
        <v>227</v>
      </c>
      <c r="D2116" s="18">
        <v>311.85000000000002</v>
      </c>
      <c r="E2116" s="19"/>
      <c r="F2116" s="15">
        <f t="shared" si="36"/>
        <v>125302952.36999999</v>
      </c>
    </row>
    <row r="2117" spans="1:6" x14ac:dyDescent="0.2">
      <c r="A2117" s="3">
        <v>45716</v>
      </c>
      <c r="B2117" s="43">
        <v>16879</v>
      </c>
      <c r="C2117" s="20" t="s">
        <v>7</v>
      </c>
      <c r="D2117" s="18">
        <v>1485</v>
      </c>
      <c r="E2117" s="19"/>
      <c r="F2117" s="15">
        <f t="shared" si="36"/>
        <v>125301467.36999999</v>
      </c>
    </row>
    <row r="2118" spans="1:6" x14ac:dyDescent="0.2">
      <c r="A2118" s="3">
        <v>45716</v>
      </c>
      <c r="B2118" s="43">
        <v>16879</v>
      </c>
      <c r="C2118" s="17" t="s">
        <v>227</v>
      </c>
      <c r="D2118" s="18">
        <v>311.85000000000002</v>
      </c>
      <c r="E2118" s="19"/>
      <c r="F2118" s="15">
        <f t="shared" si="36"/>
        <v>125301155.52</v>
      </c>
    </row>
    <row r="2119" spans="1:6" x14ac:dyDescent="0.2">
      <c r="A2119" s="3">
        <v>45716</v>
      </c>
      <c r="B2119" s="43">
        <v>16880</v>
      </c>
      <c r="C2119" s="20" t="s">
        <v>7</v>
      </c>
      <c r="D2119" s="18">
        <v>1485</v>
      </c>
      <c r="E2119" s="19"/>
      <c r="F2119" s="15">
        <f t="shared" si="36"/>
        <v>125299670.52</v>
      </c>
    </row>
    <row r="2120" spans="1:6" x14ac:dyDescent="0.2">
      <c r="A2120" s="3">
        <v>45716</v>
      </c>
      <c r="B2120" s="43">
        <v>16880</v>
      </c>
      <c r="C2120" s="17" t="s">
        <v>227</v>
      </c>
      <c r="D2120" s="18">
        <v>311.85000000000002</v>
      </c>
      <c r="E2120" s="19"/>
      <c r="F2120" s="15">
        <f t="shared" si="36"/>
        <v>125299358.67</v>
      </c>
    </row>
    <row r="2121" spans="1:6" x14ac:dyDescent="0.2">
      <c r="A2121" s="3">
        <v>45716</v>
      </c>
      <c r="B2121" s="43">
        <v>16881</v>
      </c>
      <c r="C2121" s="20" t="s">
        <v>7</v>
      </c>
      <c r="D2121" s="18">
        <v>1485</v>
      </c>
      <c r="E2121" s="19"/>
      <c r="F2121" s="15">
        <f t="shared" si="36"/>
        <v>125297873.67</v>
      </c>
    </row>
    <row r="2122" spans="1:6" x14ac:dyDescent="0.2">
      <c r="A2122" s="3">
        <v>45716</v>
      </c>
      <c r="B2122" s="46">
        <v>16881</v>
      </c>
      <c r="C2122" s="58" t="s">
        <v>227</v>
      </c>
      <c r="D2122" s="48">
        <v>311.85000000000002</v>
      </c>
      <c r="E2122" s="49"/>
      <c r="F2122" s="15">
        <f t="shared" si="36"/>
        <v>125297561.82000001</v>
      </c>
    </row>
    <row r="2123" spans="1:6" x14ac:dyDescent="0.2">
      <c r="A2123" s="3">
        <v>45716</v>
      </c>
      <c r="B2123" s="50"/>
      <c r="C2123" s="57" t="s">
        <v>330</v>
      </c>
      <c r="D2123" s="23">
        <v>11</v>
      </c>
      <c r="E2123" s="24"/>
      <c r="F2123" s="15">
        <f t="shared" si="36"/>
        <v>125297550.82000001</v>
      </c>
    </row>
    <row r="2124" spans="1:6" x14ac:dyDescent="0.2">
      <c r="A2124" s="3">
        <v>45721</v>
      </c>
      <c r="B2124" s="43">
        <v>32115</v>
      </c>
      <c r="C2124" s="17" t="s">
        <v>9</v>
      </c>
      <c r="D2124" s="18">
        <v>160000</v>
      </c>
      <c r="E2124" s="19"/>
      <c r="F2124" s="15">
        <f t="shared" si="36"/>
        <v>125137550.82000001</v>
      </c>
    </row>
    <row r="2125" spans="1:6" x14ac:dyDescent="0.2">
      <c r="A2125" s="3">
        <v>45721</v>
      </c>
      <c r="B2125" s="43">
        <v>32043</v>
      </c>
      <c r="C2125" s="17" t="s">
        <v>9</v>
      </c>
      <c r="D2125" s="18">
        <v>323400</v>
      </c>
      <c r="E2125" s="19"/>
      <c r="F2125" s="15">
        <f t="shared" si="36"/>
        <v>124814150.82000001</v>
      </c>
    </row>
    <row r="2126" spans="1:6" x14ac:dyDescent="0.2">
      <c r="A2126" s="3">
        <v>45721</v>
      </c>
      <c r="B2126" s="43">
        <v>32012</v>
      </c>
      <c r="C2126" s="17" t="s">
        <v>9</v>
      </c>
      <c r="D2126" s="18">
        <v>2517976.54</v>
      </c>
      <c r="E2126" s="19"/>
      <c r="F2126" s="15">
        <f t="shared" si="36"/>
        <v>122296174.28</v>
      </c>
    </row>
    <row r="2127" spans="1:6" x14ac:dyDescent="0.2">
      <c r="A2127" s="3">
        <v>45721</v>
      </c>
      <c r="B2127" s="43">
        <v>32011</v>
      </c>
      <c r="C2127" s="17" t="s">
        <v>9</v>
      </c>
      <c r="D2127" s="18">
        <v>2852126.93</v>
      </c>
      <c r="E2127" s="19"/>
      <c r="F2127" s="15">
        <f t="shared" si="36"/>
        <v>119444047.34999999</v>
      </c>
    </row>
    <row r="2128" spans="1:6" x14ac:dyDescent="0.2">
      <c r="A2128" s="3">
        <v>45721</v>
      </c>
      <c r="B2128" s="43">
        <v>32068</v>
      </c>
      <c r="C2128" s="17" t="s">
        <v>9</v>
      </c>
      <c r="D2128" s="18">
        <v>6000000</v>
      </c>
      <c r="E2128" s="19"/>
      <c r="F2128" s="15">
        <f t="shared" si="36"/>
        <v>113444047.34999999</v>
      </c>
    </row>
    <row r="2129" spans="1:6" x14ac:dyDescent="0.2">
      <c r="A2129" s="3">
        <v>45721</v>
      </c>
      <c r="B2129" s="43">
        <v>32022</v>
      </c>
      <c r="C2129" s="17" t="s">
        <v>9</v>
      </c>
      <c r="D2129" s="18">
        <v>6168363.4400000004</v>
      </c>
      <c r="E2129" s="19"/>
      <c r="F2129" s="15">
        <f t="shared" si="36"/>
        <v>107275683.91</v>
      </c>
    </row>
    <row r="2130" spans="1:6" x14ac:dyDescent="0.2">
      <c r="A2130" s="3">
        <v>45721</v>
      </c>
      <c r="B2130" s="45"/>
      <c r="C2130" s="17" t="s">
        <v>143</v>
      </c>
      <c r="D2130" s="18">
        <v>980</v>
      </c>
      <c r="E2130" s="19"/>
      <c r="F2130" s="15">
        <f t="shared" si="36"/>
        <v>107274703.91</v>
      </c>
    </row>
    <row r="2131" spans="1:6" x14ac:dyDescent="0.2">
      <c r="A2131" s="3">
        <v>45721</v>
      </c>
      <c r="B2131" s="45"/>
      <c r="C2131" s="17" t="s">
        <v>227</v>
      </c>
      <c r="D2131" s="18">
        <v>205.8</v>
      </c>
      <c r="E2131" s="19"/>
      <c r="F2131" s="15">
        <f t="shared" si="36"/>
        <v>107274498.11</v>
      </c>
    </row>
    <row r="2132" spans="1:6" x14ac:dyDescent="0.2">
      <c r="A2132" s="3">
        <v>45721</v>
      </c>
      <c r="B2132" s="45"/>
      <c r="C2132" s="17" t="s">
        <v>331</v>
      </c>
      <c r="D2132" s="18">
        <v>568.25</v>
      </c>
      <c r="E2132" s="19"/>
      <c r="F2132" s="15">
        <f t="shared" si="36"/>
        <v>107273929.86</v>
      </c>
    </row>
    <row r="2133" spans="1:6" x14ac:dyDescent="0.2">
      <c r="A2133" s="3">
        <v>45721</v>
      </c>
      <c r="B2133" s="45"/>
      <c r="C2133" s="17" t="s">
        <v>227</v>
      </c>
      <c r="D2133" s="18">
        <v>119.33</v>
      </c>
      <c r="E2133" s="19"/>
      <c r="F2133" s="15">
        <f t="shared" si="36"/>
        <v>107273810.53</v>
      </c>
    </row>
    <row r="2134" spans="1:6" x14ac:dyDescent="0.2">
      <c r="A2134" s="3">
        <v>45721</v>
      </c>
      <c r="B2134" s="43">
        <v>4003436</v>
      </c>
      <c r="C2134" s="20" t="s">
        <v>228</v>
      </c>
      <c r="D2134" s="18">
        <v>2115000</v>
      </c>
      <c r="E2134" s="19"/>
      <c r="F2134" s="15">
        <f t="shared" si="36"/>
        <v>105158810.53</v>
      </c>
    </row>
    <row r="2135" spans="1:6" x14ac:dyDescent="0.2">
      <c r="A2135" s="3">
        <v>45721</v>
      </c>
      <c r="B2135" s="43">
        <v>59940</v>
      </c>
      <c r="C2135" s="20" t="s">
        <v>11</v>
      </c>
      <c r="D2135" s="18">
        <v>13130645</v>
      </c>
      <c r="E2135" s="19"/>
      <c r="F2135" s="15">
        <f t="shared" si="36"/>
        <v>92028165.530000001</v>
      </c>
    </row>
    <row r="2136" spans="1:6" x14ac:dyDescent="0.2">
      <c r="A2136" s="3">
        <v>45721</v>
      </c>
      <c r="B2136" s="43">
        <v>32093</v>
      </c>
      <c r="C2136" s="17" t="s">
        <v>12</v>
      </c>
      <c r="D2136" s="18">
        <v>3063134</v>
      </c>
      <c r="E2136" s="19"/>
      <c r="F2136" s="15">
        <f t="shared" si="36"/>
        <v>88965031.530000001</v>
      </c>
    </row>
    <row r="2137" spans="1:6" x14ac:dyDescent="0.2">
      <c r="A2137" s="3">
        <v>45721</v>
      </c>
      <c r="B2137" s="43">
        <v>31781</v>
      </c>
      <c r="C2137" s="17" t="s">
        <v>12</v>
      </c>
      <c r="D2137" s="18">
        <v>5751641.4500000002</v>
      </c>
      <c r="E2137" s="19"/>
      <c r="F2137" s="15">
        <f t="shared" si="36"/>
        <v>83213390.079999998</v>
      </c>
    </row>
    <row r="2138" spans="1:6" x14ac:dyDescent="0.2">
      <c r="A2138" s="3">
        <v>45721</v>
      </c>
      <c r="B2138" s="45"/>
      <c r="C2138" s="17" t="s">
        <v>13</v>
      </c>
      <c r="D2138" s="18">
        <v>71701984</v>
      </c>
      <c r="E2138" s="19"/>
      <c r="F2138" s="15">
        <f t="shared" si="36"/>
        <v>11511406.079999998</v>
      </c>
    </row>
    <row r="2139" spans="1:6" x14ac:dyDescent="0.2">
      <c r="A2139" s="3">
        <v>45721</v>
      </c>
      <c r="B2139" s="45"/>
      <c r="C2139" s="17" t="s">
        <v>14</v>
      </c>
      <c r="D2139" s="18">
        <v>4595.7299999999996</v>
      </c>
      <c r="E2139" s="19"/>
      <c r="F2139" s="15">
        <f t="shared" si="36"/>
        <v>11506810.349999998</v>
      </c>
    </row>
    <row r="2140" spans="1:6" x14ac:dyDescent="0.2">
      <c r="A2140" s="3">
        <v>45721</v>
      </c>
      <c r="B2140" s="45"/>
      <c r="C2140" s="17" t="s">
        <v>232</v>
      </c>
      <c r="D2140" s="18">
        <v>965.1</v>
      </c>
      <c r="E2140" s="19"/>
      <c r="F2140" s="15">
        <f t="shared" si="36"/>
        <v>11505845.249999998</v>
      </c>
    </row>
    <row r="2141" spans="1:6" x14ac:dyDescent="0.2">
      <c r="A2141" s="3">
        <v>45721</v>
      </c>
      <c r="B2141" s="45"/>
      <c r="C2141" s="17" t="s">
        <v>16</v>
      </c>
      <c r="D2141" s="18">
        <v>682822.17</v>
      </c>
      <c r="E2141" s="19"/>
      <c r="F2141" s="15">
        <f t="shared" si="36"/>
        <v>10823023.079999998</v>
      </c>
    </row>
    <row r="2142" spans="1:6" x14ac:dyDescent="0.2">
      <c r="A2142" s="3">
        <v>45722</v>
      </c>
      <c r="B2142" s="43">
        <v>31777</v>
      </c>
      <c r="C2142" s="17" t="s">
        <v>9</v>
      </c>
      <c r="D2142" s="18">
        <v>9341513.4499999993</v>
      </c>
      <c r="E2142" s="19"/>
      <c r="F2142" s="15">
        <f t="shared" si="36"/>
        <v>1481509.629999999</v>
      </c>
    </row>
    <row r="2143" spans="1:6" x14ac:dyDescent="0.2">
      <c r="A2143" s="3">
        <v>45722</v>
      </c>
      <c r="B2143" s="43">
        <v>31833</v>
      </c>
      <c r="C2143" s="17" t="s">
        <v>9</v>
      </c>
      <c r="D2143" s="18">
        <v>583076.32999999996</v>
      </c>
      <c r="E2143" s="19"/>
      <c r="F2143" s="15">
        <f t="shared" si="36"/>
        <v>898433.299999999</v>
      </c>
    </row>
    <row r="2144" spans="1:6" x14ac:dyDescent="0.2">
      <c r="A2144" s="3">
        <v>45722</v>
      </c>
      <c r="B2144" s="43">
        <v>32070</v>
      </c>
      <c r="C2144" s="17" t="s">
        <v>9</v>
      </c>
      <c r="D2144" s="18">
        <v>5556183.6900000004</v>
      </c>
      <c r="E2144" s="19"/>
      <c r="F2144" s="15">
        <f t="shared" si="36"/>
        <v>-4657750.3900000015</v>
      </c>
    </row>
    <row r="2145" spans="1:6" x14ac:dyDescent="0.2">
      <c r="A2145" s="3">
        <v>45722</v>
      </c>
      <c r="B2145" s="43">
        <v>31779</v>
      </c>
      <c r="C2145" s="17" t="s">
        <v>9</v>
      </c>
      <c r="D2145" s="18">
        <v>8288367.4000000004</v>
      </c>
      <c r="E2145" s="19"/>
      <c r="F2145" s="15">
        <f t="shared" si="36"/>
        <v>-12946117.790000003</v>
      </c>
    </row>
    <row r="2146" spans="1:6" x14ac:dyDescent="0.2">
      <c r="A2146" s="3">
        <v>45722</v>
      </c>
      <c r="B2146" s="43">
        <v>31838</v>
      </c>
      <c r="C2146" s="17" t="s">
        <v>9</v>
      </c>
      <c r="D2146" s="18">
        <v>8885996</v>
      </c>
      <c r="E2146" s="19"/>
      <c r="F2146" s="15">
        <f t="shared" si="36"/>
        <v>-21832113.790000003</v>
      </c>
    </row>
    <row r="2147" spans="1:6" x14ac:dyDescent="0.2">
      <c r="A2147" s="3">
        <v>45722</v>
      </c>
      <c r="B2147" s="45"/>
      <c r="C2147" s="17" t="s">
        <v>113</v>
      </c>
      <c r="D2147" s="18">
        <v>23448.74</v>
      </c>
      <c r="E2147" s="19"/>
      <c r="F2147" s="15">
        <f t="shared" si="36"/>
        <v>-21855562.530000001</v>
      </c>
    </row>
    <row r="2148" spans="1:6" x14ac:dyDescent="0.2">
      <c r="A2148" s="3">
        <v>45722</v>
      </c>
      <c r="B2148" s="45"/>
      <c r="C2148" s="17" t="s">
        <v>36</v>
      </c>
      <c r="D2148" s="18">
        <v>351.73</v>
      </c>
      <c r="E2148" s="19"/>
      <c r="F2148" s="15">
        <f t="shared" si="36"/>
        <v>-21855914.260000002</v>
      </c>
    </row>
    <row r="2149" spans="1:6" x14ac:dyDescent="0.2">
      <c r="A2149" s="3">
        <v>45722</v>
      </c>
      <c r="B2149" s="45"/>
      <c r="C2149" s="17" t="s">
        <v>227</v>
      </c>
      <c r="D2149" s="18">
        <v>4924.24</v>
      </c>
      <c r="E2149" s="19"/>
      <c r="F2149" s="15">
        <f t="shared" si="36"/>
        <v>-21860838.5</v>
      </c>
    </row>
    <row r="2150" spans="1:6" x14ac:dyDescent="0.2">
      <c r="A2150" s="3">
        <v>45722</v>
      </c>
      <c r="B2150" s="45"/>
      <c r="C2150" s="17" t="s">
        <v>37</v>
      </c>
      <c r="D2150" s="18">
        <v>703.46</v>
      </c>
      <c r="E2150" s="19"/>
      <c r="F2150" s="15">
        <f t="shared" si="36"/>
        <v>-21861541.960000001</v>
      </c>
    </row>
    <row r="2151" spans="1:6" x14ac:dyDescent="0.2">
      <c r="A2151" s="3">
        <v>45722</v>
      </c>
      <c r="B2151" s="45"/>
      <c r="C2151" s="17" t="s">
        <v>331</v>
      </c>
      <c r="D2151" s="18">
        <v>1152.5</v>
      </c>
      <c r="E2151" s="19"/>
      <c r="F2151" s="15">
        <f t="shared" si="36"/>
        <v>-21862694.460000001</v>
      </c>
    </row>
    <row r="2152" spans="1:6" x14ac:dyDescent="0.2">
      <c r="A2152" s="3">
        <v>45722</v>
      </c>
      <c r="B2152" s="45"/>
      <c r="C2152" s="17" t="s">
        <v>227</v>
      </c>
      <c r="D2152" s="18">
        <v>242.03</v>
      </c>
      <c r="E2152" s="19"/>
      <c r="F2152" s="15">
        <f t="shared" si="36"/>
        <v>-21862936.490000002</v>
      </c>
    </row>
    <row r="2153" spans="1:6" x14ac:dyDescent="0.2">
      <c r="A2153" s="3">
        <v>45722</v>
      </c>
      <c r="B2153" s="43">
        <v>11230008</v>
      </c>
      <c r="C2153" s="20" t="s">
        <v>332</v>
      </c>
      <c r="D2153" s="25"/>
      <c r="E2153" s="25">
        <v>25000000</v>
      </c>
      <c r="F2153" s="15">
        <f t="shared" si="36"/>
        <v>3137063.5099999979</v>
      </c>
    </row>
    <row r="2154" spans="1:6" x14ac:dyDescent="0.2">
      <c r="A2154" s="3">
        <v>45722</v>
      </c>
      <c r="B2154" s="43">
        <v>9717407</v>
      </c>
      <c r="C2154" s="20" t="s">
        <v>333</v>
      </c>
      <c r="D2154" s="19"/>
      <c r="E2154" s="18">
        <v>50800</v>
      </c>
      <c r="F2154" s="15">
        <f t="shared" si="36"/>
        <v>3187863.5099999979</v>
      </c>
    </row>
    <row r="2155" spans="1:6" x14ac:dyDescent="0.2">
      <c r="A2155" s="3">
        <v>45722</v>
      </c>
      <c r="B2155" s="43">
        <v>9553441</v>
      </c>
      <c r="C2155" s="20" t="s">
        <v>334</v>
      </c>
      <c r="D2155" s="19"/>
      <c r="E2155" s="18">
        <v>23570</v>
      </c>
      <c r="F2155" s="15">
        <f t="shared" si="36"/>
        <v>3211433.5099999979</v>
      </c>
    </row>
    <row r="2156" spans="1:6" x14ac:dyDescent="0.2">
      <c r="A2156" s="3">
        <v>45722</v>
      </c>
      <c r="B2156" s="43">
        <v>9699052</v>
      </c>
      <c r="C2156" s="20" t="s">
        <v>335</v>
      </c>
      <c r="D2156" s="19"/>
      <c r="E2156" s="18">
        <v>55647.62</v>
      </c>
      <c r="F2156" s="15">
        <f t="shared" si="36"/>
        <v>3267081.129999998</v>
      </c>
    </row>
    <row r="2157" spans="1:6" x14ac:dyDescent="0.2">
      <c r="A2157" s="3">
        <v>45722</v>
      </c>
      <c r="B2157" s="43">
        <v>15114</v>
      </c>
      <c r="C2157" s="20" t="s">
        <v>336</v>
      </c>
      <c r="D2157" s="19"/>
      <c r="E2157" s="18">
        <v>16000</v>
      </c>
      <c r="F2157" s="15">
        <f t="shared" si="36"/>
        <v>3283081.129999998</v>
      </c>
    </row>
    <row r="2158" spans="1:6" x14ac:dyDescent="0.2">
      <c r="A2158" s="3">
        <v>45722</v>
      </c>
      <c r="B2158" s="45"/>
      <c r="C2158" s="17" t="s">
        <v>22</v>
      </c>
      <c r="D2158" s="18">
        <v>150876.10999999999</v>
      </c>
      <c r="E2158" s="19"/>
      <c r="F2158" s="15">
        <f t="shared" si="36"/>
        <v>3132205.0199999982</v>
      </c>
    </row>
    <row r="2159" spans="1:6" x14ac:dyDescent="0.2">
      <c r="A2159" s="3">
        <v>45722</v>
      </c>
      <c r="B2159" s="45"/>
      <c r="C2159" s="17" t="s">
        <v>16</v>
      </c>
      <c r="D2159" s="18">
        <v>196115.76</v>
      </c>
      <c r="E2159" s="19"/>
      <c r="F2159" s="15">
        <f t="shared" si="36"/>
        <v>2936089.2599999979</v>
      </c>
    </row>
    <row r="2160" spans="1:6" x14ac:dyDescent="0.2">
      <c r="A2160" s="3">
        <v>45722</v>
      </c>
      <c r="B2160" s="45"/>
      <c r="C2160" s="20" t="s">
        <v>337</v>
      </c>
      <c r="D2160" s="18">
        <v>50292.04</v>
      </c>
      <c r="E2160" s="19"/>
      <c r="F2160" s="15">
        <f t="shared" si="36"/>
        <v>2885797.2199999979</v>
      </c>
    </row>
    <row r="2161" spans="1:6" x14ac:dyDescent="0.2">
      <c r="A2161" s="3">
        <v>45723</v>
      </c>
      <c r="B2161" s="43">
        <v>32054</v>
      </c>
      <c r="C2161" s="17" t="s">
        <v>9</v>
      </c>
      <c r="D2161" s="18">
        <v>967475.22</v>
      </c>
      <c r="E2161" s="19"/>
      <c r="F2161" s="15">
        <f t="shared" si="36"/>
        <v>1918321.9999999979</v>
      </c>
    </row>
    <row r="2162" spans="1:6" x14ac:dyDescent="0.2">
      <c r="A2162" s="3">
        <v>45723</v>
      </c>
      <c r="B2162" s="43">
        <v>31989</v>
      </c>
      <c r="C2162" s="17" t="s">
        <v>9</v>
      </c>
      <c r="D2162" s="18">
        <v>1226340.47</v>
      </c>
      <c r="E2162" s="19"/>
      <c r="F2162" s="15">
        <f t="shared" si="36"/>
        <v>691981.52999999793</v>
      </c>
    </row>
    <row r="2163" spans="1:6" x14ac:dyDescent="0.2">
      <c r="A2163" s="3">
        <v>45723</v>
      </c>
      <c r="B2163" s="51"/>
      <c r="C2163" s="56" t="s">
        <v>338</v>
      </c>
      <c r="D2163" s="48">
        <v>373.44</v>
      </c>
      <c r="E2163" s="49"/>
      <c r="F2163" s="15">
        <f t="shared" si="36"/>
        <v>691608.08999999799</v>
      </c>
    </row>
    <row r="2164" spans="1:6" x14ac:dyDescent="0.2">
      <c r="A2164" s="3">
        <v>45723</v>
      </c>
      <c r="B2164" s="50"/>
      <c r="C2164" s="59" t="s">
        <v>339</v>
      </c>
      <c r="D2164" s="23">
        <v>39.21</v>
      </c>
      <c r="E2164" s="24"/>
      <c r="F2164" s="15">
        <f t="shared" si="36"/>
        <v>691568.87999999803</v>
      </c>
    </row>
    <row r="2165" spans="1:6" x14ac:dyDescent="0.2">
      <c r="A2165" s="3">
        <v>45723</v>
      </c>
      <c r="B2165" s="45"/>
      <c r="C2165" s="17" t="s">
        <v>154</v>
      </c>
      <c r="D2165" s="18">
        <v>4.72</v>
      </c>
      <c r="E2165" s="19"/>
      <c r="F2165" s="15">
        <f t="shared" si="36"/>
        <v>691564.15999999805</v>
      </c>
    </row>
    <row r="2166" spans="1:6" x14ac:dyDescent="0.2">
      <c r="A2166" s="3">
        <v>45723</v>
      </c>
      <c r="B2166" s="43">
        <v>201578</v>
      </c>
      <c r="C2166" s="20" t="s">
        <v>340</v>
      </c>
      <c r="D2166" s="25"/>
      <c r="E2166" s="25">
        <v>15000000</v>
      </c>
      <c r="F2166" s="15">
        <f t="shared" si="36"/>
        <v>15691564.159999998</v>
      </c>
    </row>
    <row r="2167" spans="1:6" x14ac:dyDescent="0.2">
      <c r="A2167" s="3">
        <v>45723</v>
      </c>
      <c r="B2167" s="43">
        <v>4286217</v>
      </c>
      <c r="C2167" s="20" t="s">
        <v>19</v>
      </c>
      <c r="D2167" s="18">
        <v>3424498.56</v>
      </c>
      <c r="E2167" s="19"/>
      <c r="F2167" s="15">
        <f t="shared" si="36"/>
        <v>12267065.599999998</v>
      </c>
    </row>
    <row r="2168" spans="1:6" x14ac:dyDescent="0.2">
      <c r="A2168" s="3">
        <v>45723</v>
      </c>
      <c r="B2168" s="43">
        <v>4286219</v>
      </c>
      <c r="C2168" s="20" t="s">
        <v>33</v>
      </c>
      <c r="D2168" s="18">
        <v>1567000</v>
      </c>
      <c r="E2168" s="19"/>
      <c r="F2168" s="15">
        <f t="shared" si="36"/>
        <v>10700065.599999998</v>
      </c>
    </row>
    <row r="2169" spans="1:6" x14ac:dyDescent="0.2">
      <c r="A2169" s="3">
        <v>45723</v>
      </c>
      <c r="B2169" s="43">
        <v>4010037</v>
      </c>
      <c r="C2169" s="20" t="s">
        <v>341</v>
      </c>
      <c r="D2169" s="18">
        <v>117000</v>
      </c>
      <c r="E2169" s="19"/>
      <c r="F2169" s="15">
        <f t="shared" ref="F2169:F2232" si="37">+F2168+E2169-D2169</f>
        <v>10583065.599999998</v>
      </c>
    </row>
    <row r="2170" spans="1:6" x14ac:dyDescent="0.2">
      <c r="A2170" s="3">
        <v>45723</v>
      </c>
      <c r="B2170" s="43">
        <v>4010039</v>
      </c>
      <c r="C2170" s="20" t="s">
        <v>315</v>
      </c>
      <c r="D2170" s="18">
        <v>539980</v>
      </c>
      <c r="E2170" s="19"/>
      <c r="F2170" s="15">
        <f t="shared" si="37"/>
        <v>10043085.599999998</v>
      </c>
    </row>
    <row r="2171" spans="1:6" x14ac:dyDescent="0.2">
      <c r="A2171" s="3">
        <v>45723</v>
      </c>
      <c r="B2171" s="43">
        <v>2617282</v>
      </c>
      <c r="C2171" s="20" t="s">
        <v>342</v>
      </c>
      <c r="D2171" s="19"/>
      <c r="E2171" s="18">
        <v>17000</v>
      </c>
      <c r="F2171" s="15">
        <f t="shared" si="37"/>
        <v>10060085.599999998</v>
      </c>
    </row>
    <row r="2172" spans="1:6" x14ac:dyDescent="0.2">
      <c r="A2172" s="3">
        <v>45723</v>
      </c>
      <c r="B2172" s="43">
        <v>31830</v>
      </c>
      <c r="C2172" s="17" t="s">
        <v>12</v>
      </c>
      <c r="D2172" s="18">
        <v>688189.57</v>
      </c>
      <c r="E2172" s="19"/>
      <c r="F2172" s="15">
        <f t="shared" si="37"/>
        <v>9371896.0299999975</v>
      </c>
    </row>
    <row r="2173" spans="1:6" x14ac:dyDescent="0.2">
      <c r="A2173" s="3">
        <v>45723</v>
      </c>
      <c r="B2173" s="45"/>
      <c r="C2173" s="17" t="s">
        <v>16</v>
      </c>
      <c r="D2173" s="18">
        <v>51487.16</v>
      </c>
      <c r="E2173" s="19"/>
      <c r="F2173" s="15">
        <f t="shared" si="37"/>
        <v>9320408.8699999973</v>
      </c>
    </row>
    <row r="2174" spans="1:6" x14ac:dyDescent="0.2">
      <c r="A2174" s="3">
        <v>45723</v>
      </c>
      <c r="B2174" s="45"/>
      <c r="C2174" s="17" t="s">
        <v>22</v>
      </c>
      <c r="D2174" s="18">
        <v>90102</v>
      </c>
      <c r="E2174" s="19"/>
      <c r="F2174" s="15">
        <f t="shared" si="37"/>
        <v>9230306.8699999973</v>
      </c>
    </row>
    <row r="2175" spans="1:6" x14ac:dyDescent="0.2">
      <c r="A2175" s="3">
        <v>45723</v>
      </c>
      <c r="B2175" s="43">
        <v>14608</v>
      </c>
      <c r="C2175" s="20" t="s">
        <v>7</v>
      </c>
      <c r="D2175" s="18">
        <v>1485</v>
      </c>
      <c r="E2175" s="19"/>
      <c r="F2175" s="15">
        <f t="shared" si="37"/>
        <v>9228821.8699999973</v>
      </c>
    </row>
    <row r="2176" spans="1:6" x14ac:dyDescent="0.2">
      <c r="A2176" s="3">
        <v>45723</v>
      </c>
      <c r="B2176" s="43">
        <v>14608</v>
      </c>
      <c r="C2176" s="17" t="s">
        <v>227</v>
      </c>
      <c r="D2176" s="18">
        <v>311.85000000000002</v>
      </c>
      <c r="E2176" s="19"/>
      <c r="F2176" s="15">
        <f t="shared" si="37"/>
        <v>9228510.0199999977</v>
      </c>
    </row>
    <row r="2177" spans="1:6" x14ac:dyDescent="0.2">
      <c r="A2177" s="3">
        <v>45723</v>
      </c>
      <c r="B2177" s="45"/>
      <c r="C2177" s="20" t="s">
        <v>343</v>
      </c>
      <c r="D2177" s="18">
        <v>30034</v>
      </c>
      <c r="E2177" s="19"/>
      <c r="F2177" s="15">
        <f t="shared" si="37"/>
        <v>9198476.0199999977</v>
      </c>
    </row>
    <row r="2178" spans="1:6" x14ac:dyDescent="0.2">
      <c r="A2178" s="3">
        <v>45726</v>
      </c>
      <c r="B2178" s="43">
        <v>31990</v>
      </c>
      <c r="C2178" s="17" t="s">
        <v>9</v>
      </c>
      <c r="D2178" s="18">
        <v>241308.99</v>
      </c>
      <c r="E2178" s="19"/>
      <c r="F2178" s="15">
        <f t="shared" si="37"/>
        <v>8957167.0299999975</v>
      </c>
    </row>
    <row r="2179" spans="1:6" x14ac:dyDescent="0.2">
      <c r="A2179" s="3">
        <v>45726</v>
      </c>
      <c r="B2179" s="43">
        <v>7727</v>
      </c>
      <c r="C2179" s="20" t="s">
        <v>21</v>
      </c>
      <c r="D2179" s="19"/>
      <c r="E2179" s="18">
        <v>58517.87</v>
      </c>
      <c r="F2179" s="15">
        <f t="shared" si="37"/>
        <v>9015684.8999999966</v>
      </c>
    </row>
    <row r="2180" spans="1:6" x14ac:dyDescent="0.2">
      <c r="A2180" s="3">
        <v>45726</v>
      </c>
      <c r="B2180" s="45"/>
      <c r="C2180" s="17" t="s">
        <v>16</v>
      </c>
      <c r="D2180" s="18">
        <v>1638.83</v>
      </c>
      <c r="E2180" s="19"/>
      <c r="F2180" s="15">
        <f t="shared" si="37"/>
        <v>9014046.0699999966</v>
      </c>
    </row>
    <row r="2181" spans="1:6" x14ac:dyDescent="0.2">
      <c r="A2181" s="3">
        <v>45726</v>
      </c>
      <c r="B2181" s="45"/>
      <c r="C2181" s="17" t="s">
        <v>22</v>
      </c>
      <c r="D2181" s="18">
        <v>351.11</v>
      </c>
      <c r="E2181" s="19"/>
      <c r="F2181" s="15">
        <f t="shared" si="37"/>
        <v>9013694.9599999972</v>
      </c>
    </row>
    <row r="2182" spans="1:6" x14ac:dyDescent="0.2">
      <c r="A2182" s="3">
        <v>45726</v>
      </c>
      <c r="B2182" s="45"/>
      <c r="C2182" s="20" t="s">
        <v>344</v>
      </c>
      <c r="D2182" s="18">
        <v>117.04</v>
      </c>
      <c r="E2182" s="19"/>
      <c r="F2182" s="15">
        <f t="shared" si="37"/>
        <v>9013577.9199999981</v>
      </c>
    </row>
    <row r="2183" spans="1:6" x14ac:dyDescent="0.2">
      <c r="A2183" s="3">
        <v>45727</v>
      </c>
      <c r="B2183" s="43">
        <v>31995</v>
      </c>
      <c r="C2183" s="17" t="s">
        <v>9</v>
      </c>
      <c r="D2183" s="18">
        <v>571622.93000000005</v>
      </c>
      <c r="E2183" s="19"/>
      <c r="F2183" s="15">
        <f t="shared" si="37"/>
        <v>8441954.9899999984</v>
      </c>
    </row>
    <row r="2184" spans="1:6" x14ac:dyDescent="0.2">
      <c r="A2184" s="3">
        <v>45727</v>
      </c>
      <c r="B2184" s="43">
        <v>31869</v>
      </c>
      <c r="C2184" s="17" t="s">
        <v>9</v>
      </c>
      <c r="D2184" s="18">
        <v>1418216.8</v>
      </c>
      <c r="E2184" s="19"/>
      <c r="F2184" s="15">
        <f t="shared" si="37"/>
        <v>7023738.1899999985</v>
      </c>
    </row>
    <row r="2185" spans="1:6" x14ac:dyDescent="0.2">
      <c r="A2185" s="3">
        <v>45727</v>
      </c>
      <c r="B2185" s="43">
        <v>19628</v>
      </c>
      <c r="C2185" s="20" t="s">
        <v>76</v>
      </c>
      <c r="D2185" s="18">
        <v>159785</v>
      </c>
      <c r="E2185" s="19"/>
      <c r="F2185" s="15">
        <f t="shared" si="37"/>
        <v>6863953.1899999985</v>
      </c>
    </row>
    <row r="2186" spans="1:6" x14ac:dyDescent="0.2">
      <c r="A2186" s="3">
        <v>45727</v>
      </c>
      <c r="B2186" s="45"/>
      <c r="C2186" s="17" t="s">
        <v>113</v>
      </c>
      <c r="D2186" s="18">
        <v>24000</v>
      </c>
      <c r="E2186" s="19"/>
      <c r="F2186" s="15">
        <f t="shared" si="37"/>
        <v>6839953.1899999985</v>
      </c>
    </row>
    <row r="2187" spans="1:6" x14ac:dyDescent="0.2">
      <c r="A2187" s="3">
        <v>45727</v>
      </c>
      <c r="B2187" s="45"/>
      <c r="C2187" s="17" t="s">
        <v>36</v>
      </c>
      <c r="D2187" s="18">
        <v>360</v>
      </c>
      <c r="E2187" s="19"/>
      <c r="F2187" s="15">
        <f t="shared" si="37"/>
        <v>6839593.1899999985</v>
      </c>
    </row>
    <row r="2188" spans="1:6" x14ac:dyDescent="0.2">
      <c r="A2188" s="3">
        <v>45727</v>
      </c>
      <c r="B2188" s="45"/>
      <c r="C2188" s="17" t="s">
        <v>227</v>
      </c>
      <c r="D2188" s="18">
        <v>5040</v>
      </c>
      <c r="E2188" s="19"/>
      <c r="F2188" s="15">
        <f t="shared" si="37"/>
        <v>6834553.1899999985</v>
      </c>
    </row>
    <row r="2189" spans="1:6" x14ac:dyDescent="0.2">
      <c r="A2189" s="3">
        <v>45727</v>
      </c>
      <c r="B2189" s="45"/>
      <c r="C2189" s="17" t="s">
        <v>37</v>
      </c>
      <c r="D2189" s="18">
        <v>720</v>
      </c>
      <c r="E2189" s="19"/>
      <c r="F2189" s="15">
        <f t="shared" si="37"/>
        <v>6833833.1899999985</v>
      </c>
    </row>
    <row r="2190" spans="1:6" x14ac:dyDescent="0.2">
      <c r="A2190" s="3">
        <v>45727</v>
      </c>
      <c r="B2190" s="46">
        <v>41354424</v>
      </c>
      <c r="C2190" s="58" t="s">
        <v>345</v>
      </c>
      <c r="D2190" s="48">
        <v>48854.76</v>
      </c>
      <c r="E2190" s="49"/>
      <c r="F2190" s="15">
        <f t="shared" si="37"/>
        <v>6784978.4299999988</v>
      </c>
    </row>
    <row r="2191" spans="1:6" x14ac:dyDescent="0.2">
      <c r="A2191" s="3">
        <v>45727</v>
      </c>
      <c r="B2191" s="44">
        <v>229685</v>
      </c>
      <c r="C2191" s="57" t="s">
        <v>346</v>
      </c>
      <c r="D2191" s="30"/>
      <c r="E2191" s="31">
        <v>24473.69</v>
      </c>
      <c r="F2191" s="15">
        <f t="shared" si="37"/>
        <v>6809452.1199999992</v>
      </c>
    </row>
    <row r="2192" spans="1:6" x14ac:dyDescent="0.2">
      <c r="A2192" s="3">
        <v>45727</v>
      </c>
      <c r="B2192" s="45"/>
      <c r="C2192" s="17" t="s">
        <v>16</v>
      </c>
      <c r="D2192" s="18">
        <v>13372.3</v>
      </c>
      <c r="E2192" s="19"/>
      <c r="F2192" s="15">
        <f t="shared" si="37"/>
        <v>6796079.8199999994</v>
      </c>
    </row>
    <row r="2193" spans="1:6" x14ac:dyDescent="0.2">
      <c r="A2193" s="3">
        <v>45727</v>
      </c>
      <c r="B2193" s="45"/>
      <c r="C2193" s="17" t="s">
        <v>22</v>
      </c>
      <c r="D2193" s="18">
        <v>146.84</v>
      </c>
      <c r="E2193" s="19"/>
      <c r="F2193" s="15">
        <f t="shared" si="37"/>
        <v>6795932.9799999995</v>
      </c>
    </row>
    <row r="2194" spans="1:6" x14ac:dyDescent="0.2">
      <c r="A2194" s="3">
        <v>45727</v>
      </c>
      <c r="B2194" s="45"/>
      <c r="C2194" s="20" t="s">
        <v>347</v>
      </c>
      <c r="D2194" s="18">
        <v>48.95</v>
      </c>
      <c r="E2194" s="19"/>
      <c r="F2194" s="15">
        <f t="shared" si="37"/>
        <v>6795884.0299999993</v>
      </c>
    </row>
    <row r="2195" spans="1:6" x14ac:dyDescent="0.2">
      <c r="A2195" s="3">
        <v>45728</v>
      </c>
      <c r="B2195" s="43">
        <v>99449486</v>
      </c>
      <c r="C2195" s="20" t="s">
        <v>348</v>
      </c>
      <c r="D2195" s="19"/>
      <c r="E2195" s="18">
        <v>17200</v>
      </c>
      <c r="F2195" s="15">
        <f t="shared" si="37"/>
        <v>6813084.0299999993</v>
      </c>
    </row>
    <row r="2196" spans="1:6" x14ac:dyDescent="0.2">
      <c r="A2196" s="3">
        <v>45728</v>
      </c>
      <c r="B2196" s="45"/>
      <c r="C2196" s="17" t="s">
        <v>22</v>
      </c>
      <c r="D2196" s="18">
        <v>103.2</v>
      </c>
      <c r="E2196" s="19"/>
      <c r="F2196" s="15">
        <f t="shared" si="37"/>
        <v>6812980.8299999991</v>
      </c>
    </row>
    <row r="2197" spans="1:6" x14ac:dyDescent="0.2">
      <c r="A2197" s="3">
        <v>45728</v>
      </c>
      <c r="B2197" s="45"/>
      <c r="C2197" s="17" t="s">
        <v>16</v>
      </c>
      <c r="D2197" s="18">
        <v>0.28999999999999998</v>
      </c>
      <c r="E2197" s="19"/>
      <c r="F2197" s="15">
        <f t="shared" si="37"/>
        <v>6812980.5399999991</v>
      </c>
    </row>
    <row r="2198" spans="1:6" x14ac:dyDescent="0.2">
      <c r="A2198" s="3">
        <v>45728</v>
      </c>
      <c r="B2198" s="45"/>
      <c r="C2198" s="20" t="s">
        <v>349</v>
      </c>
      <c r="D2198" s="18">
        <v>34.4</v>
      </c>
      <c r="E2198" s="19"/>
      <c r="F2198" s="15">
        <f t="shared" si="37"/>
        <v>6812946.1399999987</v>
      </c>
    </row>
    <row r="2199" spans="1:6" x14ac:dyDescent="0.2">
      <c r="A2199" s="3">
        <v>45729</v>
      </c>
      <c r="B2199" s="43">
        <v>86817162</v>
      </c>
      <c r="C2199" s="20" t="s">
        <v>44</v>
      </c>
      <c r="D2199" s="18">
        <v>500000</v>
      </c>
      <c r="E2199" s="19"/>
      <c r="F2199" s="15">
        <f t="shared" si="37"/>
        <v>6312946.1399999987</v>
      </c>
    </row>
    <row r="2200" spans="1:6" x14ac:dyDescent="0.2">
      <c r="A2200" s="3">
        <v>45729</v>
      </c>
      <c r="B2200" s="45"/>
      <c r="C2200" s="17" t="s">
        <v>16</v>
      </c>
      <c r="D2200" s="18">
        <v>3000.21</v>
      </c>
      <c r="E2200" s="19"/>
      <c r="F2200" s="15">
        <f t="shared" si="37"/>
        <v>6309945.9299999988</v>
      </c>
    </row>
    <row r="2201" spans="1:6" x14ac:dyDescent="0.2">
      <c r="A2201" s="3">
        <v>45730</v>
      </c>
      <c r="B2201" s="43">
        <v>32190</v>
      </c>
      <c r="C2201" s="20" t="s">
        <v>97</v>
      </c>
      <c r="D2201" s="18">
        <v>50000</v>
      </c>
      <c r="E2201" s="19"/>
      <c r="F2201" s="15">
        <f t="shared" si="37"/>
        <v>6259945.9299999988</v>
      </c>
    </row>
    <row r="2202" spans="1:6" x14ac:dyDescent="0.2">
      <c r="A2202" s="3">
        <v>45730</v>
      </c>
      <c r="B2202" s="43">
        <v>4134457</v>
      </c>
      <c r="C2202" s="20" t="s">
        <v>350</v>
      </c>
      <c r="D2202" s="18">
        <v>388343</v>
      </c>
      <c r="E2202" s="19"/>
      <c r="F2202" s="15">
        <f t="shared" si="37"/>
        <v>5871602.9299999988</v>
      </c>
    </row>
    <row r="2203" spans="1:6" x14ac:dyDescent="0.2">
      <c r="A2203" s="3">
        <v>45730</v>
      </c>
      <c r="B2203" s="43">
        <v>4134458</v>
      </c>
      <c r="C2203" s="20" t="s">
        <v>51</v>
      </c>
      <c r="D2203" s="18">
        <v>240000</v>
      </c>
      <c r="E2203" s="19"/>
      <c r="F2203" s="15">
        <f t="shared" si="37"/>
        <v>5631602.9299999988</v>
      </c>
    </row>
    <row r="2204" spans="1:6" x14ac:dyDescent="0.2">
      <c r="A2204" s="3">
        <v>45730</v>
      </c>
      <c r="B2204" s="43">
        <v>4134459</v>
      </c>
      <c r="C2204" s="20" t="s">
        <v>205</v>
      </c>
      <c r="D2204" s="18">
        <v>1815000</v>
      </c>
      <c r="E2204" s="19"/>
      <c r="F2204" s="15">
        <f t="shared" si="37"/>
        <v>3816602.9299999988</v>
      </c>
    </row>
    <row r="2205" spans="1:6" x14ac:dyDescent="0.2">
      <c r="A2205" s="3">
        <v>45730</v>
      </c>
      <c r="B2205" s="43">
        <v>4134460</v>
      </c>
      <c r="C2205" s="20" t="s">
        <v>329</v>
      </c>
      <c r="D2205" s="18">
        <v>26620</v>
      </c>
      <c r="E2205" s="19"/>
      <c r="F2205" s="15">
        <f t="shared" si="37"/>
        <v>3789982.9299999988</v>
      </c>
    </row>
    <row r="2206" spans="1:6" x14ac:dyDescent="0.2">
      <c r="A2206" s="3">
        <v>45730</v>
      </c>
      <c r="B2206" s="43">
        <v>259510</v>
      </c>
      <c r="C2206" s="20" t="s">
        <v>351</v>
      </c>
      <c r="D2206" s="19"/>
      <c r="E2206" s="18">
        <v>30631.1</v>
      </c>
      <c r="F2206" s="15">
        <f t="shared" si="37"/>
        <v>3820614.0299999989</v>
      </c>
    </row>
    <row r="2207" spans="1:6" x14ac:dyDescent="0.2">
      <c r="A2207" s="3">
        <v>45730</v>
      </c>
      <c r="B2207" s="45"/>
      <c r="C2207" s="17" t="s">
        <v>16</v>
      </c>
      <c r="D2207" s="18">
        <v>14819.78</v>
      </c>
      <c r="E2207" s="19"/>
      <c r="F2207" s="15">
        <f t="shared" si="37"/>
        <v>3805794.2499999991</v>
      </c>
    </row>
    <row r="2208" spans="1:6" x14ac:dyDescent="0.2">
      <c r="A2208" s="3">
        <v>45730</v>
      </c>
      <c r="B2208" s="45"/>
      <c r="C2208" s="17" t="s">
        <v>22</v>
      </c>
      <c r="D2208" s="18">
        <v>183.79</v>
      </c>
      <c r="E2208" s="19"/>
      <c r="F2208" s="15">
        <f t="shared" si="37"/>
        <v>3805610.459999999</v>
      </c>
    </row>
    <row r="2209" spans="1:6" x14ac:dyDescent="0.2">
      <c r="A2209" s="3">
        <v>45730</v>
      </c>
      <c r="B2209" s="45"/>
      <c r="C2209" s="17" t="s">
        <v>34</v>
      </c>
      <c r="D2209" s="18">
        <v>600</v>
      </c>
      <c r="E2209" s="19"/>
      <c r="F2209" s="15">
        <f t="shared" si="37"/>
        <v>3805010.459999999</v>
      </c>
    </row>
    <row r="2210" spans="1:6" x14ac:dyDescent="0.2">
      <c r="A2210" s="3">
        <v>45730</v>
      </c>
      <c r="B2210" s="43">
        <v>15732</v>
      </c>
      <c r="C2210" s="20" t="s">
        <v>7</v>
      </c>
      <c r="D2210" s="18">
        <v>315</v>
      </c>
      <c r="E2210" s="19"/>
      <c r="F2210" s="15">
        <f t="shared" si="37"/>
        <v>3804695.459999999</v>
      </c>
    </row>
    <row r="2211" spans="1:6" x14ac:dyDescent="0.2">
      <c r="A2211" s="3">
        <v>45730</v>
      </c>
      <c r="B2211" s="43">
        <v>15732</v>
      </c>
      <c r="C2211" s="17" t="s">
        <v>227</v>
      </c>
      <c r="D2211" s="18">
        <v>66.150000000000006</v>
      </c>
      <c r="E2211" s="19"/>
      <c r="F2211" s="15">
        <f t="shared" si="37"/>
        <v>3804629.3099999991</v>
      </c>
    </row>
    <row r="2212" spans="1:6" x14ac:dyDescent="0.2">
      <c r="A2212" s="3">
        <v>45730</v>
      </c>
      <c r="B2212" s="43">
        <v>15733</v>
      </c>
      <c r="C2212" s="20" t="s">
        <v>7</v>
      </c>
      <c r="D2212" s="18">
        <v>720</v>
      </c>
      <c r="E2212" s="19"/>
      <c r="F2212" s="15">
        <f t="shared" si="37"/>
        <v>3803909.3099999991</v>
      </c>
    </row>
    <row r="2213" spans="1:6" x14ac:dyDescent="0.2">
      <c r="A2213" s="3">
        <v>45730</v>
      </c>
      <c r="B2213" s="43">
        <v>15733</v>
      </c>
      <c r="C2213" s="17" t="s">
        <v>227</v>
      </c>
      <c r="D2213" s="18">
        <v>151.19999999999999</v>
      </c>
      <c r="E2213" s="19"/>
      <c r="F2213" s="15">
        <f t="shared" si="37"/>
        <v>3803758.1099999989</v>
      </c>
    </row>
    <row r="2214" spans="1:6" x14ac:dyDescent="0.2">
      <c r="A2214" s="3">
        <v>45730</v>
      </c>
      <c r="B2214" s="43">
        <v>15734</v>
      </c>
      <c r="C2214" s="20" t="s">
        <v>7</v>
      </c>
      <c r="D2214" s="18">
        <v>1485</v>
      </c>
      <c r="E2214" s="19"/>
      <c r="F2214" s="15">
        <f t="shared" si="37"/>
        <v>3802273.1099999989</v>
      </c>
    </row>
    <row r="2215" spans="1:6" x14ac:dyDescent="0.2">
      <c r="A2215" s="3">
        <v>45730</v>
      </c>
      <c r="B2215" s="43">
        <v>15734</v>
      </c>
      <c r="C2215" s="17" t="s">
        <v>227</v>
      </c>
      <c r="D2215" s="18">
        <v>311.85000000000002</v>
      </c>
      <c r="E2215" s="19"/>
      <c r="F2215" s="15">
        <f t="shared" si="37"/>
        <v>3801961.2599999988</v>
      </c>
    </row>
    <row r="2216" spans="1:6" x14ac:dyDescent="0.2">
      <c r="A2216" s="3">
        <v>45730</v>
      </c>
      <c r="B2216" s="46">
        <v>15735</v>
      </c>
      <c r="C2216" s="56" t="s">
        <v>7</v>
      </c>
      <c r="D2216" s="48">
        <v>1485</v>
      </c>
      <c r="E2216" s="49"/>
      <c r="F2216" s="15">
        <f t="shared" si="37"/>
        <v>3800476.2599999988</v>
      </c>
    </row>
    <row r="2217" spans="1:6" x14ac:dyDescent="0.2">
      <c r="A2217" s="3">
        <v>45730</v>
      </c>
      <c r="B2217" s="44">
        <v>15735</v>
      </c>
      <c r="C2217" s="59" t="s">
        <v>227</v>
      </c>
      <c r="D2217" s="23">
        <v>311.85000000000002</v>
      </c>
      <c r="E2217" s="24"/>
      <c r="F2217" s="15">
        <f t="shared" si="37"/>
        <v>3800164.4099999988</v>
      </c>
    </row>
    <row r="2218" spans="1:6" x14ac:dyDescent="0.2">
      <c r="A2218" s="3">
        <v>45730</v>
      </c>
      <c r="B2218" s="45"/>
      <c r="C2218" s="20" t="s">
        <v>352</v>
      </c>
      <c r="D2218" s="18">
        <v>61.26</v>
      </c>
      <c r="E2218" s="19"/>
      <c r="F2218" s="15">
        <f t="shared" si="37"/>
        <v>3800103.149999999</v>
      </c>
    </row>
    <row r="2219" spans="1:6" x14ac:dyDescent="0.2">
      <c r="A2219" s="3">
        <v>45733</v>
      </c>
      <c r="B2219" s="43">
        <v>32091</v>
      </c>
      <c r="C2219" s="17" t="s">
        <v>9</v>
      </c>
      <c r="D2219" s="18">
        <v>176516.16</v>
      </c>
      <c r="E2219" s="19"/>
      <c r="F2219" s="15">
        <f t="shared" si="37"/>
        <v>3623586.9899999988</v>
      </c>
    </row>
    <row r="2220" spans="1:6" x14ac:dyDescent="0.2">
      <c r="A2220" s="3">
        <v>45733</v>
      </c>
      <c r="B2220" s="43">
        <v>32113</v>
      </c>
      <c r="C2220" s="17" t="s">
        <v>9</v>
      </c>
      <c r="D2220" s="18">
        <v>278079.02</v>
      </c>
      <c r="E2220" s="19"/>
      <c r="F2220" s="15">
        <f t="shared" si="37"/>
        <v>3345507.9699999988</v>
      </c>
    </row>
    <row r="2221" spans="1:6" x14ac:dyDescent="0.2">
      <c r="A2221" s="3">
        <v>45733</v>
      </c>
      <c r="B2221" s="43">
        <v>8730</v>
      </c>
      <c r="C2221" s="17" t="s">
        <v>9</v>
      </c>
      <c r="D2221" s="18">
        <v>473079.99</v>
      </c>
      <c r="E2221" s="19"/>
      <c r="F2221" s="15">
        <f t="shared" si="37"/>
        <v>2872427.9799999986</v>
      </c>
    </row>
    <row r="2222" spans="1:6" x14ac:dyDescent="0.2">
      <c r="A2222" s="3">
        <v>45733</v>
      </c>
      <c r="B2222" s="45"/>
      <c r="C2222" s="20" t="s">
        <v>207</v>
      </c>
      <c r="D2222" s="18">
        <v>1320</v>
      </c>
      <c r="E2222" s="19"/>
      <c r="F2222" s="15">
        <f t="shared" si="37"/>
        <v>2871107.9799999986</v>
      </c>
    </row>
    <row r="2223" spans="1:6" x14ac:dyDescent="0.2">
      <c r="A2223" s="3">
        <v>45733</v>
      </c>
      <c r="B2223" s="45"/>
      <c r="C2223" s="17" t="s">
        <v>227</v>
      </c>
      <c r="D2223" s="18">
        <v>277.2</v>
      </c>
      <c r="E2223" s="19"/>
      <c r="F2223" s="15">
        <f t="shared" si="37"/>
        <v>2870830.7799999984</v>
      </c>
    </row>
    <row r="2224" spans="1:6" x14ac:dyDescent="0.2">
      <c r="A2224" s="3">
        <v>45733</v>
      </c>
      <c r="B2224" s="43">
        <v>178768</v>
      </c>
      <c r="C2224" s="20" t="s">
        <v>46</v>
      </c>
      <c r="D2224" s="18">
        <v>49263.9</v>
      </c>
      <c r="E2224" s="19"/>
      <c r="F2224" s="15">
        <f t="shared" si="37"/>
        <v>2821566.8799999985</v>
      </c>
    </row>
    <row r="2225" spans="1:6" x14ac:dyDescent="0.2">
      <c r="A2225" s="3">
        <v>45733</v>
      </c>
      <c r="B2225" s="43">
        <v>178769</v>
      </c>
      <c r="C2225" s="20" t="s">
        <v>46</v>
      </c>
      <c r="D2225" s="18">
        <v>597319.16</v>
      </c>
      <c r="E2225" s="19"/>
      <c r="F2225" s="15">
        <f t="shared" si="37"/>
        <v>2224247.7199999983</v>
      </c>
    </row>
    <row r="2226" spans="1:6" x14ac:dyDescent="0.2">
      <c r="A2226" s="3">
        <v>45733</v>
      </c>
      <c r="B2226" s="43">
        <v>225949</v>
      </c>
      <c r="C2226" s="20" t="s">
        <v>46</v>
      </c>
      <c r="D2226" s="18">
        <v>251147.04</v>
      </c>
      <c r="E2226" s="19"/>
      <c r="F2226" s="15">
        <f t="shared" si="37"/>
        <v>1973100.6799999983</v>
      </c>
    </row>
    <row r="2227" spans="1:6" x14ac:dyDescent="0.2">
      <c r="A2227" s="3">
        <v>45733</v>
      </c>
      <c r="B2227" s="43">
        <v>365576</v>
      </c>
      <c r="C2227" s="20" t="s">
        <v>46</v>
      </c>
      <c r="D2227" s="18">
        <v>444275.39</v>
      </c>
      <c r="E2227" s="19"/>
      <c r="F2227" s="15">
        <f t="shared" si="37"/>
        <v>1528825.2899999982</v>
      </c>
    </row>
    <row r="2228" spans="1:6" x14ac:dyDescent="0.2">
      <c r="A2228" s="3">
        <v>45733</v>
      </c>
      <c r="B2228" s="43">
        <v>6415211</v>
      </c>
      <c r="C2228" s="20" t="s">
        <v>353</v>
      </c>
      <c r="D2228" s="19"/>
      <c r="E2228" s="18">
        <v>37000</v>
      </c>
      <c r="F2228" s="15">
        <f t="shared" si="37"/>
        <v>1565825.2899999982</v>
      </c>
    </row>
    <row r="2229" spans="1:6" x14ac:dyDescent="0.2">
      <c r="A2229" s="3">
        <v>45733</v>
      </c>
      <c r="B2229" s="43">
        <v>32191</v>
      </c>
      <c r="C2229" s="20" t="s">
        <v>97</v>
      </c>
      <c r="D2229" s="18">
        <v>50000</v>
      </c>
      <c r="E2229" s="19"/>
      <c r="F2229" s="15">
        <f t="shared" si="37"/>
        <v>1515825.2899999982</v>
      </c>
    </row>
    <row r="2230" spans="1:6" x14ac:dyDescent="0.2">
      <c r="A2230" s="3">
        <v>45733</v>
      </c>
      <c r="B2230" s="45"/>
      <c r="C2230" s="17" t="s">
        <v>22</v>
      </c>
      <c r="D2230" s="18">
        <v>222</v>
      </c>
      <c r="E2230" s="19"/>
      <c r="F2230" s="15">
        <f t="shared" si="37"/>
        <v>1515603.2899999982</v>
      </c>
    </row>
    <row r="2231" spans="1:6" x14ac:dyDescent="0.2">
      <c r="A2231" s="3">
        <v>45733</v>
      </c>
      <c r="B2231" s="45"/>
      <c r="C2231" s="17" t="s">
        <v>34</v>
      </c>
      <c r="D2231" s="18">
        <v>600</v>
      </c>
      <c r="E2231" s="19"/>
      <c r="F2231" s="15">
        <f t="shared" si="37"/>
        <v>1515003.2899999982</v>
      </c>
    </row>
    <row r="2232" spans="1:6" x14ac:dyDescent="0.2">
      <c r="A2232" s="3">
        <v>45733</v>
      </c>
      <c r="B2232" s="45"/>
      <c r="C2232" s="17" t="s">
        <v>16</v>
      </c>
      <c r="D2232" s="18">
        <v>13657.1</v>
      </c>
      <c r="E2232" s="19"/>
      <c r="F2232" s="15">
        <f t="shared" si="37"/>
        <v>1501346.1899999981</v>
      </c>
    </row>
    <row r="2233" spans="1:6" x14ac:dyDescent="0.2">
      <c r="A2233" s="3">
        <v>45733</v>
      </c>
      <c r="B2233" s="45"/>
      <c r="C2233" s="20" t="s">
        <v>354</v>
      </c>
      <c r="D2233" s="18">
        <v>74</v>
      </c>
      <c r="E2233" s="19"/>
      <c r="F2233" s="15">
        <f t="shared" ref="F2233:F2296" si="38">+F2232+E2233-D2233</f>
        <v>1501272.1899999981</v>
      </c>
    </row>
    <row r="2234" spans="1:6" x14ac:dyDescent="0.2">
      <c r="A2234" s="3">
        <v>45734</v>
      </c>
      <c r="B2234" s="45"/>
      <c r="C2234" s="20" t="s">
        <v>207</v>
      </c>
      <c r="D2234" s="18">
        <v>1320</v>
      </c>
      <c r="E2234" s="19"/>
      <c r="F2234" s="15">
        <f t="shared" si="38"/>
        <v>1499952.1899999981</v>
      </c>
    </row>
    <row r="2235" spans="1:6" x14ac:dyDescent="0.2">
      <c r="A2235" s="3">
        <v>45734</v>
      </c>
      <c r="B2235" s="45"/>
      <c r="C2235" s="17" t="s">
        <v>227</v>
      </c>
      <c r="D2235" s="18">
        <v>277.2</v>
      </c>
      <c r="E2235" s="19"/>
      <c r="F2235" s="15">
        <f t="shared" si="38"/>
        <v>1499674.9899999981</v>
      </c>
    </row>
    <row r="2236" spans="1:6" x14ac:dyDescent="0.2">
      <c r="A2236" s="3">
        <v>45734</v>
      </c>
      <c r="B2236" s="43">
        <v>289723</v>
      </c>
      <c r="C2236" s="20" t="s">
        <v>217</v>
      </c>
      <c r="D2236" s="25"/>
      <c r="E2236" s="25">
        <v>40000000</v>
      </c>
      <c r="F2236" s="15">
        <f t="shared" si="38"/>
        <v>41499674.989999995</v>
      </c>
    </row>
    <row r="2237" spans="1:6" x14ac:dyDescent="0.2">
      <c r="A2237" s="3">
        <v>45734</v>
      </c>
      <c r="B2237" s="43">
        <v>81698</v>
      </c>
      <c r="C2237" s="20" t="s">
        <v>11</v>
      </c>
      <c r="D2237" s="18">
        <v>1368457</v>
      </c>
      <c r="E2237" s="19"/>
      <c r="F2237" s="15">
        <f t="shared" si="38"/>
        <v>40131217.989999995</v>
      </c>
    </row>
    <row r="2238" spans="1:6" x14ac:dyDescent="0.2">
      <c r="A2238" s="3">
        <v>45734</v>
      </c>
      <c r="B2238" s="45"/>
      <c r="C2238" s="17" t="s">
        <v>14</v>
      </c>
      <c r="D2238" s="18">
        <v>478.98</v>
      </c>
      <c r="E2238" s="19"/>
      <c r="F2238" s="15">
        <f t="shared" si="38"/>
        <v>40130739.009999998</v>
      </c>
    </row>
    <row r="2239" spans="1:6" x14ac:dyDescent="0.2">
      <c r="A2239" s="3">
        <v>45734</v>
      </c>
      <c r="B2239" s="45"/>
      <c r="C2239" s="17" t="s">
        <v>13</v>
      </c>
      <c r="D2239" s="18">
        <v>19351285</v>
      </c>
      <c r="E2239" s="19"/>
      <c r="F2239" s="15">
        <f t="shared" si="38"/>
        <v>20779454.009999998</v>
      </c>
    </row>
    <row r="2240" spans="1:6" x14ac:dyDescent="0.2">
      <c r="A2240" s="3">
        <v>45734</v>
      </c>
      <c r="B2240" s="45"/>
      <c r="C2240" s="17" t="s">
        <v>232</v>
      </c>
      <c r="D2240" s="18">
        <v>100.6</v>
      </c>
      <c r="E2240" s="19"/>
      <c r="F2240" s="15">
        <f t="shared" si="38"/>
        <v>20779353.409999996</v>
      </c>
    </row>
    <row r="2241" spans="1:6" x14ac:dyDescent="0.2">
      <c r="A2241" s="3">
        <v>45734</v>
      </c>
      <c r="B2241" s="45"/>
      <c r="C2241" s="17" t="s">
        <v>16</v>
      </c>
      <c r="D2241" s="18">
        <v>124331.94</v>
      </c>
      <c r="E2241" s="19"/>
      <c r="F2241" s="15">
        <f t="shared" si="38"/>
        <v>20655021.469999995</v>
      </c>
    </row>
    <row r="2242" spans="1:6" x14ac:dyDescent="0.2">
      <c r="A2242" s="3">
        <v>45735</v>
      </c>
      <c r="B2242" s="46">
        <v>32193</v>
      </c>
      <c r="C2242" s="58" t="s">
        <v>9</v>
      </c>
      <c r="D2242" s="48">
        <v>1000000</v>
      </c>
      <c r="E2242" s="49"/>
      <c r="F2242" s="15">
        <f t="shared" si="38"/>
        <v>19655021.469999995</v>
      </c>
    </row>
    <row r="2243" spans="1:6" x14ac:dyDescent="0.2">
      <c r="A2243" s="3">
        <v>45735</v>
      </c>
      <c r="B2243" s="44">
        <v>32142</v>
      </c>
      <c r="C2243" s="57" t="s">
        <v>29</v>
      </c>
      <c r="D2243" s="23">
        <v>50000</v>
      </c>
      <c r="E2243" s="24"/>
      <c r="F2243" s="15">
        <f t="shared" si="38"/>
        <v>19605021.469999995</v>
      </c>
    </row>
    <row r="2244" spans="1:6" x14ac:dyDescent="0.2">
      <c r="A2244" s="3">
        <v>45735</v>
      </c>
      <c r="B2244" s="43">
        <v>32141</v>
      </c>
      <c r="C2244" s="20" t="s">
        <v>27</v>
      </c>
      <c r="D2244" s="18">
        <v>50000</v>
      </c>
      <c r="E2244" s="19"/>
      <c r="F2244" s="15">
        <f t="shared" si="38"/>
        <v>19555021.469999995</v>
      </c>
    </row>
    <row r="2245" spans="1:6" x14ac:dyDescent="0.2">
      <c r="A2245" s="3">
        <v>45735</v>
      </c>
      <c r="B2245" s="43">
        <v>32143</v>
      </c>
      <c r="C2245" s="20" t="s">
        <v>30</v>
      </c>
      <c r="D2245" s="18">
        <v>50000</v>
      </c>
      <c r="E2245" s="19"/>
      <c r="F2245" s="15">
        <f t="shared" si="38"/>
        <v>19505021.469999995</v>
      </c>
    </row>
    <row r="2246" spans="1:6" x14ac:dyDescent="0.2">
      <c r="A2246" s="3">
        <v>45735</v>
      </c>
      <c r="B2246" s="43">
        <v>32144</v>
      </c>
      <c r="C2246" s="20" t="s">
        <v>97</v>
      </c>
      <c r="D2246" s="18">
        <v>50000</v>
      </c>
      <c r="E2246" s="19"/>
      <c r="F2246" s="15">
        <f t="shared" si="38"/>
        <v>19455021.469999995</v>
      </c>
    </row>
    <row r="2247" spans="1:6" x14ac:dyDescent="0.2">
      <c r="A2247" s="3">
        <v>45735</v>
      </c>
      <c r="B2247" s="43">
        <v>4069432</v>
      </c>
      <c r="C2247" s="20" t="s">
        <v>59</v>
      </c>
      <c r="D2247" s="18">
        <v>2827017.08</v>
      </c>
      <c r="E2247" s="19"/>
      <c r="F2247" s="15">
        <f t="shared" si="38"/>
        <v>16628004.389999995</v>
      </c>
    </row>
    <row r="2248" spans="1:6" x14ac:dyDescent="0.2">
      <c r="A2248" s="3">
        <v>45735</v>
      </c>
      <c r="B2248" s="43">
        <v>4069435</v>
      </c>
      <c r="C2248" s="20" t="s">
        <v>139</v>
      </c>
      <c r="D2248" s="18">
        <v>965651.04</v>
      </c>
      <c r="E2248" s="19"/>
      <c r="F2248" s="15">
        <f t="shared" si="38"/>
        <v>15662353.349999994</v>
      </c>
    </row>
    <row r="2249" spans="1:6" x14ac:dyDescent="0.2">
      <c r="A2249" s="3">
        <v>45735</v>
      </c>
      <c r="B2249" s="43">
        <v>5397221</v>
      </c>
      <c r="C2249" s="20" t="s">
        <v>355</v>
      </c>
      <c r="D2249" s="18">
        <v>42781.71</v>
      </c>
      <c r="E2249" s="19"/>
      <c r="F2249" s="15">
        <f t="shared" si="38"/>
        <v>15619571.639999993</v>
      </c>
    </row>
    <row r="2250" spans="1:6" x14ac:dyDescent="0.2">
      <c r="A2250" s="3">
        <v>45735</v>
      </c>
      <c r="B2250" s="43">
        <v>6417908</v>
      </c>
      <c r="C2250" s="20" t="s">
        <v>53</v>
      </c>
      <c r="D2250" s="18">
        <v>17234.12</v>
      </c>
      <c r="E2250" s="19"/>
      <c r="F2250" s="15">
        <f t="shared" si="38"/>
        <v>15602337.519999994</v>
      </c>
    </row>
    <row r="2251" spans="1:6" x14ac:dyDescent="0.2">
      <c r="A2251" s="3">
        <v>45735</v>
      </c>
      <c r="B2251" s="43">
        <v>7289919</v>
      </c>
      <c r="C2251" s="20" t="s">
        <v>65</v>
      </c>
      <c r="D2251" s="18">
        <v>172527.35999999999</v>
      </c>
      <c r="E2251" s="19"/>
      <c r="F2251" s="15">
        <f t="shared" si="38"/>
        <v>15429810.159999995</v>
      </c>
    </row>
    <row r="2252" spans="1:6" x14ac:dyDescent="0.2">
      <c r="A2252" s="3">
        <v>45735</v>
      </c>
      <c r="B2252" s="43">
        <v>8217102</v>
      </c>
      <c r="C2252" s="20" t="s">
        <v>66</v>
      </c>
      <c r="D2252" s="18">
        <v>600593.48</v>
      </c>
      <c r="E2252" s="19"/>
      <c r="F2252" s="15">
        <f t="shared" si="38"/>
        <v>14829216.679999994</v>
      </c>
    </row>
    <row r="2253" spans="1:6" x14ac:dyDescent="0.2">
      <c r="A2253" s="3">
        <v>45735</v>
      </c>
      <c r="B2253" s="43">
        <v>9161983</v>
      </c>
      <c r="C2253" s="20" t="s">
        <v>169</v>
      </c>
      <c r="D2253" s="18">
        <v>115739.2</v>
      </c>
      <c r="E2253" s="19"/>
      <c r="F2253" s="15">
        <f t="shared" si="38"/>
        <v>14713477.479999995</v>
      </c>
    </row>
    <row r="2254" spans="1:6" x14ac:dyDescent="0.2">
      <c r="A2254" s="3">
        <v>45735</v>
      </c>
      <c r="B2254" s="43">
        <v>10094996</v>
      </c>
      <c r="C2254" s="20" t="s">
        <v>356</v>
      </c>
      <c r="D2254" s="18">
        <v>23788.3</v>
      </c>
      <c r="E2254" s="19"/>
      <c r="F2254" s="15">
        <f t="shared" si="38"/>
        <v>14689689.179999994</v>
      </c>
    </row>
    <row r="2255" spans="1:6" x14ac:dyDescent="0.2">
      <c r="A2255" s="3">
        <v>45735</v>
      </c>
      <c r="B2255" s="43">
        <v>11374690</v>
      </c>
      <c r="C2255" s="20" t="s">
        <v>166</v>
      </c>
      <c r="D2255" s="18">
        <v>355307</v>
      </c>
      <c r="E2255" s="19"/>
      <c r="F2255" s="15">
        <f t="shared" si="38"/>
        <v>14334382.179999994</v>
      </c>
    </row>
    <row r="2256" spans="1:6" x14ac:dyDescent="0.2">
      <c r="A2256" s="3">
        <v>45735</v>
      </c>
      <c r="B2256" s="43">
        <v>28503745</v>
      </c>
      <c r="C2256" s="20" t="s">
        <v>165</v>
      </c>
      <c r="D2256" s="18">
        <v>237524.8</v>
      </c>
      <c r="E2256" s="19"/>
      <c r="F2256" s="15">
        <f t="shared" si="38"/>
        <v>14096857.379999993</v>
      </c>
    </row>
    <row r="2257" spans="1:6" x14ac:dyDescent="0.2">
      <c r="A2257" s="3">
        <v>45735</v>
      </c>
      <c r="B2257" s="43">
        <v>29683493</v>
      </c>
      <c r="C2257" s="20" t="s">
        <v>357</v>
      </c>
      <c r="D2257" s="18">
        <v>272635.5</v>
      </c>
      <c r="E2257" s="19"/>
      <c r="F2257" s="15">
        <f t="shared" si="38"/>
        <v>13824221.879999993</v>
      </c>
    </row>
    <row r="2258" spans="1:6" x14ac:dyDescent="0.2">
      <c r="A2258" s="3">
        <v>45735</v>
      </c>
      <c r="B2258" s="43">
        <v>30908201</v>
      </c>
      <c r="C2258" s="20" t="s">
        <v>170</v>
      </c>
      <c r="D2258" s="18">
        <v>228625.2</v>
      </c>
      <c r="E2258" s="19"/>
      <c r="F2258" s="15">
        <f t="shared" si="38"/>
        <v>13595596.679999994</v>
      </c>
    </row>
    <row r="2259" spans="1:6" x14ac:dyDescent="0.2">
      <c r="A2259" s="3">
        <v>45735</v>
      </c>
      <c r="B2259" s="43">
        <v>32127067</v>
      </c>
      <c r="C2259" s="20" t="s">
        <v>171</v>
      </c>
      <c r="D2259" s="18">
        <v>259656.3</v>
      </c>
      <c r="E2259" s="19"/>
      <c r="F2259" s="15">
        <f t="shared" si="38"/>
        <v>13335940.379999993</v>
      </c>
    </row>
    <row r="2260" spans="1:6" x14ac:dyDescent="0.2">
      <c r="A2260" s="3">
        <v>45735</v>
      </c>
      <c r="B2260" s="43">
        <v>33277144</v>
      </c>
      <c r="C2260" s="20" t="s">
        <v>117</v>
      </c>
      <c r="D2260" s="18">
        <v>198503.78</v>
      </c>
      <c r="E2260" s="19"/>
      <c r="F2260" s="15">
        <f t="shared" si="38"/>
        <v>13137436.599999994</v>
      </c>
    </row>
    <row r="2261" spans="1:6" x14ac:dyDescent="0.2">
      <c r="A2261" s="3">
        <v>45735</v>
      </c>
      <c r="B2261" s="43">
        <v>34333019</v>
      </c>
      <c r="C2261" s="20" t="s">
        <v>63</v>
      </c>
      <c r="D2261" s="18">
        <v>22230.47</v>
      </c>
      <c r="E2261" s="19"/>
      <c r="F2261" s="15">
        <f t="shared" si="38"/>
        <v>13115206.129999993</v>
      </c>
    </row>
    <row r="2262" spans="1:6" x14ac:dyDescent="0.2">
      <c r="A2262" s="3">
        <v>45735</v>
      </c>
      <c r="B2262" s="43">
        <v>35517387</v>
      </c>
      <c r="C2262" s="20" t="s">
        <v>222</v>
      </c>
      <c r="D2262" s="18">
        <v>349344.42</v>
      </c>
      <c r="E2262" s="19"/>
      <c r="F2262" s="15">
        <f t="shared" si="38"/>
        <v>12765861.709999993</v>
      </c>
    </row>
    <row r="2263" spans="1:6" x14ac:dyDescent="0.2">
      <c r="A2263" s="3">
        <v>45735</v>
      </c>
      <c r="B2263" s="43">
        <v>36912673</v>
      </c>
      <c r="C2263" s="20" t="s">
        <v>62</v>
      </c>
      <c r="D2263" s="18">
        <v>5805.36</v>
      </c>
      <c r="E2263" s="19"/>
      <c r="F2263" s="15">
        <f t="shared" si="38"/>
        <v>12760056.349999994</v>
      </c>
    </row>
    <row r="2264" spans="1:6" x14ac:dyDescent="0.2">
      <c r="A2264" s="3">
        <v>45735</v>
      </c>
      <c r="B2264" s="43">
        <v>53244041</v>
      </c>
      <c r="C2264" s="20" t="s">
        <v>67</v>
      </c>
      <c r="D2264" s="18">
        <v>4606.6899999999996</v>
      </c>
      <c r="E2264" s="19"/>
      <c r="F2264" s="15">
        <f t="shared" si="38"/>
        <v>12755449.659999995</v>
      </c>
    </row>
    <row r="2265" spans="1:6" x14ac:dyDescent="0.2">
      <c r="A2265" s="3">
        <v>45735</v>
      </c>
      <c r="B2265" s="46">
        <v>55252915</v>
      </c>
      <c r="C2265" s="56" t="s">
        <v>177</v>
      </c>
      <c r="D2265" s="48">
        <v>2021665.98</v>
      </c>
      <c r="E2265" s="49"/>
      <c r="F2265" s="15">
        <f t="shared" si="38"/>
        <v>10733783.679999994</v>
      </c>
    </row>
    <row r="2266" spans="1:6" x14ac:dyDescent="0.2">
      <c r="A2266" s="3">
        <v>45735</v>
      </c>
      <c r="B2266" s="44">
        <v>56340918</v>
      </c>
      <c r="C2266" s="57" t="s">
        <v>68</v>
      </c>
      <c r="D2266" s="23">
        <v>60662.94</v>
      </c>
      <c r="E2266" s="24"/>
      <c r="F2266" s="15">
        <f t="shared" si="38"/>
        <v>10673120.739999995</v>
      </c>
    </row>
    <row r="2267" spans="1:6" x14ac:dyDescent="0.2">
      <c r="A2267" s="3">
        <v>45735</v>
      </c>
      <c r="B2267" s="43">
        <v>57368322</v>
      </c>
      <c r="C2267" s="20" t="s">
        <v>69</v>
      </c>
      <c r="D2267" s="18">
        <v>30794.31</v>
      </c>
      <c r="E2267" s="19"/>
      <c r="F2267" s="15">
        <f t="shared" si="38"/>
        <v>10642326.429999994</v>
      </c>
    </row>
    <row r="2268" spans="1:6" x14ac:dyDescent="0.2">
      <c r="A2268" s="3">
        <v>45735</v>
      </c>
      <c r="B2268" s="43">
        <v>58596146</v>
      </c>
      <c r="C2268" s="20" t="s">
        <v>101</v>
      </c>
      <c r="D2268" s="18">
        <v>118558.03</v>
      </c>
      <c r="E2268" s="19"/>
      <c r="F2268" s="15">
        <f t="shared" si="38"/>
        <v>10523768.399999995</v>
      </c>
    </row>
    <row r="2269" spans="1:6" x14ac:dyDescent="0.2">
      <c r="A2269" s="3">
        <v>45735</v>
      </c>
      <c r="B2269" s="43">
        <v>59809313</v>
      </c>
      <c r="C2269" s="20" t="s">
        <v>71</v>
      </c>
      <c r="D2269" s="18">
        <v>69257.98</v>
      </c>
      <c r="E2269" s="19"/>
      <c r="F2269" s="15">
        <f t="shared" si="38"/>
        <v>10454510.419999994</v>
      </c>
    </row>
    <row r="2270" spans="1:6" x14ac:dyDescent="0.2">
      <c r="A2270" s="3">
        <v>45735</v>
      </c>
      <c r="B2270" s="43">
        <v>61162661</v>
      </c>
      <c r="C2270" s="20" t="s">
        <v>70</v>
      </c>
      <c r="D2270" s="18">
        <v>22782.09</v>
      </c>
      <c r="E2270" s="19"/>
      <c r="F2270" s="15">
        <f t="shared" si="38"/>
        <v>10431728.329999994</v>
      </c>
    </row>
    <row r="2271" spans="1:6" x14ac:dyDescent="0.2">
      <c r="A2271" s="3">
        <v>45735</v>
      </c>
      <c r="B2271" s="43">
        <v>73045636</v>
      </c>
      <c r="C2271" s="20" t="s">
        <v>358</v>
      </c>
      <c r="D2271" s="18">
        <v>14772.4</v>
      </c>
      <c r="E2271" s="19"/>
      <c r="F2271" s="15">
        <f t="shared" si="38"/>
        <v>10416955.929999994</v>
      </c>
    </row>
    <row r="2272" spans="1:6" x14ac:dyDescent="0.2">
      <c r="A2272" s="3">
        <v>45735</v>
      </c>
      <c r="B2272" s="43">
        <v>74312517</v>
      </c>
      <c r="C2272" s="20" t="s">
        <v>168</v>
      </c>
      <c r="D2272" s="18">
        <v>142540.4</v>
      </c>
      <c r="E2272" s="19"/>
      <c r="F2272" s="15">
        <f t="shared" si="38"/>
        <v>10274415.529999994</v>
      </c>
    </row>
    <row r="2273" spans="1:6" x14ac:dyDescent="0.2">
      <c r="A2273" s="3">
        <v>45735</v>
      </c>
      <c r="B2273" s="43">
        <v>75348395</v>
      </c>
      <c r="C2273" s="20" t="s">
        <v>61</v>
      </c>
      <c r="D2273" s="18">
        <v>95507.02</v>
      </c>
      <c r="E2273" s="19"/>
      <c r="F2273" s="15">
        <f t="shared" si="38"/>
        <v>10178908.509999994</v>
      </c>
    </row>
    <row r="2274" spans="1:6" x14ac:dyDescent="0.2">
      <c r="A2274" s="3">
        <v>45735</v>
      </c>
      <c r="B2274" s="45"/>
      <c r="C2274" s="17" t="s">
        <v>16</v>
      </c>
      <c r="D2274" s="18">
        <v>61656.67</v>
      </c>
      <c r="E2274" s="19"/>
      <c r="F2274" s="15">
        <f t="shared" si="38"/>
        <v>10117251.839999994</v>
      </c>
    </row>
    <row r="2275" spans="1:6" x14ac:dyDescent="0.2">
      <c r="A2275" s="3">
        <v>45735</v>
      </c>
      <c r="B2275" s="45"/>
      <c r="C2275" s="17" t="s">
        <v>34</v>
      </c>
      <c r="D2275" s="18">
        <v>2400</v>
      </c>
      <c r="E2275" s="19"/>
      <c r="F2275" s="15">
        <f t="shared" si="38"/>
        <v>10114851.839999994</v>
      </c>
    </row>
    <row r="2276" spans="1:6" x14ac:dyDescent="0.2">
      <c r="A2276" s="3">
        <v>45735</v>
      </c>
      <c r="B2276" s="43">
        <v>12690</v>
      </c>
      <c r="C2276" s="20" t="s">
        <v>7</v>
      </c>
      <c r="D2276" s="18">
        <v>1485</v>
      </c>
      <c r="E2276" s="19"/>
      <c r="F2276" s="15">
        <f t="shared" si="38"/>
        <v>10113366.839999994</v>
      </c>
    </row>
    <row r="2277" spans="1:6" x14ac:dyDescent="0.2">
      <c r="A2277" s="3">
        <v>45735</v>
      </c>
      <c r="B2277" s="43">
        <v>12690</v>
      </c>
      <c r="C2277" s="17" t="s">
        <v>227</v>
      </c>
      <c r="D2277" s="18">
        <v>311.85000000000002</v>
      </c>
      <c r="E2277" s="19"/>
      <c r="F2277" s="15">
        <f t="shared" si="38"/>
        <v>10113054.989999995</v>
      </c>
    </row>
    <row r="2278" spans="1:6" x14ac:dyDescent="0.2">
      <c r="A2278" s="3">
        <v>45735</v>
      </c>
      <c r="B2278" s="43">
        <v>12691</v>
      </c>
      <c r="C2278" s="20" t="s">
        <v>7</v>
      </c>
      <c r="D2278" s="18">
        <v>1485</v>
      </c>
      <c r="E2278" s="19"/>
      <c r="F2278" s="15">
        <f t="shared" si="38"/>
        <v>10111569.989999995</v>
      </c>
    </row>
    <row r="2279" spans="1:6" x14ac:dyDescent="0.2">
      <c r="A2279" s="3">
        <v>45735</v>
      </c>
      <c r="B2279" s="43">
        <v>12691</v>
      </c>
      <c r="C2279" s="17" t="s">
        <v>227</v>
      </c>
      <c r="D2279" s="18">
        <v>311.85000000000002</v>
      </c>
      <c r="E2279" s="19"/>
      <c r="F2279" s="15">
        <f t="shared" si="38"/>
        <v>10111258.139999995</v>
      </c>
    </row>
    <row r="2280" spans="1:6" x14ac:dyDescent="0.2">
      <c r="A2280" s="3">
        <v>45736</v>
      </c>
      <c r="B2280" s="45"/>
      <c r="C2280" s="20" t="s">
        <v>35</v>
      </c>
      <c r="D2280" s="18">
        <v>4000</v>
      </c>
      <c r="E2280" s="19"/>
      <c r="F2280" s="15">
        <f t="shared" si="38"/>
        <v>10107258.139999995</v>
      </c>
    </row>
    <row r="2281" spans="1:6" x14ac:dyDescent="0.2">
      <c r="A2281" s="3">
        <v>45736</v>
      </c>
      <c r="B2281" s="45"/>
      <c r="C2281" s="17" t="s">
        <v>36</v>
      </c>
      <c r="D2281" s="18">
        <v>60</v>
      </c>
      <c r="E2281" s="19"/>
      <c r="F2281" s="15">
        <f t="shared" si="38"/>
        <v>10107198.139999995</v>
      </c>
    </row>
    <row r="2282" spans="1:6" x14ac:dyDescent="0.2">
      <c r="A2282" s="3">
        <v>45736</v>
      </c>
      <c r="B2282" s="45"/>
      <c r="C2282" s="17" t="s">
        <v>227</v>
      </c>
      <c r="D2282" s="18">
        <v>840</v>
      </c>
      <c r="E2282" s="19"/>
      <c r="F2282" s="15">
        <f t="shared" si="38"/>
        <v>10106358.139999995</v>
      </c>
    </row>
    <row r="2283" spans="1:6" x14ac:dyDescent="0.2">
      <c r="A2283" s="3">
        <v>45736</v>
      </c>
      <c r="B2283" s="45"/>
      <c r="C2283" s="17" t="s">
        <v>37</v>
      </c>
      <c r="D2283" s="18">
        <v>120</v>
      </c>
      <c r="E2283" s="19"/>
      <c r="F2283" s="15">
        <f t="shared" si="38"/>
        <v>10106238.139999995</v>
      </c>
    </row>
    <row r="2284" spans="1:6" x14ac:dyDescent="0.2">
      <c r="A2284" s="3">
        <v>45736</v>
      </c>
      <c r="B2284" s="43">
        <v>32145</v>
      </c>
      <c r="C2284" s="20" t="s">
        <v>28</v>
      </c>
      <c r="D2284" s="18">
        <v>50000</v>
      </c>
      <c r="E2284" s="19"/>
      <c r="F2284" s="15">
        <f t="shared" si="38"/>
        <v>10056238.139999995</v>
      </c>
    </row>
    <row r="2285" spans="1:6" x14ac:dyDescent="0.2">
      <c r="A2285" s="3">
        <v>45736</v>
      </c>
      <c r="B2285" s="43">
        <v>32148</v>
      </c>
      <c r="C2285" s="20" t="s">
        <v>29</v>
      </c>
      <c r="D2285" s="18">
        <v>50000</v>
      </c>
      <c r="E2285" s="19"/>
      <c r="F2285" s="15">
        <f t="shared" si="38"/>
        <v>10006238.139999995</v>
      </c>
    </row>
    <row r="2286" spans="1:6" x14ac:dyDescent="0.2">
      <c r="A2286" s="3">
        <v>45736</v>
      </c>
      <c r="B2286" s="43">
        <v>32146</v>
      </c>
      <c r="C2286" s="20" t="s">
        <v>97</v>
      </c>
      <c r="D2286" s="18">
        <v>50000</v>
      </c>
      <c r="E2286" s="19"/>
      <c r="F2286" s="15">
        <f t="shared" si="38"/>
        <v>9956238.139999995</v>
      </c>
    </row>
    <row r="2287" spans="1:6" x14ac:dyDescent="0.2">
      <c r="A2287" s="3">
        <v>45736</v>
      </c>
      <c r="B2287" s="43">
        <v>32147</v>
      </c>
      <c r="C2287" s="20" t="s">
        <v>30</v>
      </c>
      <c r="D2287" s="18">
        <v>50000</v>
      </c>
      <c r="E2287" s="19"/>
      <c r="F2287" s="15">
        <f t="shared" si="38"/>
        <v>9906238.139999995</v>
      </c>
    </row>
    <row r="2288" spans="1:6" x14ac:dyDescent="0.2">
      <c r="A2288" s="3">
        <v>45736</v>
      </c>
      <c r="B2288" s="43">
        <v>6999610</v>
      </c>
      <c r="C2288" s="20" t="s">
        <v>359</v>
      </c>
      <c r="D2288" s="19"/>
      <c r="E2288" s="18">
        <v>23109</v>
      </c>
      <c r="F2288" s="15">
        <f t="shared" si="38"/>
        <v>9929347.139999995</v>
      </c>
    </row>
    <row r="2289" spans="1:6" x14ac:dyDescent="0.2">
      <c r="A2289" s="3">
        <v>45736</v>
      </c>
      <c r="B2289" s="43">
        <v>3430431</v>
      </c>
      <c r="C2289" s="20" t="s">
        <v>360</v>
      </c>
      <c r="D2289" s="19"/>
      <c r="E2289" s="18">
        <v>19939.439999999999</v>
      </c>
      <c r="F2289" s="15">
        <f t="shared" si="38"/>
        <v>9949286.5799999945</v>
      </c>
    </row>
    <row r="2290" spans="1:6" x14ac:dyDescent="0.2">
      <c r="A2290" s="3">
        <v>45736</v>
      </c>
      <c r="B2290" s="45"/>
      <c r="C2290" s="17" t="s">
        <v>34</v>
      </c>
      <c r="D2290" s="18">
        <v>2400</v>
      </c>
      <c r="E2290" s="19"/>
      <c r="F2290" s="15">
        <f t="shared" si="38"/>
        <v>9946886.5799999945</v>
      </c>
    </row>
    <row r="2291" spans="1:6" x14ac:dyDescent="0.2">
      <c r="A2291" s="3">
        <v>45736</v>
      </c>
      <c r="B2291" s="45"/>
      <c r="C2291" s="17" t="s">
        <v>22</v>
      </c>
      <c r="D2291" s="18">
        <v>258.29000000000002</v>
      </c>
      <c r="E2291" s="19"/>
      <c r="F2291" s="15">
        <f t="shared" si="38"/>
        <v>9946628.2899999954</v>
      </c>
    </row>
    <row r="2292" spans="1:6" x14ac:dyDescent="0.2">
      <c r="A2292" s="3">
        <v>45736</v>
      </c>
      <c r="B2292" s="51"/>
      <c r="C2292" s="58" t="s">
        <v>16</v>
      </c>
      <c r="D2292" s="48">
        <v>51.68</v>
      </c>
      <c r="E2292" s="49"/>
      <c r="F2292" s="15">
        <f t="shared" si="38"/>
        <v>9946576.6099999957</v>
      </c>
    </row>
    <row r="2293" spans="1:6" x14ac:dyDescent="0.2">
      <c r="A2293" s="3">
        <v>45736</v>
      </c>
      <c r="B2293" s="50"/>
      <c r="C2293" s="57" t="s">
        <v>361</v>
      </c>
      <c r="D2293" s="23">
        <v>86.1</v>
      </c>
      <c r="E2293" s="24"/>
      <c r="F2293" s="15">
        <f t="shared" si="38"/>
        <v>9946490.5099999961</v>
      </c>
    </row>
    <row r="2294" spans="1:6" x14ac:dyDescent="0.2">
      <c r="A2294" s="3">
        <v>45737</v>
      </c>
      <c r="B2294" s="43">
        <v>31922</v>
      </c>
      <c r="C2294" s="17" t="s">
        <v>9</v>
      </c>
      <c r="D2294" s="18">
        <v>226800</v>
      </c>
      <c r="E2294" s="19"/>
      <c r="F2294" s="15">
        <f t="shared" si="38"/>
        <v>9719690.5099999961</v>
      </c>
    </row>
    <row r="2295" spans="1:6" x14ac:dyDescent="0.2">
      <c r="A2295" s="3">
        <v>45737</v>
      </c>
      <c r="B2295" s="43">
        <v>3231</v>
      </c>
      <c r="C2295" s="20" t="s">
        <v>76</v>
      </c>
      <c r="D2295" s="18">
        <v>600701</v>
      </c>
      <c r="E2295" s="19"/>
      <c r="F2295" s="15">
        <f t="shared" si="38"/>
        <v>9118989.5099999961</v>
      </c>
    </row>
    <row r="2296" spans="1:6" x14ac:dyDescent="0.2">
      <c r="A2296" s="3">
        <v>45737</v>
      </c>
      <c r="B2296" s="45"/>
      <c r="C2296" s="20" t="s">
        <v>35</v>
      </c>
      <c r="D2296" s="18">
        <v>4000</v>
      </c>
      <c r="E2296" s="19"/>
      <c r="F2296" s="15">
        <f t="shared" si="38"/>
        <v>9114989.5099999961</v>
      </c>
    </row>
    <row r="2297" spans="1:6" x14ac:dyDescent="0.2">
      <c r="A2297" s="3">
        <v>45737</v>
      </c>
      <c r="B2297" s="45"/>
      <c r="C2297" s="17" t="s">
        <v>36</v>
      </c>
      <c r="D2297" s="18">
        <v>60</v>
      </c>
      <c r="E2297" s="19"/>
      <c r="F2297" s="15">
        <f t="shared" ref="F2297:F2360" si="39">+F2296+E2297-D2297</f>
        <v>9114929.5099999961</v>
      </c>
    </row>
    <row r="2298" spans="1:6" x14ac:dyDescent="0.2">
      <c r="A2298" s="3">
        <v>45737</v>
      </c>
      <c r="B2298" s="45"/>
      <c r="C2298" s="17" t="s">
        <v>227</v>
      </c>
      <c r="D2298" s="18">
        <v>840</v>
      </c>
      <c r="E2298" s="19"/>
      <c r="F2298" s="15">
        <f t="shared" si="39"/>
        <v>9114089.5099999961</v>
      </c>
    </row>
    <row r="2299" spans="1:6" x14ac:dyDescent="0.2">
      <c r="A2299" s="3">
        <v>45737</v>
      </c>
      <c r="B2299" s="45"/>
      <c r="C2299" s="17" t="s">
        <v>37</v>
      </c>
      <c r="D2299" s="18">
        <v>120</v>
      </c>
      <c r="E2299" s="19"/>
      <c r="F2299" s="15">
        <f t="shared" si="39"/>
        <v>9113969.5099999961</v>
      </c>
    </row>
    <row r="2300" spans="1:6" x14ac:dyDescent="0.2">
      <c r="A2300" s="3">
        <v>45737</v>
      </c>
      <c r="B2300" s="43">
        <v>32139</v>
      </c>
      <c r="C2300" s="17" t="s">
        <v>12</v>
      </c>
      <c r="D2300" s="18">
        <v>283329.46999999997</v>
      </c>
      <c r="E2300" s="19"/>
      <c r="F2300" s="15">
        <f t="shared" si="39"/>
        <v>8830640.0399999954</v>
      </c>
    </row>
    <row r="2301" spans="1:6" x14ac:dyDescent="0.2">
      <c r="A2301" s="3">
        <v>45737</v>
      </c>
      <c r="B2301" s="45"/>
      <c r="C2301" s="17" t="s">
        <v>16</v>
      </c>
      <c r="D2301" s="18">
        <v>6695.63</v>
      </c>
      <c r="E2301" s="19"/>
      <c r="F2301" s="15">
        <f t="shared" si="39"/>
        <v>8823944.4099999946</v>
      </c>
    </row>
    <row r="2302" spans="1:6" x14ac:dyDescent="0.2">
      <c r="A2302" s="3">
        <v>45741</v>
      </c>
      <c r="B2302" s="43">
        <v>32064</v>
      </c>
      <c r="C2302" s="17" t="s">
        <v>9</v>
      </c>
      <c r="D2302" s="18">
        <v>260872.65</v>
      </c>
      <c r="E2302" s="19"/>
      <c r="F2302" s="15">
        <f t="shared" si="39"/>
        <v>8563071.7599999942</v>
      </c>
    </row>
    <row r="2303" spans="1:6" x14ac:dyDescent="0.2">
      <c r="A2303" s="3">
        <v>45741</v>
      </c>
      <c r="B2303" s="43">
        <v>334856</v>
      </c>
      <c r="C2303" s="20" t="s">
        <v>217</v>
      </c>
      <c r="D2303" s="25"/>
      <c r="E2303" s="25">
        <v>50000000</v>
      </c>
      <c r="F2303" s="15">
        <f t="shared" si="39"/>
        <v>58563071.75999999</v>
      </c>
    </row>
    <row r="2304" spans="1:6" x14ac:dyDescent="0.2">
      <c r="A2304" s="3">
        <v>45741</v>
      </c>
      <c r="B2304" s="45"/>
      <c r="C2304" s="17" t="s">
        <v>16</v>
      </c>
      <c r="D2304" s="18">
        <v>1565.24</v>
      </c>
      <c r="E2304" s="19"/>
      <c r="F2304" s="15">
        <f t="shared" si="39"/>
        <v>58561506.519999988</v>
      </c>
    </row>
    <row r="2305" spans="1:6" x14ac:dyDescent="0.2">
      <c r="A2305" s="3">
        <v>45742</v>
      </c>
      <c r="B2305" s="43">
        <v>32195</v>
      </c>
      <c r="C2305" s="17" t="s">
        <v>9</v>
      </c>
      <c r="D2305" s="18">
        <v>1000000</v>
      </c>
      <c r="E2305" s="19"/>
      <c r="F2305" s="15">
        <f t="shared" si="39"/>
        <v>57561506.519999988</v>
      </c>
    </row>
    <row r="2306" spans="1:6" x14ac:dyDescent="0.2">
      <c r="A2306" s="3">
        <v>45742</v>
      </c>
      <c r="B2306" s="43">
        <v>32133</v>
      </c>
      <c r="C2306" s="17" t="s">
        <v>9</v>
      </c>
      <c r="D2306" s="18">
        <v>1046682</v>
      </c>
      <c r="E2306" s="19"/>
      <c r="F2306" s="15">
        <f t="shared" si="39"/>
        <v>56514824.519999988</v>
      </c>
    </row>
    <row r="2307" spans="1:6" x14ac:dyDescent="0.2">
      <c r="A2307" s="3">
        <v>45742</v>
      </c>
      <c r="B2307" s="43">
        <v>31968</v>
      </c>
      <c r="C2307" s="17" t="s">
        <v>9</v>
      </c>
      <c r="D2307" s="18">
        <v>406224</v>
      </c>
      <c r="E2307" s="19"/>
      <c r="F2307" s="15">
        <f t="shared" si="39"/>
        <v>56108600.519999988</v>
      </c>
    </row>
    <row r="2308" spans="1:6" x14ac:dyDescent="0.2">
      <c r="A2308" s="3">
        <v>45742</v>
      </c>
      <c r="B2308" s="43">
        <v>52322</v>
      </c>
      <c r="C2308" s="20" t="s">
        <v>46</v>
      </c>
      <c r="D2308" s="18">
        <v>2737054.82</v>
      </c>
      <c r="E2308" s="19"/>
      <c r="F2308" s="15">
        <f t="shared" si="39"/>
        <v>53371545.699999988</v>
      </c>
    </row>
    <row r="2309" spans="1:6" x14ac:dyDescent="0.2">
      <c r="A2309" s="3">
        <v>45742</v>
      </c>
      <c r="B2309" s="43">
        <v>52323</v>
      </c>
      <c r="C2309" s="20" t="s">
        <v>46</v>
      </c>
      <c r="D2309" s="18">
        <v>2808359.08</v>
      </c>
      <c r="E2309" s="19"/>
      <c r="F2309" s="15">
        <f t="shared" si="39"/>
        <v>50563186.61999999</v>
      </c>
    </row>
    <row r="2310" spans="1:6" x14ac:dyDescent="0.2">
      <c r="A2310" s="3">
        <v>45742</v>
      </c>
      <c r="B2310" s="43">
        <v>52324</v>
      </c>
      <c r="C2310" s="20" t="s">
        <v>46</v>
      </c>
      <c r="D2310" s="18">
        <v>3010903.73</v>
      </c>
      <c r="E2310" s="19"/>
      <c r="F2310" s="15">
        <f t="shared" si="39"/>
        <v>47552282.889999993</v>
      </c>
    </row>
    <row r="2311" spans="1:6" x14ac:dyDescent="0.2">
      <c r="A2311" s="3">
        <v>45742</v>
      </c>
      <c r="B2311" s="43">
        <v>52325</v>
      </c>
      <c r="C2311" s="20" t="s">
        <v>46</v>
      </c>
      <c r="D2311" s="18">
        <v>3109055.99</v>
      </c>
      <c r="E2311" s="19"/>
      <c r="F2311" s="15">
        <f t="shared" si="39"/>
        <v>44443226.899999991</v>
      </c>
    </row>
    <row r="2312" spans="1:6" x14ac:dyDescent="0.2">
      <c r="A2312" s="3">
        <v>45742</v>
      </c>
      <c r="B2312" s="43">
        <v>52326</v>
      </c>
      <c r="C2312" s="20" t="s">
        <v>46</v>
      </c>
      <c r="D2312" s="18">
        <v>4793426.96</v>
      </c>
      <c r="E2312" s="19"/>
      <c r="F2312" s="15">
        <f t="shared" si="39"/>
        <v>39649799.93999999</v>
      </c>
    </row>
    <row r="2313" spans="1:6" x14ac:dyDescent="0.2">
      <c r="A2313" s="3">
        <v>45742</v>
      </c>
      <c r="B2313" s="43">
        <v>52327</v>
      </c>
      <c r="C2313" s="20" t="s">
        <v>46</v>
      </c>
      <c r="D2313" s="18">
        <v>3165568.11</v>
      </c>
      <c r="E2313" s="19"/>
      <c r="F2313" s="15">
        <f t="shared" si="39"/>
        <v>36484231.829999991</v>
      </c>
    </row>
    <row r="2314" spans="1:6" x14ac:dyDescent="0.2">
      <c r="A2314" s="3">
        <v>45742</v>
      </c>
      <c r="B2314" s="43">
        <v>4090644</v>
      </c>
      <c r="C2314" s="20" t="s">
        <v>139</v>
      </c>
      <c r="D2314" s="18">
        <v>1178849.01</v>
      </c>
      <c r="E2314" s="19"/>
      <c r="F2314" s="15">
        <f t="shared" si="39"/>
        <v>35305382.819999993</v>
      </c>
    </row>
    <row r="2315" spans="1:6" x14ac:dyDescent="0.2">
      <c r="A2315" s="3">
        <v>45742</v>
      </c>
      <c r="B2315" s="43">
        <v>4090645</v>
      </c>
      <c r="C2315" s="20" t="s">
        <v>362</v>
      </c>
      <c r="D2315" s="18">
        <v>100000</v>
      </c>
      <c r="E2315" s="19"/>
      <c r="F2315" s="15">
        <f t="shared" si="39"/>
        <v>35205382.819999993</v>
      </c>
    </row>
    <row r="2316" spans="1:6" x14ac:dyDescent="0.2">
      <c r="A2316" s="3">
        <v>45742</v>
      </c>
      <c r="B2316" s="43">
        <v>4090646</v>
      </c>
      <c r="C2316" s="20" t="s">
        <v>139</v>
      </c>
      <c r="D2316" s="18">
        <v>495847.17</v>
      </c>
      <c r="E2316" s="19"/>
      <c r="F2316" s="15">
        <f t="shared" si="39"/>
        <v>34709535.649999991</v>
      </c>
    </row>
    <row r="2317" spans="1:6" x14ac:dyDescent="0.2">
      <c r="A2317" s="3">
        <v>45742</v>
      </c>
      <c r="B2317" s="46">
        <v>32152</v>
      </c>
      <c r="C2317" s="56" t="s">
        <v>30</v>
      </c>
      <c r="D2317" s="48">
        <v>50000</v>
      </c>
      <c r="E2317" s="49"/>
      <c r="F2317" s="15">
        <f t="shared" si="39"/>
        <v>34659535.649999991</v>
      </c>
    </row>
    <row r="2318" spans="1:6" x14ac:dyDescent="0.2">
      <c r="A2318" s="3">
        <v>45742</v>
      </c>
      <c r="B2318" s="44">
        <v>32149</v>
      </c>
      <c r="C2318" s="57" t="s">
        <v>28</v>
      </c>
      <c r="D2318" s="23">
        <v>50000</v>
      </c>
      <c r="E2318" s="24"/>
      <c r="F2318" s="15">
        <f t="shared" si="39"/>
        <v>34609535.649999991</v>
      </c>
    </row>
    <row r="2319" spans="1:6" x14ac:dyDescent="0.2">
      <c r="A2319" s="3">
        <v>45742</v>
      </c>
      <c r="B2319" s="43">
        <v>32150</v>
      </c>
      <c r="C2319" s="20" t="s">
        <v>29</v>
      </c>
      <c r="D2319" s="18">
        <v>50000</v>
      </c>
      <c r="E2319" s="19"/>
      <c r="F2319" s="15">
        <f t="shared" si="39"/>
        <v>34559535.649999991</v>
      </c>
    </row>
    <row r="2320" spans="1:6" x14ac:dyDescent="0.2">
      <c r="A2320" s="3">
        <v>45742</v>
      </c>
      <c r="B2320" s="43">
        <v>32151</v>
      </c>
      <c r="C2320" s="20" t="s">
        <v>97</v>
      </c>
      <c r="D2320" s="18">
        <v>50000</v>
      </c>
      <c r="E2320" s="19"/>
      <c r="F2320" s="15">
        <f t="shared" si="39"/>
        <v>34509535.649999991</v>
      </c>
    </row>
    <row r="2321" spans="1:6" x14ac:dyDescent="0.2">
      <c r="A2321" s="3">
        <v>45742</v>
      </c>
      <c r="B2321" s="43">
        <v>341452</v>
      </c>
      <c r="C2321" s="20" t="s">
        <v>217</v>
      </c>
      <c r="D2321" s="25"/>
      <c r="E2321" s="25">
        <v>70000000</v>
      </c>
      <c r="F2321" s="15">
        <f t="shared" si="39"/>
        <v>104509535.64999999</v>
      </c>
    </row>
    <row r="2322" spans="1:6" x14ac:dyDescent="0.2">
      <c r="A2322" s="3">
        <v>45742</v>
      </c>
      <c r="B2322" s="43">
        <v>4124296</v>
      </c>
      <c r="C2322" s="20" t="s">
        <v>85</v>
      </c>
      <c r="D2322" s="18">
        <v>2000000</v>
      </c>
      <c r="E2322" s="18"/>
      <c r="F2322" s="15">
        <f t="shared" si="39"/>
        <v>102509535.64999999</v>
      </c>
    </row>
    <row r="2323" spans="1:6" x14ac:dyDescent="0.2">
      <c r="A2323" s="3">
        <v>45742</v>
      </c>
      <c r="B2323" s="43">
        <v>4124297</v>
      </c>
      <c r="C2323" s="20" t="s">
        <v>86</v>
      </c>
      <c r="D2323" s="18">
        <v>55000</v>
      </c>
      <c r="E2323" s="18"/>
      <c r="F2323" s="15">
        <f t="shared" si="39"/>
        <v>102454535.64999999</v>
      </c>
    </row>
    <row r="2324" spans="1:6" x14ac:dyDescent="0.2">
      <c r="A2324" s="3">
        <v>45742</v>
      </c>
      <c r="B2324" s="43">
        <v>17316256</v>
      </c>
      <c r="C2324" s="20" t="s">
        <v>363</v>
      </c>
      <c r="D2324" s="18">
        <v>484904</v>
      </c>
      <c r="E2324" s="19"/>
      <c r="F2324" s="15">
        <f t="shared" si="39"/>
        <v>101969631.64999999</v>
      </c>
    </row>
    <row r="2325" spans="1:6" x14ac:dyDescent="0.2">
      <c r="A2325" s="3">
        <v>45742</v>
      </c>
      <c r="B2325" s="43">
        <v>16525589</v>
      </c>
      <c r="C2325" s="20" t="s">
        <v>319</v>
      </c>
      <c r="D2325" s="18">
        <v>4750000</v>
      </c>
      <c r="E2325" s="19"/>
      <c r="F2325" s="15">
        <f t="shared" si="39"/>
        <v>97219631.649999991</v>
      </c>
    </row>
    <row r="2326" spans="1:6" x14ac:dyDescent="0.2">
      <c r="A2326" s="3">
        <v>45742</v>
      </c>
      <c r="B2326" s="43">
        <v>16525590</v>
      </c>
      <c r="C2326" s="20" t="s">
        <v>319</v>
      </c>
      <c r="D2326" s="18">
        <v>76000</v>
      </c>
      <c r="E2326" s="19"/>
      <c r="F2326" s="15">
        <f t="shared" si="39"/>
        <v>97143631.649999991</v>
      </c>
    </row>
    <row r="2327" spans="1:6" x14ac:dyDescent="0.2">
      <c r="A2327" s="3">
        <v>45742</v>
      </c>
      <c r="B2327" s="43">
        <v>16525591</v>
      </c>
      <c r="C2327" s="20" t="s">
        <v>319</v>
      </c>
      <c r="D2327" s="18">
        <v>593710</v>
      </c>
      <c r="E2327" s="19"/>
      <c r="F2327" s="15">
        <f t="shared" si="39"/>
        <v>96549921.649999991</v>
      </c>
    </row>
    <row r="2328" spans="1:6" x14ac:dyDescent="0.2">
      <c r="A2328" s="3">
        <v>45742</v>
      </c>
      <c r="B2328" s="43">
        <v>16525592</v>
      </c>
      <c r="C2328" s="20" t="s">
        <v>319</v>
      </c>
      <c r="D2328" s="18">
        <v>1946178</v>
      </c>
      <c r="E2328" s="19"/>
      <c r="F2328" s="15">
        <f t="shared" si="39"/>
        <v>94603743.649999991</v>
      </c>
    </row>
    <row r="2329" spans="1:6" x14ac:dyDescent="0.2">
      <c r="A2329" s="3">
        <v>45742</v>
      </c>
      <c r="B2329" s="43">
        <v>16525593</v>
      </c>
      <c r="C2329" s="20" t="s">
        <v>319</v>
      </c>
      <c r="D2329" s="18">
        <v>913600</v>
      </c>
      <c r="E2329" s="19"/>
      <c r="F2329" s="15">
        <f t="shared" si="39"/>
        <v>93690143.649999991</v>
      </c>
    </row>
    <row r="2330" spans="1:6" x14ac:dyDescent="0.2">
      <c r="A2330" s="3">
        <v>45742</v>
      </c>
      <c r="B2330" s="43">
        <v>16525594</v>
      </c>
      <c r="C2330" s="20" t="s">
        <v>319</v>
      </c>
      <c r="D2330" s="18">
        <v>607610</v>
      </c>
      <c r="E2330" s="19"/>
      <c r="F2330" s="15">
        <f t="shared" si="39"/>
        <v>93082533.649999991</v>
      </c>
    </row>
    <row r="2331" spans="1:6" x14ac:dyDescent="0.2">
      <c r="A2331" s="3">
        <v>45742</v>
      </c>
      <c r="B2331" s="43">
        <v>16525595</v>
      </c>
      <c r="C2331" s="20" t="s">
        <v>319</v>
      </c>
      <c r="D2331" s="18">
        <v>1065600</v>
      </c>
      <c r="E2331" s="19"/>
      <c r="F2331" s="15">
        <f t="shared" si="39"/>
        <v>92016933.649999991</v>
      </c>
    </row>
    <row r="2332" spans="1:6" x14ac:dyDescent="0.2">
      <c r="A2332" s="3">
        <v>45742</v>
      </c>
      <c r="B2332" s="43">
        <v>16525596</v>
      </c>
      <c r="C2332" s="20" t="s">
        <v>319</v>
      </c>
      <c r="D2332" s="18">
        <v>200000</v>
      </c>
      <c r="E2332" s="19"/>
      <c r="F2332" s="15">
        <f t="shared" si="39"/>
        <v>91816933.649999991</v>
      </c>
    </row>
    <row r="2333" spans="1:6" x14ac:dyDescent="0.2">
      <c r="A2333" s="3">
        <v>45742</v>
      </c>
      <c r="B2333" s="43">
        <v>16525597</v>
      </c>
      <c r="C2333" s="20" t="s">
        <v>319</v>
      </c>
      <c r="D2333" s="18">
        <v>4512150</v>
      </c>
      <c r="E2333" s="19"/>
      <c r="F2333" s="15">
        <f t="shared" si="39"/>
        <v>87304783.649999991</v>
      </c>
    </row>
    <row r="2334" spans="1:6" x14ac:dyDescent="0.2">
      <c r="A2334" s="3">
        <v>45742</v>
      </c>
      <c r="B2334" s="43">
        <v>16525598</v>
      </c>
      <c r="C2334" s="20" t="s">
        <v>319</v>
      </c>
      <c r="D2334" s="18">
        <v>222000</v>
      </c>
      <c r="E2334" s="19"/>
      <c r="F2334" s="15">
        <f t="shared" si="39"/>
        <v>87082783.649999991</v>
      </c>
    </row>
    <row r="2335" spans="1:6" x14ac:dyDescent="0.2">
      <c r="A2335" s="3">
        <v>45742</v>
      </c>
      <c r="B2335" s="43">
        <v>16525599</v>
      </c>
      <c r="C2335" s="20" t="s">
        <v>319</v>
      </c>
      <c r="D2335" s="18">
        <v>741000</v>
      </c>
      <c r="E2335" s="19"/>
      <c r="F2335" s="15">
        <f t="shared" si="39"/>
        <v>86341783.649999991</v>
      </c>
    </row>
    <row r="2336" spans="1:6" x14ac:dyDescent="0.2">
      <c r="A2336" s="3">
        <v>45742</v>
      </c>
      <c r="B2336" s="43">
        <v>16525600</v>
      </c>
      <c r="C2336" s="20" t="s">
        <v>319</v>
      </c>
      <c r="D2336" s="18">
        <v>1482475</v>
      </c>
      <c r="E2336" s="19"/>
      <c r="F2336" s="15">
        <f t="shared" si="39"/>
        <v>84859308.649999991</v>
      </c>
    </row>
    <row r="2337" spans="1:6" x14ac:dyDescent="0.2">
      <c r="A2337" s="3">
        <v>45742</v>
      </c>
      <c r="B2337" s="43">
        <v>16525601</v>
      </c>
      <c r="C2337" s="20" t="s">
        <v>319</v>
      </c>
      <c r="D2337" s="18">
        <v>835430</v>
      </c>
      <c r="E2337" s="19"/>
      <c r="F2337" s="15">
        <f t="shared" si="39"/>
        <v>84023878.649999991</v>
      </c>
    </row>
    <row r="2338" spans="1:6" x14ac:dyDescent="0.2">
      <c r="A2338" s="3">
        <v>45742</v>
      </c>
      <c r="B2338" s="43">
        <v>16525602</v>
      </c>
      <c r="C2338" s="20" t="s">
        <v>319</v>
      </c>
      <c r="D2338" s="18">
        <v>2280000</v>
      </c>
      <c r="E2338" s="19"/>
      <c r="F2338" s="15">
        <f t="shared" si="39"/>
        <v>81743878.649999991</v>
      </c>
    </row>
    <row r="2339" spans="1:6" x14ac:dyDescent="0.2">
      <c r="A2339" s="3">
        <v>45742</v>
      </c>
      <c r="B2339" s="43">
        <v>16525603</v>
      </c>
      <c r="C2339" s="20" t="s">
        <v>319</v>
      </c>
      <c r="D2339" s="18">
        <v>195000</v>
      </c>
      <c r="E2339" s="19"/>
      <c r="F2339" s="15">
        <f t="shared" si="39"/>
        <v>81548878.649999991</v>
      </c>
    </row>
    <row r="2340" spans="1:6" x14ac:dyDescent="0.2">
      <c r="A2340" s="3">
        <v>45742</v>
      </c>
      <c r="B2340" s="46">
        <v>16525604</v>
      </c>
      <c r="C2340" s="56" t="s">
        <v>319</v>
      </c>
      <c r="D2340" s="48">
        <v>558220</v>
      </c>
      <c r="E2340" s="49"/>
      <c r="F2340" s="15">
        <f t="shared" si="39"/>
        <v>80990658.649999991</v>
      </c>
    </row>
    <row r="2341" spans="1:6" x14ac:dyDescent="0.2">
      <c r="A2341" s="3">
        <v>45742</v>
      </c>
      <c r="B2341" s="44">
        <v>16525605</v>
      </c>
      <c r="C2341" s="57" t="s">
        <v>319</v>
      </c>
      <c r="D2341" s="23">
        <v>91200</v>
      </c>
      <c r="E2341" s="24"/>
      <c r="F2341" s="15">
        <f t="shared" si="39"/>
        <v>80899458.649999991</v>
      </c>
    </row>
    <row r="2342" spans="1:6" x14ac:dyDescent="0.2">
      <c r="A2342" s="3">
        <v>45742</v>
      </c>
      <c r="B2342" s="43">
        <v>16525606</v>
      </c>
      <c r="C2342" s="20" t="s">
        <v>319</v>
      </c>
      <c r="D2342" s="18">
        <v>643974</v>
      </c>
      <c r="E2342" s="19"/>
      <c r="F2342" s="15">
        <f t="shared" si="39"/>
        <v>80255484.649999991</v>
      </c>
    </row>
    <row r="2343" spans="1:6" x14ac:dyDescent="0.2">
      <c r="A2343" s="3">
        <v>45742</v>
      </c>
      <c r="B2343" s="43">
        <v>16525607</v>
      </c>
      <c r="C2343" s="20" t="s">
        <v>319</v>
      </c>
      <c r="D2343" s="18">
        <v>1381680</v>
      </c>
      <c r="E2343" s="19"/>
      <c r="F2343" s="15">
        <f t="shared" si="39"/>
        <v>78873804.649999991</v>
      </c>
    </row>
    <row r="2344" spans="1:6" x14ac:dyDescent="0.2">
      <c r="A2344" s="3">
        <v>45742</v>
      </c>
      <c r="B2344" s="43">
        <v>16525608</v>
      </c>
      <c r="C2344" s="20" t="s">
        <v>319</v>
      </c>
      <c r="D2344" s="18">
        <v>498220</v>
      </c>
      <c r="E2344" s="19"/>
      <c r="F2344" s="15">
        <f t="shared" si="39"/>
        <v>78375584.649999991</v>
      </c>
    </row>
    <row r="2345" spans="1:6" x14ac:dyDescent="0.2">
      <c r="A2345" s="3">
        <v>45742</v>
      </c>
      <c r="B2345" s="43">
        <v>16525609</v>
      </c>
      <c r="C2345" s="20" t="s">
        <v>319</v>
      </c>
      <c r="D2345" s="18">
        <v>444000</v>
      </c>
      <c r="E2345" s="19"/>
      <c r="F2345" s="15">
        <f t="shared" si="39"/>
        <v>77931584.649999991</v>
      </c>
    </row>
    <row r="2346" spans="1:6" x14ac:dyDescent="0.2">
      <c r="A2346" s="3">
        <v>45742</v>
      </c>
      <c r="B2346" s="43">
        <v>16525610</v>
      </c>
      <c r="C2346" s="20" t="s">
        <v>319</v>
      </c>
      <c r="D2346" s="18">
        <v>710400</v>
      </c>
      <c r="E2346" s="19"/>
      <c r="F2346" s="15">
        <f t="shared" si="39"/>
        <v>77221184.649999991</v>
      </c>
    </row>
    <row r="2347" spans="1:6" x14ac:dyDescent="0.2">
      <c r="A2347" s="3">
        <v>45742</v>
      </c>
      <c r="B2347" s="43">
        <v>16525611</v>
      </c>
      <c r="C2347" s="20" t="s">
        <v>319</v>
      </c>
      <c r="D2347" s="18">
        <v>750500</v>
      </c>
      <c r="E2347" s="19"/>
      <c r="F2347" s="15">
        <f t="shared" si="39"/>
        <v>76470684.649999991</v>
      </c>
    </row>
    <row r="2348" spans="1:6" x14ac:dyDescent="0.2">
      <c r="A2348" s="3">
        <v>45742</v>
      </c>
      <c r="B2348" s="43">
        <v>16525612</v>
      </c>
      <c r="C2348" s="20" t="s">
        <v>319</v>
      </c>
      <c r="D2348" s="18">
        <v>230850</v>
      </c>
      <c r="E2348" s="19"/>
      <c r="F2348" s="15">
        <f t="shared" si="39"/>
        <v>76239834.649999991</v>
      </c>
    </row>
    <row r="2349" spans="1:6" x14ac:dyDescent="0.2">
      <c r="A2349" s="3">
        <v>45742</v>
      </c>
      <c r="B2349" s="43">
        <v>16525613</v>
      </c>
      <c r="C2349" s="20" t="s">
        <v>319</v>
      </c>
      <c r="D2349" s="18">
        <v>355500</v>
      </c>
      <c r="E2349" s="19"/>
      <c r="F2349" s="15">
        <f t="shared" si="39"/>
        <v>75884334.649999991</v>
      </c>
    </row>
    <row r="2350" spans="1:6" x14ac:dyDescent="0.2">
      <c r="A2350" s="3">
        <v>45742</v>
      </c>
      <c r="B2350" s="43">
        <v>16525614</v>
      </c>
      <c r="C2350" s="20" t="s">
        <v>319</v>
      </c>
      <c r="D2350" s="18">
        <v>345600</v>
      </c>
      <c r="E2350" s="19"/>
      <c r="F2350" s="15">
        <f t="shared" si="39"/>
        <v>75538734.649999991</v>
      </c>
    </row>
    <row r="2351" spans="1:6" x14ac:dyDescent="0.2">
      <c r="A2351" s="3">
        <v>45742</v>
      </c>
      <c r="B2351" s="43">
        <v>16525615</v>
      </c>
      <c r="C2351" s="20" t="s">
        <v>319</v>
      </c>
      <c r="D2351" s="18">
        <v>1532800</v>
      </c>
      <c r="E2351" s="19"/>
      <c r="F2351" s="15">
        <f t="shared" si="39"/>
        <v>74005934.649999991</v>
      </c>
    </row>
    <row r="2352" spans="1:6" x14ac:dyDescent="0.2">
      <c r="A2352" s="3">
        <v>45742</v>
      </c>
      <c r="B2352" s="43">
        <v>16525616</v>
      </c>
      <c r="C2352" s="20" t="s">
        <v>319</v>
      </c>
      <c r="D2352" s="18">
        <v>800000</v>
      </c>
      <c r="E2352" s="19"/>
      <c r="F2352" s="15">
        <f t="shared" si="39"/>
        <v>73205934.649999991</v>
      </c>
    </row>
    <row r="2353" spans="1:6" x14ac:dyDescent="0.2">
      <c r="A2353" s="3">
        <v>45742</v>
      </c>
      <c r="B2353" s="43">
        <v>16525617</v>
      </c>
      <c r="C2353" s="20" t="s">
        <v>319</v>
      </c>
      <c r="D2353" s="18">
        <v>1020000</v>
      </c>
      <c r="E2353" s="19"/>
      <c r="F2353" s="15">
        <f t="shared" si="39"/>
        <v>72185934.649999991</v>
      </c>
    </row>
    <row r="2354" spans="1:6" x14ac:dyDescent="0.2">
      <c r="A2354" s="3">
        <v>45742</v>
      </c>
      <c r="B2354" s="43">
        <v>16525618</v>
      </c>
      <c r="C2354" s="20" t="s">
        <v>319</v>
      </c>
      <c r="D2354" s="18">
        <v>500000</v>
      </c>
      <c r="E2354" s="19"/>
      <c r="F2354" s="15">
        <f t="shared" si="39"/>
        <v>71685934.649999991</v>
      </c>
    </row>
    <row r="2355" spans="1:6" x14ac:dyDescent="0.2">
      <c r="A2355" s="3">
        <v>45742</v>
      </c>
      <c r="B2355" s="43">
        <v>16525619</v>
      </c>
      <c r="C2355" s="20" t="s">
        <v>319</v>
      </c>
      <c r="D2355" s="18">
        <v>1956290</v>
      </c>
      <c r="E2355" s="19"/>
      <c r="F2355" s="15">
        <f t="shared" si="39"/>
        <v>69729644.649999991</v>
      </c>
    </row>
    <row r="2356" spans="1:6" x14ac:dyDescent="0.2">
      <c r="A2356" s="3">
        <v>45742</v>
      </c>
      <c r="B2356" s="43">
        <v>16525620</v>
      </c>
      <c r="C2356" s="20" t="s">
        <v>319</v>
      </c>
      <c r="D2356" s="18">
        <v>390000</v>
      </c>
      <c r="E2356" s="19"/>
      <c r="F2356" s="15">
        <f t="shared" si="39"/>
        <v>69339644.649999991</v>
      </c>
    </row>
    <row r="2357" spans="1:6" x14ac:dyDescent="0.2">
      <c r="A2357" s="3">
        <v>45742</v>
      </c>
      <c r="B2357" s="43">
        <v>16525621</v>
      </c>
      <c r="C2357" s="20" t="s">
        <v>319</v>
      </c>
      <c r="D2357" s="18">
        <v>2914800</v>
      </c>
      <c r="E2357" s="19"/>
      <c r="F2357" s="15">
        <f t="shared" si="39"/>
        <v>66424844.649999991</v>
      </c>
    </row>
    <row r="2358" spans="1:6" x14ac:dyDescent="0.2">
      <c r="A2358" s="3">
        <v>45742</v>
      </c>
      <c r="B2358" s="43">
        <v>16525622</v>
      </c>
      <c r="C2358" s="20" t="s">
        <v>319</v>
      </c>
      <c r="D2358" s="18">
        <v>1975200</v>
      </c>
      <c r="E2358" s="19"/>
      <c r="F2358" s="15">
        <f t="shared" si="39"/>
        <v>64449644.649999991</v>
      </c>
    </row>
    <row r="2359" spans="1:6" x14ac:dyDescent="0.2">
      <c r="A2359" s="3">
        <v>45742</v>
      </c>
      <c r="B2359" s="43">
        <v>16525623</v>
      </c>
      <c r="C2359" s="20" t="s">
        <v>319</v>
      </c>
      <c r="D2359" s="18">
        <v>2924575</v>
      </c>
      <c r="E2359" s="19"/>
      <c r="F2359" s="15">
        <f t="shared" si="39"/>
        <v>61525069.649999991</v>
      </c>
    </row>
    <row r="2360" spans="1:6" x14ac:dyDescent="0.2">
      <c r="A2360" s="3">
        <v>45742</v>
      </c>
      <c r="B2360" s="43">
        <v>16525624</v>
      </c>
      <c r="C2360" s="20" t="s">
        <v>319</v>
      </c>
      <c r="D2360" s="18">
        <v>800000</v>
      </c>
      <c r="E2360" s="19"/>
      <c r="F2360" s="15">
        <f t="shared" si="39"/>
        <v>60725069.649999991</v>
      </c>
    </row>
    <row r="2361" spans="1:6" x14ac:dyDescent="0.2">
      <c r="A2361" s="3">
        <v>45742</v>
      </c>
      <c r="B2361" s="43">
        <v>16525625</v>
      </c>
      <c r="C2361" s="20" t="s">
        <v>319</v>
      </c>
      <c r="D2361" s="18">
        <v>625970</v>
      </c>
      <c r="E2361" s="19"/>
      <c r="F2361" s="15">
        <f t="shared" ref="F2361:F2424" si="40">+F2360+E2361-D2361</f>
        <v>60099099.649999991</v>
      </c>
    </row>
    <row r="2362" spans="1:6" x14ac:dyDescent="0.2">
      <c r="A2362" s="3">
        <v>45742</v>
      </c>
      <c r="B2362" s="43">
        <v>16525626</v>
      </c>
      <c r="C2362" s="20" t="s">
        <v>319</v>
      </c>
      <c r="D2362" s="18">
        <v>449100</v>
      </c>
      <c r="E2362" s="19"/>
      <c r="F2362" s="15">
        <f t="shared" si="40"/>
        <v>59649999.649999991</v>
      </c>
    </row>
    <row r="2363" spans="1:6" x14ac:dyDescent="0.2">
      <c r="A2363" s="3">
        <v>45742</v>
      </c>
      <c r="B2363" s="46">
        <v>16525627</v>
      </c>
      <c r="C2363" s="56" t="s">
        <v>319</v>
      </c>
      <c r="D2363" s="48">
        <v>168150</v>
      </c>
      <c r="E2363" s="49"/>
      <c r="F2363" s="15">
        <f t="shared" si="40"/>
        <v>59481849.649999991</v>
      </c>
    </row>
    <row r="2364" spans="1:6" x14ac:dyDescent="0.2">
      <c r="A2364" s="3">
        <v>45742</v>
      </c>
      <c r="B2364" s="44">
        <v>16525628</v>
      </c>
      <c r="C2364" s="57" t="s">
        <v>319</v>
      </c>
      <c r="D2364" s="23">
        <v>2082000</v>
      </c>
      <c r="E2364" s="24"/>
      <c r="F2364" s="15">
        <f t="shared" si="40"/>
        <v>57399849.649999991</v>
      </c>
    </row>
    <row r="2365" spans="1:6" x14ac:dyDescent="0.2">
      <c r="A2365" s="3">
        <v>45742</v>
      </c>
      <c r="B2365" s="43">
        <v>16525629</v>
      </c>
      <c r="C2365" s="20" t="s">
        <v>319</v>
      </c>
      <c r="D2365" s="18">
        <v>300000</v>
      </c>
      <c r="E2365" s="19"/>
      <c r="F2365" s="15">
        <f t="shared" si="40"/>
        <v>57099849.649999991</v>
      </c>
    </row>
    <row r="2366" spans="1:6" x14ac:dyDescent="0.2">
      <c r="A2366" s="3">
        <v>45742</v>
      </c>
      <c r="B2366" s="43">
        <v>16525630</v>
      </c>
      <c r="C2366" s="20" t="s">
        <v>319</v>
      </c>
      <c r="D2366" s="18">
        <v>370500</v>
      </c>
      <c r="E2366" s="19"/>
      <c r="F2366" s="15">
        <f t="shared" si="40"/>
        <v>56729349.649999991</v>
      </c>
    </row>
    <row r="2367" spans="1:6" x14ac:dyDescent="0.2">
      <c r="A2367" s="3">
        <v>45742</v>
      </c>
      <c r="B2367" s="43">
        <v>16525631</v>
      </c>
      <c r="C2367" s="20" t="s">
        <v>319</v>
      </c>
      <c r="D2367" s="18">
        <v>74100</v>
      </c>
      <c r="E2367" s="19"/>
      <c r="F2367" s="15">
        <f t="shared" si="40"/>
        <v>56655249.649999991</v>
      </c>
    </row>
    <row r="2368" spans="1:6" x14ac:dyDescent="0.2">
      <c r="A2368" s="3">
        <v>45742</v>
      </c>
      <c r="B2368" s="43">
        <v>16525632</v>
      </c>
      <c r="C2368" s="20" t="s">
        <v>319</v>
      </c>
      <c r="D2368" s="18">
        <v>242000</v>
      </c>
      <c r="E2368" s="19"/>
      <c r="F2368" s="15">
        <f t="shared" si="40"/>
        <v>56413249.649999991</v>
      </c>
    </row>
    <row r="2369" spans="1:6" x14ac:dyDescent="0.2">
      <c r="A2369" s="3">
        <v>45742</v>
      </c>
      <c r="B2369" s="43">
        <v>16525633</v>
      </c>
      <c r="C2369" s="20" t="s">
        <v>319</v>
      </c>
      <c r="D2369" s="18">
        <v>1127650</v>
      </c>
      <c r="E2369" s="19"/>
      <c r="F2369" s="15">
        <f t="shared" si="40"/>
        <v>55285599.649999991</v>
      </c>
    </row>
    <row r="2370" spans="1:6" x14ac:dyDescent="0.2">
      <c r="A2370" s="3">
        <v>45742</v>
      </c>
      <c r="B2370" s="43">
        <v>16525634</v>
      </c>
      <c r="C2370" s="20" t="s">
        <v>319</v>
      </c>
      <c r="D2370" s="18">
        <v>481000</v>
      </c>
      <c r="E2370" s="19"/>
      <c r="F2370" s="15">
        <f t="shared" si="40"/>
        <v>54804599.649999991</v>
      </c>
    </row>
    <row r="2371" spans="1:6" x14ac:dyDescent="0.2">
      <c r="A2371" s="3">
        <v>45742</v>
      </c>
      <c r="B2371" s="43">
        <v>16525635</v>
      </c>
      <c r="C2371" s="20" t="s">
        <v>319</v>
      </c>
      <c r="D2371" s="18">
        <v>632700</v>
      </c>
      <c r="E2371" s="19"/>
      <c r="F2371" s="15">
        <f t="shared" si="40"/>
        <v>54171899.649999991</v>
      </c>
    </row>
    <row r="2372" spans="1:6" x14ac:dyDescent="0.2">
      <c r="A2372" s="3">
        <v>45742</v>
      </c>
      <c r="B2372" s="43">
        <v>16525636</v>
      </c>
      <c r="C2372" s="20" t="s">
        <v>319</v>
      </c>
      <c r="D2372" s="18">
        <v>180000</v>
      </c>
      <c r="E2372" s="19"/>
      <c r="F2372" s="15">
        <f t="shared" si="40"/>
        <v>53991899.649999991</v>
      </c>
    </row>
    <row r="2373" spans="1:6" x14ac:dyDescent="0.2">
      <c r="A2373" s="3">
        <v>45742</v>
      </c>
      <c r="B2373" s="43">
        <v>16525637</v>
      </c>
      <c r="C2373" s="20" t="s">
        <v>319</v>
      </c>
      <c r="D2373" s="18">
        <v>1100000</v>
      </c>
      <c r="E2373" s="19"/>
      <c r="F2373" s="15">
        <f t="shared" si="40"/>
        <v>52891899.649999991</v>
      </c>
    </row>
    <row r="2374" spans="1:6" x14ac:dyDescent="0.2">
      <c r="A2374" s="3">
        <v>45742</v>
      </c>
      <c r="B2374" s="43">
        <v>16525638</v>
      </c>
      <c r="C2374" s="20" t="s">
        <v>319</v>
      </c>
      <c r="D2374" s="18">
        <v>1495300</v>
      </c>
      <c r="E2374" s="19"/>
      <c r="F2374" s="15">
        <f t="shared" si="40"/>
        <v>51396599.649999991</v>
      </c>
    </row>
    <row r="2375" spans="1:6" x14ac:dyDescent="0.2">
      <c r="A2375" s="3">
        <v>45742</v>
      </c>
      <c r="B2375" s="43">
        <v>16525639</v>
      </c>
      <c r="C2375" s="20" t="s">
        <v>319</v>
      </c>
      <c r="D2375" s="18">
        <v>404000</v>
      </c>
      <c r="E2375" s="19"/>
      <c r="F2375" s="15">
        <f t="shared" si="40"/>
        <v>50992599.649999991</v>
      </c>
    </row>
    <row r="2376" spans="1:6" x14ac:dyDescent="0.2">
      <c r="A2376" s="3">
        <v>45742</v>
      </c>
      <c r="B2376" s="43">
        <v>16525640</v>
      </c>
      <c r="C2376" s="20" t="s">
        <v>319</v>
      </c>
      <c r="D2376" s="18">
        <v>1473600</v>
      </c>
      <c r="E2376" s="19"/>
      <c r="F2376" s="15">
        <f t="shared" si="40"/>
        <v>49518999.649999991</v>
      </c>
    </row>
    <row r="2377" spans="1:6" x14ac:dyDescent="0.2">
      <c r="A2377" s="3">
        <v>45742</v>
      </c>
      <c r="B2377" s="43">
        <v>16525641</v>
      </c>
      <c r="C2377" s="20" t="s">
        <v>319</v>
      </c>
      <c r="D2377" s="18">
        <v>274000</v>
      </c>
      <c r="E2377" s="19"/>
      <c r="F2377" s="15">
        <f t="shared" si="40"/>
        <v>49244999.649999991</v>
      </c>
    </row>
    <row r="2378" spans="1:6" x14ac:dyDescent="0.2">
      <c r="A2378" s="3">
        <v>45742</v>
      </c>
      <c r="B2378" s="43">
        <v>16525642</v>
      </c>
      <c r="C2378" s="20" t="s">
        <v>319</v>
      </c>
      <c r="D2378" s="18">
        <v>665000</v>
      </c>
      <c r="E2378" s="19"/>
      <c r="F2378" s="15">
        <f t="shared" si="40"/>
        <v>48579999.649999991</v>
      </c>
    </row>
    <row r="2379" spans="1:6" x14ac:dyDescent="0.2">
      <c r="A2379" s="3">
        <v>45742</v>
      </c>
      <c r="B2379" s="43">
        <v>16525643</v>
      </c>
      <c r="C2379" s="20" t="s">
        <v>319</v>
      </c>
      <c r="D2379" s="18">
        <v>1640000</v>
      </c>
      <c r="E2379" s="19"/>
      <c r="F2379" s="15">
        <f t="shared" si="40"/>
        <v>46939999.649999991</v>
      </c>
    </row>
    <row r="2380" spans="1:6" x14ac:dyDescent="0.2">
      <c r="A2380" s="3">
        <v>45742</v>
      </c>
      <c r="B2380" s="43">
        <v>16525644</v>
      </c>
      <c r="C2380" s="20" t="s">
        <v>319</v>
      </c>
      <c r="D2380" s="18">
        <v>200000</v>
      </c>
      <c r="E2380" s="19"/>
      <c r="F2380" s="15">
        <f t="shared" si="40"/>
        <v>46739999.649999991</v>
      </c>
    </row>
    <row r="2381" spans="1:6" x14ac:dyDescent="0.2">
      <c r="A2381" s="3">
        <v>45742</v>
      </c>
      <c r="B2381" s="43">
        <v>16525645</v>
      </c>
      <c r="C2381" s="20" t="s">
        <v>319</v>
      </c>
      <c r="D2381" s="18">
        <v>83000</v>
      </c>
      <c r="E2381" s="19"/>
      <c r="F2381" s="15">
        <f t="shared" si="40"/>
        <v>46656999.649999991</v>
      </c>
    </row>
    <row r="2382" spans="1:6" x14ac:dyDescent="0.2">
      <c r="A2382" s="3">
        <v>45742</v>
      </c>
      <c r="B2382" s="43">
        <v>16525646</v>
      </c>
      <c r="C2382" s="20" t="s">
        <v>319</v>
      </c>
      <c r="D2382" s="18">
        <v>75000</v>
      </c>
      <c r="E2382" s="19"/>
      <c r="F2382" s="15">
        <f t="shared" si="40"/>
        <v>46581999.649999991</v>
      </c>
    </row>
    <row r="2383" spans="1:6" x14ac:dyDescent="0.2">
      <c r="A2383" s="3">
        <v>45742</v>
      </c>
      <c r="B2383" s="43">
        <v>16525647</v>
      </c>
      <c r="C2383" s="20" t="s">
        <v>319</v>
      </c>
      <c r="D2383" s="18">
        <v>481935</v>
      </c>
      <c r="E2383" s="19"/>
      <c r="F2383" s="15">
        <f t="shared" si="40"/>
        <v>46100064.649999991</v>
      </c>
    </row>
    <row r="2384" spans="1:6" x14ac:dyDescent="0.2">
      <c r="A2384" s="3">
        <v>45742</v>
      </c>
      <c r="B2384" s="43">
        <v>16525648</v>
      </c>
      <c r="C2384" s="20" t="s">
        <v>319</v>
      </c>
      <c r="D2384" s="18">
        <v>180500</v>
      </c>
      <c r="E2384" s="19"/>
      <c r="F2384" s="15">
        <f t="shared" si="40"/>
        <v>45919564.649999991</v>
      </c>
    </row>
    <row r="2385" spans="1:6" x14ac:dyDescent="0.2">
      <c r="A2385" s="3">
        <v>45742</v>
      </c>
      <c r="B2385" s="43">
        <v>16525649</v>
      </c>
      <c r="C2385" s="20" t="s">
        <v>319</v>
      </c>
      <c r="D2385" s="18">
        <v>729000</v>
      </c>
      <c r="E2385" s="19"/>
      <c r="F2385" s="15">
        <f t="shared" si="40"/>
        <v>45190564.649999991</v>
      </c>
    </row>
    <row r="2386" spans="1:6" x14ac:dyDescent="0.2">
      <c r="A2386" s="3">
        <v>45742</v>
      </c>
      <c r="B2386" s="43">
        <v>31911</v>
      </c>
      <c r="C2386" s="17" t="s">
        <v>12</v>
      </c>
      <c r="D2386" s="18">
        <v>2329617.16</v>
      </c>
      <c r="E2386" s="19"/>
      <c r="F2386" s="15">
        <f t="shared" si="40"/>
        <v>42860947.489999995</v>
      </c>
    </row>
    <row r="2387" spans="1:6" x14ac:dyDescent="0.2">
      <c r="A2387" s="3">
        <v>45742</v>
      </c>
      <c r="B2387" s="46">
        <v>32049</v>
      </c>
      <c r="C2387" s="58" t="s">
        <v>12</v>
      </c>
      <c r="D2387" s="48">
        <v>4471503</v>
      </c>
      <c r="E2387" s="49"/>
      <c r="F2387" s="15">
        <f t="shared" si="40"/>
        <v>38389444.489999995</v>
      </c>
    </row>
    <row r="2388" spans="1:6" x14ac:dyDescent="0.2">
      <c r="A2388" s="3">
        <v>45742</v>
      </c>
      <c r="B2388" s="50"/>
      <c r="C2388" s="59" t="s">
        <v>88</v>
      </c>
      <c r="D2388" s="23">
        <v>23508945</v>
      </c>
      <c r="E2388" s="24"/>
      <c r="F2388" s="15">
        <f t="shared" si="40"/>
        <v>14880499.489999995</v>
      </c>
    </row>
    <row r="2389" spans="1:6" x14ac:dyDescent="0.2">
      <c r="A2389" s="3">
        <v>45742</v>
      </c>
      <c r="B2389" s="45"/>
      <c r="C2389" s="17" t="s">
        <v>16</v>
      </c>
      <c r="D2389" s="18">
        <v>680886.02</v>
      </c>
      <c r="E2389" s="19"/>
      <c r="F2389" s="15">
        <f t="shared" si="40"/>
        <v>14199613.469999995</v>
      </c>
    </row>
    <row r="2390" spans="1:6" x14ac:dyDescent="0.2">
      <c r="A2390" s="3">
        <v>45742</v>
      </c>
      <c r="B2390" s="45"/>
      <c r="C2390" s="17" t="s">
        <v>34</v>
      </c>
      <c r="D2390" s="18">
        <v>2400</v>
      </c>
      <c r="E2390" s="19"/>
      <c r="F2390" s="15">
        <f t="shared" si="40"/>
        <v>14197213.469999995</v>
      </c>
    </row>
    <row r="2391" spans="1:6" x14ac:dyDescent="0.2">
      <c r="A2391" s="3">
        <v>45742</v>
      </c>
      <c r="B2391" s="43">
        <v>13357</v>
      </c>
      <c r="C2391" s="20" t="s">
        <v>7</v>
      </c>
      <c r="D2391" s="18">
        <v>720</v>
      </c>
      <c r="E2391" s="19"/>
      <c r="F2391" s="15">
        <f t="shared" si="40"/>
        <v>14196493.469999995</v>
      </c>
    </row>
    <row r="2392" spans="1:6" x14ac:dyDescent="0.2">
      <c r="A2392" s="3">
        <v>45742</v>
      </c>
      <c r="B2392" s="43">
        <v>13357</v>
      </c>
      <c r="C2392" s="17" t="s">
        <v>227</v>
      </c>
      <c r="D2392" s="18">
        <v>151.19999999999999</v>
      </c>
      <c r="E2392" s="19"/>
      <c r="F2392" s="15">
        <f t="shared" si="40"/>
        <v>14196342.269999996</v>
      </c>
    </row>
    <row r="2393" spans="1:6" x14ac:dyDescent="0.2">
      <c r="A2393" s="3">
        <v>45742</v>
      </c>
      <c r="B2393" s="43">
        <v>13358</v>
      </c>
      <c r="C2393" s="20" t="s">
        <v>7</v>
      </c>
      <c r="D2393" s="18">
        <v>720</v>
      </c>
      <c r="E2393" s="19"/>
      <c r="F2393" s="15">
        <f t="shared" si="40"/>
        <v>14195622.269999996</v>
      </c>
    </row>
    <row r="2394" spans="1:6" x14ac:dyDescent="0.2">
      <c r="A2394" s="3">
        <v>45742</v>
      </c>
      <c r="B2394" s="43">
        <v>13358</v>
      </c>
      <c r="C2394" s="17" t="s">
        <v>227</v>
      </c>
      <c r="D2394" s="18">
        <v>151.19999999999999</v>
      </c>
      <c r="E2394" s="19"/>
      <c r="F2394" s="15">
        <f t="shared" si="40"/>
        <v>14195471.069999997</v>
      </c>
    </row>
    <row r="2395" spans="1:6" x14ac:dyDescent="0.2">
      <c r="A2395" s="3">
        <v>45742</v>
      </c>
      <c r="B2395" s="43">
        <v>13359</v>
      </c>
      <c r="C2395" s="20" t="s">
        <v>7</v>
      </c>
      <c r="D2395" s="18">
        <v>1485</v>
      </c>
      <c r="E2395" s="19"/>
      <c r="F2395" s="15">
        <f t="shared" si="40"/>
        <v>14193986.069999997</v>
      </c>
    </row>
    <row r="2396" spans="1:6" x14ac:dyDescent="0.2">
      <c r="A2396" s="3">
        <v>45742</v>
      </c>
      <c r="B2396" s="43">
        <v>13359</v>
      </c>
      <c r="C2396" s="17" t="s">
        <v>227</v>
      </c>
      <c r="D2396" s="18">
        <v>311.85000000000002</v>
      </c>
      <c r="E2396" s="19"/>
      <c r="F2396" s="15">
        <f t="shared" si="40"/>
        <v>14193674.219999997</v>
      </c>
    </row>
    <row r="2397" spans="1:6" x14ac:dyDescent="0.2">
      <c r="A2397" s="3">
        <v>45742</v>
      </c>
      <c r="B2397" s="43">
        <v>13360</v>
      </c>
      <c r="C2397" s="20" t="s">
        <v>7</v>
      </c>
      <c r="D2397" s="18">
        <v>1485</v>
      </c>
      <c r="E2397" s="19"/>
      <c r="F2397" s="15">
        <f t="shared" si="40"/>
        <v>14192189.219999997</v>
      </c>
    </row>
    <row r="2398" spans="1:6" x14ac:dyDescent="0.2">
      <c r="A2398" s="3">
        <v>45742</v>
      </c>
      <c r="B2398" s="43">
        <v>13360</v>
      </c>
      <c r="C2398" s="17" t="s">
        <v>227</v>
      </c>
      <c r="D2398" s="18">
        <v>311.85000000000002</v>
      </c>
      <c r="E2398" s="19"/>
      <c r="F2398" s="15">
        <f t="shared" si="40"/>
        <v>14191877.369999997</v>
      </c>
    </row>
    <row r="2399" spans="1:6" x14ac:dyDescent="0.2">
      <c r="A2399" s="3">
        <v>45742</v>
      </c>
      <c r="B2399" s="43">
        <v>13361</v>
      </c>
      <c r="C2399" s="20" t="s">
        <v>7</v>
      </c>
      <c r="D2399" s="18">
        <v>1485</v>
      </c>
      <c r="E2399" s="19"/>
      <c r="F2399" s="15">
        <f t="shared" si="40"/>
        <v>14190392.369999997</v>
      </c>
    </row>
    <row r="2400" spans="1:6" x14ac:dyDescent="0.2">
      <c r="A2400" s="3">
        <v>45742</v>
      </c>
      <c r="B2400" s="43">
        <v>13361</v>
      </c>
      <c r="C2400" s="17" t="s">
        <v>227</v>
      </c>
      <c r="D2400" s="18">
        <v>311.85000000000002</v>
      </c>
      <c r="E2400" s="19"/>
      <c r="F2400" s="15">
        <f t="shared" si="40"/>
        <v>14190080.519999998</v>
      </c>
    </row>
    <row r="2401" spans="1:6" x14ac:dyDescent="0.2">
      <c r="A2401" s="3">
        <v>45743</v>
      </c>
      <c r="B2401" s="43">
        <v>32048</v>
      </c>
      <c r="C2401" s="17" t="s">
        <v>9</v>
      </c>
      <c r="D2401" s="18">
        <v>46783.44</v>
      </c>
      <c r="E2401" s="19"/>
      <c r="F2401" s="15">
        <f t="shared" si="40"/>
        <v>14143297.079999998</v>
      </c>
    </row>
    <row r="2402" spans="1:6" x14ac:dyDescent="0.2">
      <c r="A2402" s="3">
        <v>45743</v>
      </c>
      <c r="B2402" s="43">
        <v>32138</v>
      </c>
      <c r="C2402" s="17" t="s">
        <v>9</v>
      </c>
      <c r="D2402" s="18">
        <v>4301925.4000000004</v>
      </c>
      <c r="E2402" s="19"/>
      <c r="F2402" s="15">
        <f t="shared" si="40"/>
        <v>9841371.6799999978</v>
      </c>
    </row>
    <row r="2403" spans="1:6" x14ac:dyDescent="0.2">
      <c r="A2403" s="3">
        <v>45743</v>
      </c>
      <c r="B2403" s="45"/>
      <c r="C2403" s="20" t="s">
        <v>35</v>
      </c>
      <c r="D2403" s="18">
        <v>4000</v>
      </c>
      <c r="E2403" s="19"/>
      <c r="F2403" s="15">
        <f t="shared" si="40"/>
        <v>9837371.6799999978</v>
      </c>
    </row>
    <row r="2404" spans="1:6" x14ac:dyDescent="0.2">
      <c r="A2404" s="3">
        <v>45743</v>
      </c>
      <c r="B2404" s="45"/>
      <c r="C2404" s="17" t="s">
        <v>36</v>
      </c>
      <c r="D2404" s="18">
        <v>60</v>
      </c>
      <c r="E2404" s="19"/>
      <c r="F2404" s="15">
        <f t="shared" si="40"/>
        <v>9837311.6799999978</v>
      </c>
    </row>
    <row r="2405" spans="1:6" x14ac:dyDescent="0.2">
      <c r="A2405" s="3">
        <v>45743</v>
      </c>
      <c r="B2405" s="45"/>
      <c r="C2405" s="17" t="s">
        <v>227</v>
      </c>
      <c r="D2405" s="18">
        <v>840</v>
      </c>
      <c r="E2405" s="19"/>
      <c r="F2405" s="15">
        <f t="shared" si="40"/>
        <v>9836471.6799999978</v>
      </c>
    </row>
    <row r="2406" spans="1:6" x14ac:dyDescent="0.2">
      <c r="A2406" s="3">
        <v>45743</v>
      </c>
      <c r="B2406" s="45"/>
      <c r="C2406" s="17" t="s">
        <v>37</v>
      </c>
      <c r="D2406" s="18">
        <v>120</v>
      </c>
      <c r="E2406" s="19"/>
      <c r="F2406" s="15">
        <f t="shared" si="40"/>
        <v>9836351.6799999978</v>
      </c>
    </row>
    <row r="2407" spans="1:6" x14ac:dyDescent="0.2">
      <c r="A2407" s="3">
        <v>45743</v>
      </c>
      <c r="B2407" s="43">
        <v>339357</v>
      </c>
      <c r="C2407" s="20" t="s">
        <v>364</v>
      </c>
      <c r="D2407" s="19"/>
      <c r="E2407" s="18">
        <v>148801.35</v>
      </c>
      <c r="F2407" s="15">
        <f t="shared" si="40"/>
        <v>9985153.0299999975</v>
      </c>
    </row>
    <row r="2408" spans="1:6" x14ac:dyDescent="0.2">
      <c r="A2408" s="3">
        <v>45743</v>
      </c>
      <c r="B2408" s="43">
        <v>631124</v>
      </c>
      <c r="C2408" s="20" t="s">
        <v>89</v>
      </c>
      <c r="D2408" s="25"/>
      <c r="E2408" s="25">
        <v>2879704.86</v>
      </c>
      <c r="F2408" s="15">
        <f t="shared" si="40"/>
        <v>12864857.889999997</v>
      </c>
    </row>
    <row r="2409" spans="1:6" x14ac:dyDescent="0.2">
      <c r="A2409" s="3">
        <v>45743</v>
      </c>
      <c r="B2409" s="43">
        <v>32153</v>
      </c>
      <c r="C2409" s="20" t="s">
        <v>28</v>
      </c>
      <c r="D2409" s="18">
        <v>50000</v>
      </c>
      <c r="E2409" s="19"/>
      <c r="F2409" s="15">
        <f t="shared" si="40"/>
        <v>12814857.889999997</v>
      </c>
    </row>
    <row r="2410" spans="1:6" x14ac:dyDescent="0.2">
      <c r="A2410" s="3">
        <v>45743</v>
      </c>
      <c r="B2410" s="45"/>
      <c r="C2410" s="17" t="s">
        <v>365</v>
      </c>
      <c r="D2410" s="18">
        <v>1000000</v>
      </c>
      <c r="E2410" s="19"/>
      <c r="F2410" s="15">
        <f t="shared" si="40"/>
        <v>11814857.889999997</v>
      </c>
    </row>
    <row r="2411" spans="1:6" x14ac:dyDescent="0.2">
      <c r="A2411" s="3">
        <v>45743</v>
      </c>
      <c r="B2411" s="43">
        <v>31924</v>
      </c>
      <c r="C2411" s="17" t="s">
        <v>12</v>
      </c>
      <c r="D2411" s="18">
        <v>6125000</v>
      </c>
      <c r="E2411" s="19"/>
      <c r="F2411" s="15">
        <f t="shared" si="40"/>
        <v>5689857.8899999969</v>
      </c>
    </row>
    <row r="2412" spans="1:6" x14ac:dyDescent="0.2">
      <c r="A2412" s="3">
        <v>45743</v>
      </c>
      <c r="B2412" s="43">
        <v>31926</v>
      </c>
      <c r="C2412" s="17" t="s">
        <v>12</v>
      </c>
      <c r="D2412" s="18">
        <v>6753303</v>
      </c>
      <c r="E2412" s="19"/>
      <c r="F2412" s="15">
        <f t="shared" si="40"/>
        <v>-1063445.1100000031</v>
      </c>
    </row>
    <row r="2413" spans="1:6" x14ac:dyDescent="0.2">
      <c r="A2413" s="3">
        <v>45743</v>
      </c>
      <c r="B2413" s="45"/>
      <c r="C2413" s="17" t="s">
        <v>34</v>
      </c>
      <c r="D2413" s="18">
        <v>12600</v>
      </c>
      <c r="E2413" s="19"/>
      <c r="F2413" s="15">
        <f t="shared" si="40"/>
        <v>-1076045.1100000031</v>
      </c>
    </row>
    <row r="2414" spans="1:6" x14ac:dyDescent="0.2">
      <c r="A2414" s="3">
        <v>45743</v>
      </c>
      <c r="B2414" s="51"/>
      <c r="C2414" s="58" t="s">
        <v>16</v>
      </c>
      <c r="D2414" s="48">
        <v>103434.99</v>
      </c>
      <c r="E2414" s="49"/>
      <c r="F2414" s="15">
        <f t="shared" si="40"/>
        <v>-1179480.1000000031</v>
      </c>
    </row>
    <row r="2415" spans="1:6" x14ac:dyDescent="0.2">
      <c r="A2415" s="3">
        <v>45743</v>
      </c>
      <c r="B2415" s="50"/>
      <c r="C2415" s="59" t="s">
        <v>22</v>
      </c>
      <c r="D2415" s="31">
        <v>18171.04</v>
      </c>
      <c r="E2415" s="24"/>
      <c r="F2415" s="15">
        <f t="shared" si="40"/>
        <v>-1197651.1400000032</v>
      </c>
    </row>
    <row r="2416" spans="1:6" x14ac:dyDescent="0.2">
      <c r="A2416" s="3">
        <v>45743</v>
      </c>
      <c r="B2416" s="45"/>
      <c r="C2416" s="20" t="s">
        <v>366</v>
      </c>
      <c r="D2416" s="18">
        <v>6057.01</v>
      </c>
      <c r="E2416" s="19"/>
      <c r="F2416" s="15">
        <f t="shared" si="40"/>
        <v>-1203708.1500000032</v>
      </c>
    </row>
    <row r="2417" spans="1:6" x14ac:dyDescent="0.2">
      <c r="A2417" s="3">
        <v>45743</v>
      </c>
      <c r="B2417" s="43">
        <v>31926</v>
      </c>
      <c r="C2417" s="20" t="s">
        <v>367</v>
      </c>
      <c r="D2417" s="25"/>
      <c r="E2417" s="25">
        <v>6753303</v>
      </c>
      <c r="F2417" s="15">
        <f t="shared" si="40"/>
        <v>5549594.8499999968</v>
      </c>
    </row>
    <row r="2418" spans="1:6" x14ac:dyDescent="0.2">
      <c r="A2418" s="3">
        <v>45744</v>
      </c>
      <c r="B2418" s="43">
        <v>8729</v>
      </c>
      <c r="C2418" s="17" t="s">
        <v>9</v>
      </c>
      <c r="D2418" s="18">
        <v>295438.84999999998</v>
      </c>
      <c r="E2418" s="19"/>
      <c r="F2418" s="15">
        <f t="shared" si="40"/>
        <v>5254155.9999999972</v>
      </c>
    </row>
    <row r="2419" spans="1:6" x14ac:dyDescent="0.2">
      <c r="A2419" s="3">
        <v>45744</v>
      </c>
      <c r="B2419" s="43">
        <v>31920</v>
      </c>
      <c r="C2419" s="17" t="s">
        <v>9</v>
      </c>
      <c r="D2419" s="18">
        <v>856243.21</v>
      </c>
      <c r="E2419" s="19"/>
      <c r="F2419" s="15">
        <f t="shared" si="40"/>
        <v>4397912.7899999972</v>
      </c>
    </row>
    <row r="2420" spans="1:6" x14ac:dyDescent="0.2">
      <c r="A2420" s="3">
        <v>45744</v>
      </c>
      <c r="B2420" s="43">
        <v>31982</v>
      </c>
      <c r="C2420" s="17" t="s">
        <v>9</v>
      </c>
      <c r="D2420" s="18">
        <v>1067500</v>
      </c>
      <c r="E2420" s="19"/>
      <c r="F2420" s="15">
        <f t="shared" si="40"/>
        <v>3330412.7899999972</v>
      </c>
    </row>
    <row r="2421" spans="1:6" x14ac:dyDescent="0.2">
      <c r="A2421" s="3">
        <v>45744</v>
      </c>
      <c r="B2421" s="43">
        <v>31972</v>
      </c>
      <c r="C2421" s="17" t="s">
        <v>9</v>
      </c>
      <c r="D2421" s="18">
        <v>1535396.2</v>
      </c>
      <c r="E2421" s="19"/>
      <c r="F2421" s="15">
        <f t="shared" si="40"/>
        <v>1795016.5899999973</v>
      </c>
    </row>
    <row r="2422" spans="1:6" x14ac:dyDescent="0.2">
      <c r="A2422" s="3">
        <v>45744</v>
      </c>
      <c r="B2422" s="43">
        <v>31973</v>
      </c>
      <c r="C2422" s="17" t="s">
        <v>9</v>
      </c>
      <c r="D2422" s="18">
        <v>2000314.58</v>
      </c>
      <c r="E2422" s="19"/>
      <c r="F2422" s="15">
        <f t="shared" si="40"/>
        <v>-205297.99000000278</v>
      </c>
    </row>
    <row r="2423" spans="1:6" x14ac:dyDescent="0.2">
      <c r="A2423" s="3">
        <v>45744</v>
      </c>
      <c r="B2423" s="45"/>
      <c r="C2423" s="20" t="s">
        <v>368</v>
      </c>
      <c r="D2423" s="18">
        <v>21000</v>
      </c>
      <c r="E2423" s="19"/>
      <c r="F2423" s="15">
        <f t="shared" si="40"/>
        <v>-226297.99000000278</v>
      </c>
    </row>
    <row r="2424" spans="1:6" x14ac:dyDescent="0.2">
      <c r="A2424" s="3">
        <v>45744</v>
      </c>
      <c r="B2424" s="45"/>
      <c r="C2424" s="17" t="s">
        <v>36</v>
      </c>
      <c r="D2424" s="18">
        <v>315</v>
      </c>
      <c r="E2424" s="19"/>
      <c r="F2424" s="15">
        <f t="shared" si="40"/>
        <v>-226612.99000000278</v>
      </c>
    </row>
    <row r="2425" spans="1:6" x14ac:dyDescent="0.2">
      <c r="A2425" s="3">
        <v>45744</v>
      </c>
      <c r="B2425" s="45"/>
      <c r="C2425" s="17" t="s">
        <v>227</v>
      </c>
      <c r="D2425" s="18">
        <v>4410</v>
      </c>
      <c r="E2425" s="19"/>
      <c r="F2425" s="15">
        <f t="shared" ref="F2425:F2473" si="41">+F2424+E2425-D2425</f>
        <v>-231022.99000000278</v>
      </c>
    </row>
    <row r="2426" spans="1:6" x14ac:dyDescent="0.2">
      <c r="A2426" s="3">
        <v>45744</v>
      </c>
      <c r="B2426" s="45"/>
      <c r="C2426" s="17" t="s">
        <v>37</v>
      </c>
      <c r="D2426" s="18">
        <v>630</v>
      </c>
      <c r="E2426" s="19"/>
      <c r="F2426" s="15">
        <f t="shared" si="41"/>
        <v>-231652.99000000278</v>
      </c>
    </row>
    <row r="2427" spans="1:6" x14ac:dyDescent="0.2">
      <c r="A2427" s="3">
        <v>45744</v>
      </c>
      <c r="B2427" s="45"/>
      <c r="C2427" s="17" t="s">
        <v>92</v>
      </c>
      <c r="D2427" s="18">
        <v>53300</v>
      </c>
      <c r="E2427" s="19"/>
      <c r="F2427" s="15">
        <f t="shared" si="41"/>
        <v>-284952.99000000278</v>
      </c>
    </row>
    <row r="2428" spans="1:6" x14ac:dyDescent="0.2">
      <c r="A2428" s="3">
        <v>45744</v>
      </c>
      <c r="B2428" s="45"/>
      <c r="C2428" s="17" t="s">
        <v>36</v>
      </c>
      <c r="D2428" s="18">
        <v>799.5</v>
      </c>
      <c r="E2428" s="19"/>
      <c r="F2428" s="15">
        <f t="shared" si="41"/>
        <v>-285752.49000000278</v>
      </c>
    </row>
    <row r="2429" spans="1:6" x14ac:dyDescent="0.2">
      <c r="A2429" s="3">
        <v>45744</v>
      </c>
      <c r="B2429" s="45"/>
      <c r="C2429" s="17" t="s">
        <v>227</v>
      </c>
      <c r="D2429" s="18">
        <v>11193</v>
      </c>
      <c r="E2429" s="19"/>
      <c r="F2429" s="15">
        <f t="shared" si="41"/>
        <v>-296945.49000000278</v>
      </c>
    </row>
    <row r="2430" spans="1:6" x14ac:dyDescent="0.2">
      <c r="A2430" s="3">
        <v>45744</v>
      </c>
      <c r="B2430" s="45"/>
      <c r="C2430" s="17" t="s">
        <v>37</v>
      </c>
      <c r="D2430" s="18">
        <v>1599</v>
      </c>
      <c r="E2430" s="19"/>
      <c r="F2430" s="15">
        <f t="shared" si="41"/>
        <v>-298544.49000000278</v>
      </c>
    </row>
    <row r="2431" spans="1:6" x14ac:dyDescent="0.2">
      <c r="A2431" s="3">
        <v>45744</v>
      </c>
      <c r="B2431" s="45"/>
      <c r="C2431" s="17" t="s">
        <v>93</v>
      </c>
      <c r="D2431" s="18">
        <v>56145</v>
      </c>
      <c r="E2431" s="19"/>
      <c r="F2431" s="15">
        <f t="shared" si="41"/>
        <v>-354689.49000000278</v>
      </c>
    </row>
    <row r="2432" spans="1:6" x14ac:dyDescent="0.2">
      <c r="A2432" s="3">
        <v>45744</v>
      </c>
      <c r="B2432" s="45"/>
      <c r="C2432" s="17" t="s">
        <v>36</v>
      </c>
      <c r="D2432" s="18">
        <v>842.18</v>
      </c>
      <c r="E2432" s="19"/>
      <c r="F2432" s="15">
        <f t="shared" si="41"/>
        <v>-355531.67000000278</v>
      </c>
    </row>
    <row r="2433" spans="1:6" x14ac:dyDescent="0.2">
      <c r="A2433" s="3">
        <v>45744</v>
      </c>
      <c r="B2433" s="45"/>
      <c r="C2433" s="17" t="s">
        <v>227</v>
      </c>
      <c r="D2433" s="18">
        <v>11790.45</v>
      </c>
      <c r="E2433" s="19"/>
      <c r="F2433" s="15">
        <f t="shared" si="41"/>
        <v>-367322.12000000279</v>
      </c>
    </row>
    <row r="2434" spans="1:6" x14ac:dyDescent="0.2">
      <c r="A2434" s="3">
        <v>45744</v>
      </c>
      <c r="B2434" s="45"/>
      <c r="C2434" s="17" t="s">
        <v>37</v>
      </c>
      <c r="D2434" s="18">
        <v>1684.35</v>
      </c>
      <c r="E2434" s="19"/>
      <c r="F2434" s="15">
        <f t="shared" si="41"/>
        <v>-369006.47000000277</v>
      </c>
    </row>
    <row r="2435" spans="1:6" x14ac:dyDescent="0.2">
      <c r="A2435" s="3">
        <v>45744</v>
      </c>
      <c r="B2435" s="43">
        <v>351984</v>
      </c>
      <c r="C2435" s="20" t="s">
        <v>217</v>
      </c>
      <c r="D2435" s="25"/>
      <c r="E2435" s="25">
        <v>150000000</v>
      </c>
      <c r="F2435" s="15">
        <f t="shared" si="41"/>
        <v>149630993.53</v>
      </c>
    </row>
    <row r="2436" spans="1:6" x14ac:dyDescent="0.2">
      <c r="A2436" s="3">
        <v>45744</v>
      </c>
      <c r="B2436" s="43">
        <v>4002724</v>
      </c>
      <c r="C2436" s="20" t="s">
        <v>78</v>
      </c>
      <c r="D2436" s="18">
        <v>270000</v>
      </c>
      <c r="E2436" s="19"/>
      <c r="F2436" s="15">
        <f t="shared" si="41"/>
        <v>149360993.53</v>
      </c>
    </row>
    <row r="2437" spans="1:6" x14ac:dyDescent="0.2">
      <c r="A2437" s="3">
        <v>45744</v>
      </c>
      <c r="B2437" s="43">
        <v>4002725</v>
      </c>
      <c r="C2437" s="20" t="s">
        <v>123</v>
      </c>
      <c r="D2437" s="18">
        <v>893241.98</v>
      </c>
      <c r="E2437" s="19"/>
      <c r="F2437" s="15">
        <f t="shared" si="41"/>
        <v>148467751.55000001</v>
      </c>
    </row>
    <row r="2438" spans="1:6" x14ac:dyDescent="0.2">
      <c r="A2438" s="3">
        <v>45744</v>
      </c>
      <c r="B2438" s="43">
        <v>4002726</v>
      </c>
      <c r="C2438" s="20" t="s">
        <v>369</v>
      </c>
      <c r="D2438" s="18">
        <v>22000</v>
      </c>
      <c r="E2438" s="19"/>
      <c r="F2438" s="15">
        <f t="shared" si="41"/>
        <v>148445751.55000001</v>
      </c>
    </row>
    <row r="2439" spans="1:6" x14ac:dyDescent="0.2">
      <c r="A2439" s="3">
        <v>45744</v>
      </c>
      <c r="B2439" s="43">
        <v>17117252</v>
      </c>
      <c r="C2439" s="20" t="s">
        <v>370</v>
      </c>
      <c r="D2439" s="18">
        <v>72600</v>
      </c>
      <c r="E2439" s="19"/>
      <c r="F2439" s="15">
        <f t="shared" si="41"/>
        <v>148373151.55000001</v>
      </c>
    </row>
    <row r="2440" spans="1:6" x14ac:dyDescent="0.2">
      <c r="A2440" s="3">
        <v>45744</v>
      </c>
      <c r="B2440" s="43">
        <v>31910</v>
      </c>
      <c r="C2440" s="17" t="s">
        <v>12</v>
      </c>
      <c r="D2440" s="18">
        <v>4892290</v>
      </c>
      <c r="E2440" s="19"/>
      <c r="F2440" s="15">
        <f t="shared" si="41"/>
        <v>143480861.55000001</v>
      </c>
    </row>
    <row r="2441" spans="1:6" x14ac:dyDescent="0.2">
      <c r="A2441" s="3">
        <v>45744</v>
      </c>
      <c r="B2441" s="43">
        <v>31913</v>
      </c>
      <c r="C2441" s="17" t="s">
        <v>12</v>
      </c>
      <c r="D2441" s="18">
        <v>5928525</v>
      </c>
      <c r="E2441" s="19"/>
      <c r="F2441" s="15">
        <f t="shared" si="41"/>
        <v>137552336.55000001</v>
      </c>
    </row>
    <row r="2442" spans="1:6" x14ac:dyDescent="0.2">
      <c r="A2442" s="3">
        <v>45744</v>
      </c>
      <c r="B2442" s="46">
        <v>31859</v>
      </c>
      <c r="C2442" s="58" t="s">
        <v>12</v>
      </c>
      <c r="D2442" s="48">
        <v>6979933.9500000002</v>
      </c>
      <c r="E2442" s="49"/>
      <c r="F2442" s="15">
        <f t="shared" si="41"/>
        <v>130572402.60000001</v>
      </c>
    </row>
    <row r="2443" spans="1:6" x14ac:dyDescent="0.2">
      <c r="A2443" s="3">
        <v>45744</v>
      </c>
      <c r="B2443" s="44">
        <v>31861</v>
      </c>
      <c r="C2443" s="59" t="s">
        <v>12</v>
      </c>
      <c r="D2443" s="23">
        <v>7814960</v>
      </c>
      <c r="E2443" s="24"/>
      <c r="F2443" s="15">
        <f t="shared" si="41"/>
        <v>122757442.60000001</v>
      </c>
    </row>
    <row r="2444" spans="1:6" x14ac:dyDescent="0.2">
      <c r="A2444" s="3">
        <v>45744</v>
      </c>
      <c r="B2444" s="45"/>
      <c r="C2444" s="17" t="s">
        <v>156</v>
      </c>
      <c r="D2444" s="19"/>
      <c r="E2444" s="18">
        <v>40519.82</v>
      </c>
      <c r="F2444" s="15">
        <f t="shared" si="41"/>
        <v>122797962.42</v>
      </c>
    </row>
    <row r="2445" spans="1:6" x14ac:dyDescent="0.2">
      <c r="A2445" s="3">
        <v>45744</v>
      </c>
      <c r="B2445" s="45"/>
      <c r="C2445" s="17" t="s">
        <v>16</v>
      </c>
      <c r="D2445" s="18">
        <v>196789.25</v>
      </c>
      <c r="E2445" s="19"/>
      <c r="F2445" s="15">
        <f t="shared" si="41"/>
        <v>122601173.17</v>
      </c>
    </row>
    <row r="2446" spans="1:6" x14ac:dyDescent="0.2">
      <c r="A2446" s="3">
        <v>45744</v>
      </c>
      <c r="B2446" s="43">
        <v>16924</v>
      </c>
      <c r="C2446" s="20" t="s">
        <v>7</v>
      </c>
      <c r="D2446" s="18">
        <v>315</v>
      </c>
      <c r="E2446" s="19"/>
      <c r="F2446" s="15">
        <f t="shared" si="41"/>
        <v>122600858.17</v>
      </c>
    </row>
    <row r="2447" spans="1:6" x14ac:dyDescent="0.2">
      <c r="A2447" s="3">
        <v>45744</v>
      </c>
      <c r="B2447" s="43">
        <v>16924</v>
      </c>
      <c r="C2447" s="17" t="s">
        <v>227</v>
      </c>
      <c r="D2447" s="18">
        <v>66.150000000000006</v>
      </c>
      <c r="E2447" s="19"/>
      <c r="F2447" s="15">
        <f t="shared" si="41"/>
        <v>122600792.02</v>
      </c>
    </row>
    <row r="2448" spans="1:6" x14ac:dyDescent="0.2">
      <c r="A2448" s="3">
        <v>45744</v>
      </c>
      <c r="B2448" s="43">
        <v>16925</v>
      </c>
      <c r="C2448" s="20" t="s">
        <v>7</v>
      </c>
      <c r="D2448" s="18">
        <v>720</v>
      </c>
      <c r="E2448" s="19"/>
      <c r="F2448" s="15">
        <f t="shared" si="41"/>
        <v>122600072.02</v>
      </c>
    </row>
    <row r="2449" spans="1:6" x14ac:dyDescent="0.2">
      <c r="A2449" s="3">
        <v>45744</v>
      </c>
      <c r="B2449" s="43">
        <v>16925</v>
      </c>
      <c r="C2449" s="17" t="s">
        <v>227</v>
      </c>
      <c r="D2449" s="18">
        <v>151.19999999999999</v>
      </c>
      <c r="E2449" s="19"/>
      <c r="F2449" s="15">
        <f t="shared" si="41"/>
        <v>122599920.81999999</v>
      </c>
    </row>
    <row r="2450" spans="1:6" x14ac:dyDescent="0.2">
      <c r="A2450" s="3">
        <v>45744</v>
      </c>
      <c r="B2450" s="43">
        <v>16926</v>
      </c>
      <c r="C2450" s="20" t="s">
        <v>7</v>
      </c>
      <c r="D2450" s="18">
        <v>1485</v>
      </c>
      <c r="E2450" s="19"/>
      <c r="F2450" s="15">
        <f t="shared" si="41"/>
        <v>122598435.81999999</v>
      </c>
    </row>
    <row r="2451" spans="1:6" x14ac:dyDescent="0.2">
      <c r="A2451" s="3">
        <v>45744</v>
      </c>
      <c r="B2451" s="43">
        <v>16926</v>
      </c>
      <c r="C2451" s="17" t="s">
        <v>227</v>
      </c>
      <c r="D2451" s="18">
        <v>311.85000000000002</v>
      </c>
      <c r="E2451" s="19"/>
      <c r="F2451" s="15">
        <f t="shared" si="41"/>
        <v>122598123.97</v>
      </c>
    </row>
    <row r="2452" spans="1:6" x14ac:dyDescent="0.2">
      <c r="A2452" s="3">
        <v>45747</v>
      </c>
      <c r="B2452" s="43">
        <v>31976</v>
      </c>
      <c r="C2452" s="17" t="s">
        <v>9</v>
      </c>
      <c r="D2452" s="18">
        <v>1611680</v>
      </c>
      <c r="E2452" s="19"/>
      <c r="F2452" s="15">
        <f t="shared" si="41"/>
        <v>120986443.97</v>
      </c>
    </row>
    <row r="2453" spans="1:6" x14ac:dyDescent="0.2">
      <c r="A2453" s="3">
        <v>45747</v>
      </c>
      <c r="B2453" s="43">
        <v>31992</v>
      </c>
      <c r="C2453" s="17" t="s">
        <v>9</v>
      </c>
      <c r="D2453" s="18">
        <v>3971122.65</v>
      </c>
      <c r="E2453" s="19"/>
      <c r="F2453" s="15">
        <f t="shared" si="41"/>
        <v>117015321.31999999</v>
      </c>
    </row>
    <row r="2454" spans="1:6" x14ac:dyDescent="0.2">
      <c r="A2454" s="3">
        <v>45747</v>
      </c>
      <c r="B2454" s="43">
        <v>31783</v>
      </c>
      <c r="C2454" s="17" t="s">
        <v>9</v>
      </c>
      <c r="D2454" s="18">
        <v>278349.5</v>
      </c>
      <c r="E2454" s="19"/>
      <c r="F2454" s="15">
        <f t="shared" si="41"/>
        <v>116736971.81999999</v>
      </c>
    </row>
    <row r="2455" spans="1:6" x14ac:dyDescent="0.2">
      <c r="A2455" s="3">
        <v>45747</v>
      </c>
      <c r="B2455" s="43">
        <v>32066</v>
      </c>
      <c r="C2455" s="17" t="s">
        <v>9</v>
      </c>
      <c r="D2455" s="18">
        <v>367311</v>
      </c>
      <c r="E2455" s="19"/>
      <c r="F2455" s="15">
        <f t="shared" si="41"/>
        <v>116369660.81999999</v>
      </c>
    </row>
    <row r="2456" spans="1:6" x14ac:dyDescent="0.2">
      <c r="A2456" s="3">
        <v>45747</v>
      </c>
      <c r="B2456" s="43">
        <v>31914</v>
      </c>
      <c r="C2456" s="17" t="s">
        <v>9</v>
      </c>
      <c r="D2456" s="18">
        <v>856519.01</v>
      </c>
      <c r="E2456" s="19"/>
      <c r="F2456" s="15">
        <f t="shared" si="41"/>
        <v>115513141.80999999</v>
      </c>
    </row>
    <row r="2457" spans="1:6" x14ac:dyDescent="0.2">
      <c r="A2457" s="3">
        <v>45747</v>
      </c>
      <c r="B2457" s="45"/>
      <c r="C2457" s="17" t="s">
        <v>371</v>
      </c>
      <c r="D2457" s="18">
        <v>405198.18</v>
      </c>
      <c r="E2457" s="19"/>
      <c r="F2457" s="15">
        <f t="shared" si="41"/>
        <v>115107943.62999998</v>
      </c>
    </row>
    <row r="2458" spans="1:6" x14ac:dyDescent="0.2">
      <c r="A2458" s="3">
        <v>45747</v>
      </c>
      <c r="B2458" s="45"/>
      <c r="C2458" s="17" t="s">
        <v>36</v>
      </c>
      <c r="D2458" s="18">
        <v>6077.97</v>
      </c>
      <c r="E2458" s="19"/>
      <c r="F2458" s="15">
        <f t="shared" si="41"/>
        <v>115101865.65999998</v>
      </c>
    </row>
    <row r="2459" spans="1:6" x14ac:dyDescent="0.2">
      <c r="A2459" s="3">
        <v>45747</v>
      </c>
      <c r="B2459" s="45"/>
      <c r="C2459" s="17" t="s">
        <v>227</v>
      </c>
      <c r="D2459" s="18">
        <v>85091.62</v>
      </c>
      <c r="E2459" s="19"/>
      <c r="F2459" s="15">
        <f t="shared" si="41"/>
        <v>115016774.03999998</v>
      </c>
    </row>
    <row r="2460" spans="1:6" x14ac:dyDescent="0.2">
      <c r="A2460" s="3">
        <v>45747</v>
      </c>
      <c r="B2460" s="45"/>
      <c r="C2460" s="17" t="s">
        <v>37</v>
      </c>
      <c r="D2460" s="18">
        <v>12155.95</v>
      </c>
      <c r="E2460" s="19"/>
      <c r="F2460" s="15">
        <f t="shared" si="41"/>
        <v>115004618.08999997</v>
      </c>
    </row>
    <row r="2461" spans="1:6" x14ac:dyDescent="0.2">
      <c r="A2461" s="3">
        <v>45747</v>
      </c>
      <c r="B2461" s="43">
        <v>4107260</v>
      </c>
      <c r="C2461" s="20" t="s">
        <v>372</v>
      </c>
      <c r="D2461" s="18">
        <v>5348196</v>
      </c>
      <c r="E2461" s="19"/>
      <c r="F2461" s="15">
        <f t="shared" si="41"/>
        <v>109656422.08999997</v>
      </c>
    </row>
    <row r="2462" spans="1:6" x14ac:dyDescent="0.2">
      <c r="A2462" s="3">
        <v>45747</v>
      </c>
      <c r="B2462" s="43">
        <v>6352235</v>
      </c>
      <c r="C2462" s="20" t="s">
        <v>373</v>
      </c>
      <c r="D2462" s="18">
        <v>28613939.800000001</v>
      </c>
      <c r="E2462" s="19"/>
      <c r="F2462" s="15">
        <f t="shared" si="41"/>
        <v>81042482.289999977</v>
      </c>
    </row>
    <row r="2463" spans="1:6" x14ac:dyDescent="0.2">
      <c r="A2463" s="3">
        <v>45747</v>
      </c>
      <c r="B2463" s="43">
        <v>419624</v>
      </c>
      <c r="C2463" s="20" t="s">
        <v>374</v>
      </c>
      <c r="D2463" s="19"/>
      <c r="E2463" s="18">
        <v>20000000</v>
      </c>
      <c r="F2463" s="15">
        <f t="shared" si="41"/>
        <v>101042482.28999998</v>
      </c>
    </row>
    <row r="2464" spans="1:6" x14ac:dyDescent="0.2">
      <c r="A2464" s="3">
        <v>45747</v>
      </c>
      <c r="B2464" s="43">
        <v>31986</v>
      </c>
      <c r="C2464" s="17" t="s">
        <v>12</v>
      </c>
      <c r="D2464" s="18">
        <v>252573.26</v>
      </c>
      <c r="E2464" s="19"/>
      <c r="F2464" s="15">
        <f t="shared" si="41"/>
        <v>100789909.02999997</v>
      </c>
    </row>
    <row r="2465" spans="1:6" x14ac:dyDescent="0.2">
      <c r="A2465" s="3">
        <v>45747</v>
      </c>
      <c r="B2465" s="43">
        <v>32052</v>
      </c>
      <c r="C2465" s="17" t="s">
        <v>12</v>
      </c>
      <c r="D2465" s="18">
        <v>375496.62</v>
      </c>
      <c r="E2465" s="19"/>
      <c r="F2465" s="15">
        <f t="shared" si="41"/>
        <v>100414412.40999997</v>
      </c>
    </row>
    <row r="2466" spans="1:6" x14ac:dyDescent="0.2">
      <c r="A2466" s="3">
        <v>45747</v>
      </c>
      <c r="B2466" s="43">
        <v>31997</v>
      </c>
      <c r="C2466" s="17" t="s">
        <v>12</v>
      </c>
      <c r="D2466" s="18">
        <v>2042957.81</v>
      </c>
      <c r="E2466" s="19"/>
      <c r="F2466" s="15">
        <f t="shared" si="41"/>
        <v>98371454.599999964</v>
      </c>
    </row>
    <row r="2467" spans="1:6" x14ac:dyDescent="0.2">
      <c r="A2467" s="3">
        <v>45747</v>
      </c>
      <c r="B2467" s="43">
        <v>32057</v>
      </c>
      <c r="C2467" s="17" t="s">
        <v>12</v>
      </c>
      <c r="D2467" s="18">
        <v>2142744</v>
      </c>
      <c r="E2467" s="19"/>
      <c r="F2467" s="15">
        <f t="shared" si="41"/>
        <v>96228710.599999964</v>
      </c>
    </row>
    <row r="2468" spans="1:6" x14ac:dyDescent="0.2">
      <c r="A2468" s="3">
        <v>45747</v>
      </c>
      <c r="B2468" s="43">
        <v>32007</v>
      </c>
      <c r="C2468" s="17" t="s">
        <v>12</v>
      </c>
      <c r="D2468" s="18">
        <v>4033370</v>
      </c>
      <c r="E2468" s="19"/>
      <c r="F2468" s="15">
        <f t="shared" si="41"/>
        <v>92195340.599999964</v>
      </c>
    </row>
    <row r="2469" spans="1:6" x14ac:dyDescent="0.2">
      <c r="A2469" s="3">
        <v>45747</v>
      </c>
      <c r="B2469" s="45"/>
      <c r="C2469" s="17" t="s">
        <v>95</v>
      </c>
      <c r="D2469" s="18">
        <v>2379</v>
      </c>
      <c r="E2469" s="19"/>
      <c r="F2469" s="15">
        <f t="shared" si="41"/>
        <v>92192961.599999964</v>
      </c>
    </row>
    <row r="2470" spans="1:6" x14ac:dyDescent="0.2">
      <c r="A2470" s="3">
        <v>45747</v>
      </c>
      <c r="B2470" s="45"/>
      <c r="C2470" s="17" t="s">
        <v>232</v>
      </c>
      <c r="D2470" s="18">
        <v>499.59</v>
      </c>
      <c r="E2470" s="19"/>
      <c r="F2470" s="15">
        <f t="shared" si="41"/>
        <v>92192462.009999961</v>
      </c>
    </row>
    <row r="2471" spans="1:6" x14ac:dyDescent="0.2">
      <c r="A2471" s="3">
        <v>45747</v>
      </c>
      <c r="B2471" s="46">
        <v>31926</v>
      </c>
      <c r="C2471" s="58" t="s">
        <v>375</v>
      </c>
      <c r="D2471" s="48">
        <v>50000</v>
      </c>
      <c r="E2471" s="49"/>
      <c r="F2471" s="15">
        <f t="shared" si="41"/>
        <v>92142462.009999961</v>
      </c>
    </row>
    <row r="2472" spans="1:6" x14ac:dyDescent="0.2">
      <c r="A2472" s="3">
        <v>45747</v>
      </c>
      <c r="B2472" s="50"/>
      <c r="C2472" s="59" t="s">
        <v>16</v>
      </c>
      <c r="D2472" s="53">
        <v>302752.28999999998</v>
      </c>
      <c r="E2472" s="24"/>
      <c r="F2472" s="15">
        <f t="shared" si="41"/>
        <v>91839709.719999954</v>
      </c>
    </row>
    <row r="2473" spans="1:6" x14ac:dyDescent="0.2">
      <c r="A2473" s="3">
        <v>45747</v>
      </c>
      <c r="B2473" s="54"/>
      <c r="C2473" s="33" t="s">
        <v>22</v>
      </c>
      <c r="D2473" s="34">
        <v>120000</v>
      </c>
      <c r="E2473" s="35"/>
      <c r="F2473" s="15">
        <f t="shared" si="41"/>
        <v>91719709.719999954</v>
      </c>
    </row>
    <row r="2476" spans="1:6" x14ac:dyDescent="0.2">
      <c r="A2476" s="1" t="s">
        <v>0</v>
      </c>
      <c r="B2476" s="1" t="s">
        <v>1</v>
      </c>
      <c r="C2476" s="1" t="s">
        <v>2</v>
      </c>
      <c r="D2476" s="1" t="s">
        <v>3</v>
      </c>
      <c r="E2476" s="1" t="s">
        <v>4</v>
      </c>
      <c r="F2476" s="1" t="s">
        <v>5</v>
      </c>
    </row>
    <row r="2477" spans="1:6" x14ac:dyDescent="0.2">
      <c r="A2477" s="3">
        <v>45748</v>
      </c>
      <c r="B2477" s="41"/>
      <c r="C2477" s="5" t="s">
        <v>6</v>
      </c>
      <c r="D2477" s="6"/>
      <c r="E2477" s="7"/>
      <c r="F2477" s="8">
        <v>91719709.719999999</v>
      </c>
    </row>
    <row r="2478" spans="1:6" x14ac:dyDescent="0.2">
      <c r="A2478" s="3">
        <v>45747</v>
      </c>
      <c r="B2478" s="60">
        <v>14502</v>
      </c>
      <c r="C2478" s="12" t="s">
        <v>7</v>
      </c>
      <c r="D2478" s="13">
        <v>1485</v>
      </c>
      <c r="E2478" s="14"/>
      <c r="F2478" s="15">
        <f t="shared" ref="F2478:F2541" si="42">+F2477+E2478-D2478</f>
        <v>91718224.719999999</v>
      </c>
    </row>
    <row r="2479" spans="1:6" x14ac:dyDescent="0.2">
      <c r="A2479" s="3">
        <v>45747</v>
      </c>
      <c r="B2479" s="43">
        <v>14502</v>
      </c>
      <c r="C2479" s="17" t="s">
        <v>227</v>
      </c>
      <c r="D2479" s="18">
        <v>311.85000000000002</v>
      </c>
      <c r="E2479" s="19"/>
      <c r="F2479" s="15">
        <f t="shared" si="42"/>
        <v>91717912.870000005</v>
      </c>
    </row>
    <row r="2480" spans="1:6" x14ac:dyDescent="0.2">
      <c r="A2480" s="3">
        <v>45747</v>
      </c>
      <c r="B2480" s="45"/>
      <c r="C2480" s="20" t="s">
        <v>376</v>
      </c>
      <c r="D2480" s="18">
        <v>40000</v>
      </c>
      <c r="E2480" s="19"/>
      <c r="F2480" s="15">
        <f t="shared" si="42"/>
        <v>91677912.870000005</v>
      </c>
    </row>
    <row r="2481" spans="1:6" x14ac:dyDescent="0.2">
      <c r="A2481" s="3">
        <v>45748</v>
      </c>
      <c r="B2481" s="43">
        <v>32117</v>
      </c>
      <c r="C2481" s="17" t="s">
        <v>9</v>
      </c>
      <c r="D2481" s="18">
        <v>41140</v>
      </c>
      <c r="E2481" s="19"/>
      <c r="F2481" s="15">
        <f t="shared" si="42"/>
        <v>91636772.870000005</v>
      </c>
    </row>
    <row r="2482" spans="1:6" x14ac:dyDescent="0.2">
      <c r="A2482" s="3">
        <v>45748</v>
      </c>
      <c r="B2482" s="43">
        <v>32088</v>
      </c>
      <c r="C2482" s="17" t="s">
        <v>9</v>
      </c>
      <c r="D2482" s="18">
        <v>92000</v>
      </c>
      <c r="E2482" s="19"/>
      <c r="F2482" s="15">
        <f t="shared" si="42"/>
        <v>91544772.870000005</v>
      </c>
    </row>
    <row r="2483" spans="1:6" x14ac:dyDescent="0.2">
      <c r="A2483" s="3">
        <v>45748</v>
      </c>
      <c r="B2483" s="43">
        <v>32118</v>
      </c>
      <c r="C2483" s="17" t="s">
        <v>9</v>
      </c>
      <c r="D2483" s="18">
        <v>114220</v>
      </c>
      <c r="E2483" s="19"/>
      <c r="F2483" s="15">
        <f t="shared" si="42"/>
        <v>91430552.870000005</v>
      </c>
    </row>
    <row r="2484" spans="1:6" x14ac:dyDescent="0.2">
      <c r="A2484" s="3">
        <v>45748</v>
      </c>
      <c r="B2484" s="43">
        <v>32037</v>
      </c>
      <c r="C2484" s="17" t="s">
        <v>9</v>
      </c>
      <c r="D2484" s="18">
        <v>227681.4</v>
      </c>
      <c r="E2484" s="19"/>
      <c r="F2484" s="15">
        <f t="shared" si="42"/>
        <v>91202871.469999999</v>
      </c>
    </row>
    <row r="2485" spans="1:6" x14ac:dyDescent="0.2">
      <c r="A2485" s="3">
        <v>45748</v>
      </c>
      <c r="B2485" s="43">
        <v>32086</v>
      </c>
      <c r="C2485" s="17" t="s">
        <v>9</v>
      </c>
      <c r="D2485" s="18">
        <v>260872.65</v>
      </c>
      <c r="E2485" s="19"/>
      <c r="F2485" s="15">
        <f t="shared" si="42"/>
        <v>90941998.819999993</v>
      </c>
    </row>
    <row r="2486" spans="1:6" x14ac:dyDescent="0.2">
      <c r="A2486" s="3">
        <v>45748</v>
      </c>
      <c r="B2486" s="43">
        <v>8727</v>
      </c>
      <c r="C2486" s="17" t="s">
        <v>9</v>
      </c>
      <c r="D2486" s="18">
        <v>425469.2</v>
      </c>
      <c r="E2486" s="19"/>
      <c r="F2486" s="15">
        <f t="shared" si="42"/>
        <v>90516529.61999999</v>
      </c>
    </row>
    <row r="2487" spans="1:6" x14ac:dyDescent="0.2">
      <c r="A2487" s="3">
        <v>45748</v>
      </c>
      <c r="B2487" s="43">
        <v>31988</v>
      </c>
      <c r="C2487" s="17" t="s">
        <v>9</v>
      </c>
      <c r="D2487" s="18">
        <v>445978</v>
      </c>
      <c r="E2487" s="19"/>
      <c r="F2487" s="15">
        <f t="shared" si="42"/>
        <v>90070551.61999999</v>
      </c>
    </row>
    <row r="2488" spans="1:6" x14ac:dyDescent="0.2">
      <c r="A2488" s="3">
        <v>45748</v>
      </c>
      <c r="B2488" s="43">
        <v>32003</v>
      </c>
      <c r="C2488" s="17" t="s">
        <v>9</v>
      </c>
      <c r="D2488" s="18">
        <v>916141.38</v>
      </c>
      <c r="E2488" s="19"/>
      <c r="F2488" s="15">
        <f t="shared" si="42"/>
        <v>89154410.239999995</v>
      </c>
    </row>
    <row r="2489" spans="1:6" x14ac:dyDescent="0.2">
      <c r="A2489" s="3">
        <v>45748</v>
      </c>
      <c r="B2489" s="43">
        <v>31994</v>
      </c>
      <c r="C2489" s="17" t="s">
        <v>9</v>
      </c>
      <c r="D2489" s="18">
        <v>1518164.47</v>
      </c>
      <c r="E2489" s="19"/>
      <c r="F2489" s="15">
        <f t="shared" si="42"/>
        <v>87636245.769999996</v>
      </c>
    </row>
    <row r="2490" spans="1:6" x14ac:dyDescent="0.2">
      <c r="A2490" s="3">
        <v>45748</v>
      </c>
      <c r="B2490" s="43">
        <v>32124</v>
      </c>
      <c r="C2490" s="17" t="s">
        <v>9</v>
      </c>
      <c r="D2490" s="18">
        <v>2620403.69</v>
      </c>
      <c r="E2490" s="19"/>
      <c r="F2490" s="15">
        <f t="shared" si="42"/>
        <v>85015842.079999998</v>
      </c>
    </row>
    <row r="2491" spans="1:6" x14ac:dyDescent="0.2">
      <c r="A2491" s="3">
        <v>45748</v>
      </c>
      <c r="B2491" s="43">
        <v>31981</v>
      </c>
      <c r="C2491" s="17" t="s">
        <v>9</v>
      </c>
      <c r="D2491" s="18">
        <v>3059004</v>
      </c>
      <c r="E2491" s="19"/>
      <c r="F2491" s="15">
        <f t="shared" si="42"/>
        <v>81956838.079999998</v>
      </c>
    </row>
    <row r="2492" spans="1:6" x14ac:dyDescent="0.2">
      <c r="A2492" s="3">
        <v>45748</v>
      </c>
      <c r="B2492" s="43">
        <v>32094</v>
      </c>
      <c r="C2492" s="17" t="s">
        <v>9</v>
      </c>
      <c r="D2492" s="18">
        <v>3063134.03</v>
      </c>
      <c r="E2492" s="19"/>
      <c r="F2492" s="15">
        <f t="shared" si="42"/>
        <v>78893704.049999997</v>
      </c>
    </row>
    <row r="2493" spans="1:6" x14ac:dyDescent="0.2">
      <c r="A2493" s="3">
        <v>45748</v>
      </c>
      <c r="B2493" s="43">
        <v>31912</v>
      </c>
      <c r="C2493" s="17" t="s">
        <v>9</v>
      </c>
      <c r="D2493" s="18">
        <v>3070118.46</v>
      </c>
      <c r="E2493" s="19"/>
      <c r="F2493" s="15">
        <f t="shared" si="42"/>
        <v>75823585.590000004</v>
      </c>
    </row>
    <row r="2494" spans="1:6" x14ac:dyDescent="0.2">
      <c r="A2494" s="3">
        <v>45748</v>
      </c>
      <c r="B2494" s="43">
        <v>32134</v>
      </c>
      <c r="C2494" s="17" t="s">
        <v>9</v>
      </c>
      <c r="D2494" s="18">
        <v>3689719.77</v>
      </c>
      <c r="E2494" s="19"/>
      <c r="F2494" s="15">
        <f t="shared" si="42"/>
        <v>72133865.820000008</v>
      </c>
    </row>
    <row r="2495" spans="1:6" x14ac:dyDescent="0.2">
      <c r="A2495" s="3">
        <v>45748</v>
      </c>
      <c r="B2495" s="43">
        <v>31979</v>
      </c>
      <c r="C2495" s="17" t="s">
        <v>9</v>
      </c>
      <c r="D2495" s="18">
        <v>4230678.99</v>
      </c>
      <c r="E2495" s="19"/>
      <c r="F2495" s="15">
        <f t="shared" si="42"/>
        <v>67903186.830000013</v>
      </c>
    </row>
    <row r="2496" spans="1:6" x14ac:dyDescent="0.2">
      <c r="A2496" s="3">
        <v>45748</v>
      </c>
      <c r="B2496" s="43">
        <v>32001</v>
      </c>
      <c r="C2496" s="17" t="s">
        <v>9</v>
      </c>
      <c r="D2496" s="18">
        <v>6946163</v>
      </c>
      <c r="E2496" s="19"/>
      <c r="F2496" s="15">
        <f t="shared" si="42"/>
        <v>60957023.830000013</v>
      </c>
    </row>
    <row r="2497" spans="1:6" x14ac:dyDescent="0.2">
      <c r="A2497" s="3">
        <v>45748</v>
      </c>
      <c r="B2497" s="46">
        <v>32060</v>
      </c>
      <c r="C2497" s="47" t="s">
        <v>9</v>
      </c>
      <c r="D2497" s="48">
        <v>9900954.6600000001</v>
      </c>
      <c r="E2497" s="49"/>
      <c r="F2497" s="15">
        <f t="shared" si="42"/>
        <v>51056069.170000017</v>
      </c>
    </row>
    <row r="2498" spans="1:6" x14ac:dyDescent="0.2">
      <c r="A2498" s="3">
        <v>45748</v>
      </c>
      <c r="B2498" s="50"/>
      <c r="C2498" s="22" t="s">
        <v>143</v>
      </c>
      <c r="D2498" s="23">
        <v>1280</v>
      </c>
      <c r="E2498" s="24"/>
      <c r="F2498" s="15">
        <f t="shared" si="42"/>
        <v>51054789.170000017</v>
      </c>
    </row>
    <row r="2499" spans="1:6" x14ac:dyDescent="0.2">
      <c r="A2499" s="3">
        <v>45748</v>
      </c>
      <c r="B2499" s="45"/>
      <c r="C2499" s="17" t="s">
        <v>227</v>
      </c>
      <c r="D2499" s="18">
        <v>268.8</v>
      </c>
      <c r="E2499" s="19"/>
      <c r="F2499" s="15">
        <f t="shared" si="42"/>
        <v>51054520.37000002</v>
      </c>
    </row>
    <row r="2500" spans="1:6" x14ac:dyDescent="0.2">
      <c r="A2500" s="3">
        <v>45748</v>
      </c>
      <c r="B2500" s="43">
        <v>159747</v>
      </c>
      <c r="C2500" s="20" t="s">
        <v>94</v>
      </c>
      <c r="D2500" s="19"/>
      <c r="E2500" s="18">
        <v>416415.83</v>
      </c>
      <c r="F2500" s="15">
        <f t="shared" si="42"/>
        <v>51470936.200000018</v>
      </c>
    </row>
    <row r="2501" spans="1:6" x14ac:dyDescent="0.2">
      <c r="A2501" s="3">
        <v>45748</v>
      </c>
      <c r="B2501" s="43">
        <v>31974</v>
      </c>
      <c r="C2501" s="17" t="s">
        <v>12</v>
      </c>
      <c r="D2501" s="18">
        <v>521920</v>
      </c>
      <c r="E2501" s="19"/>
      <c r="F2501" s="15">
        <f t="shared" si="42"/>
        <v>50949016.200000018</v>
      </c>
    </row>
    <row r="2502" spans="1:6" x14ac:dyDescent="0.2">
      <c r="A2502" s="3">
        <v>45748</v>
      </c>
      <c r="B2502" s="43">
        <v>32096</v>
      </c>
      <c r="C2502" s="17" t="s">
        <v>12</v>
      </c>
      <c r="D2502" s="18">
        <v>3647274</v>
      </c>
      <c r="E2502" s="19"/>
      <c r="F2502" s="15">
        <f t="shared" si="42"/>
        <v>47301742.200000018</v>
      </c>
    </row>
    <row r="2503" spans="1:6" x14ac:dyDescent="0.2">
      <c r="A2503" s="3">
        <v>45748</v>
      </c>
      <c r="B2503" s="45"/>
      <c r="C2503" s="17" t="s">
        <v>16</v>
      </c>
      <c r="D2503" s="18">
        <v>269006.3</v>
      </c>
      <c r="E2503" s="19"/>
      <c r="F2503" s="15">
        <f t="shared" si="42"/>
        <v>47032735.900000021</v>
      </c>
    </row>
    <row r="2504" spans="1:6" x14ac:dyDescent="0.2">
      <c r="A2504" s="3">
        <v>45748</v>
      </c>
      <c r="B2504" s="45"/>
      <c r="C2504" s="17" t="s">
        <v>22</v>
      </c>
      <c r="D2504" s="18">
        <v>2498.4899999999998</v>
      </c>
      <c r="E2504" s="19"/>
      <c r="F2504" s="15">
        <f t="shared" si="42"/>
        <v>47030237.410000019</v>
      </c>
    </row>
    <row r="2505" spans="1:6" x14ac:dyDescent="0.2">
      <c r="A2505" s="3">
        <v>45748</v>
      </c>
      <c r="B2505" s="45"/>
      <c r="C2505" s="20" t="s">
        <v>377</v>
      </c>
      <c r="D2505" s="18">
        <v>832.83</v>
      </c>
      <c r="E2505" s="19"/>
      <c r="F2505" s="15">
        <f t="shared" si="42"/>
        <v>47029404.580000021</v>
      </c>
    </row>
    <row r="2506" spans="1:6" x14ac:dyDescent="0.2">
      <c r="A2506" s="3">
        <v>45750</v>
      </c>
      <c r="B2506" s="43">
        <v>32186</v>
      </c>
      <c r="C2506" s="17" t="s">
        <v>9</v>
      </c>
      <c r="D2506" s="18">
        <v>6000000</v>
      </c>
      <c r="E2506" s="19"/>
      <c r="F2506" s="15">
        <f t="shared" si="42"/>
        <v>41029404.580000021</v>
      </c>
    </row>
    <row r="2507" spans="1:6" x14ac:dyDescent="0.2">
      <c r="A2507" s="3">
        <v>45750</v>
      </c>
      <c r="B2507" s="43">
        <v>32069</v>
      </c>
      <c r="C2507" s="17" t="s">
        <v>9</v>
      </c>
      <c r="D2507" s="18">
        <v>6336726.8799999999</v>
      </c>
      <c r="E2507" s="19"/>
      <c r="F2507" s="15">
        <f t="shared" si="42"/>
        <v>34692677.700000018</v>
      </c>
    </row>
    <row r="2508" spans="1:6" x14ac:dyDescent="0.2">
      <c r="A2508" s="3">
        <v>45750</v>
      </c>
      <c r="B2508" s="43">
        <v>512651</v>
      </c>
      <c r="C2508" s="20" t="s">
        <v>234</v>
      </c>
      <c r="D2508" s="25"/>
      <c r="E2508" s="25">
        <v>100000000</v>
      </c>
      <c r="F2508" s="15">
        <f t="shared" si="42"/>
        <v>134692677.70000002</v>
      </c>
    </row>
    <row r="2509" spans="1:6" x14ac:dyDescent="0.2">
      <c r="A2509" s="3">
        <v>45750</v>
      </c>
      <c r="B2509" s="43">
        <v>31606</v>
      </c>
      <c r="C2509" s="20" t="s">
        <v>11</v>
      </c>
      <c r="D2509" s="18">
        <v>7368684</v>
      </c>
      <c r="E2509" s="19"/>
      <c r="F2509" s="15">
        <f t="shared" si="42"/>
        <v>127323993.70000002</v>
      </c>
    </row>
    <row r="2510" spans="1:6" x14ac:dyDescent="0.2">
      <c r="A2510" s="3">
        <v>45750</v>
      </c>
      <c r="B2510" s="43">
        <v>32201</v>
      </c>
      <c r="C2510" s="17" t="s">
        <v>12</v>
      </c>
      <c r="D2510" s="18">
        <v>6753303</v>
      </c>
      <c r="E2510" s="19"/>
      <c r="F2510" s="15">
        <f t="shared" si="42"/>
        <v>120570690.70000002</v>
      </c>
    </row>
    <row r="2511" spans="1:6" x14ac:dyDescent="0.2">
      <c r="A2511" s="3">
        <v>45750</v>
      </c>
      <c r="B2511" s="43">
        <v>31839</v>
      </c>
      <c r="C2511" s="17" t="s">
        <v>12</v>
      </c>
      <c r="D2511" s="18">
        <v>8885996.0500000007</v>
      </c>
      <c r="E2511" s="19"/>
      <c r="F2511" s="15">
        <f t="shared" si="42"/>
        <v>111684694.65000002</v>
      </c>
    </row>
    <row r="2512" spans="1:6" x14ac:dyDescent="0.2">
      <c r="A2512" s="3">
        <v>45750</v>
      </c>
      <c r="B2512" s="45"/>
      <c r="C2512" s="17" t="s">
        <v>13</v>
      </c>
      <c r="D2512" s="18">
        <v>74932050</v>
      </c>
      <c r="E2512" s="19"/>
      <c r="F2512" s="15">
        <f t="shared" si="42"/>
        <v>36752644.650000021</v>
      </c>
    </row>
    <row r="2513" spans="1:6" x14ac:dyDescent="0.2">
      <c r="A2513" s="3">
        <v>45750</v>
      </c>
      <c r="B2513" s="51"/>
      <c r="C2513" s="47" t="s">
        <v>14</v>
      </c>
      <c r="D2513" s="48">
        <v>2579.04</v>
      </c>
      <c r="E2513" s="49"/>
      <c r="F2513" s="15">
        <f t="shared" si="42"/>
        <v>36750065.610000022</v>
      </c>
    </row>
    <row r="2514" spans="1:6" x14ac:dyDescent="0.2">
      <c r="A2514" s="3">
        <v>45750</v>
      </c>
      <c r="B2514" s="50"/>
      <c r="C2514" s="22" t="s">
        <v>232</v>
      </c>
      <c r="D2514" s="23">
        <v>541.6</v>
      </c>
      <c r="E2514" s="24"/>
      <c r="F2514" s="15">
        <f t="shared" si="42"/>
        <v>36749524.01000002</v>
      </c>
    </row>
    <row r="2515" spans="1:6" x14ac:dyDescent="0.2">
      <c r="A2515" s="3">
        <v>45750</v>
      </c>
      <c r="B2515" s="45"/>
      <c r="C2515" s="17" t="s">
        <v>16</v>
      </c>
      <c r="D2515" s="18">
        <v>661684.28</v>
      </c>
      <c r="E2515" s="19"/>
      <c r="F2515" s="15">
        <f t="shared" si="42"/>
        <v>36087839.730000019</v>
      </c>
    </row>
    <row r="2516" spans="1:6" x14ac:dyDescent="0.2">
      <c r="A2516" s="3">
        <v>45750</v>
      </c>
      <c r="B2516" s="45"/>
      <c r="C2516" s="17" t="s">
        <v>22</v>
      </c>
      <c r="D2516" s="18">
        <v>600000</v>
      </c>
      <c r="E2516" s="19"/>
      <c r="F2516" s="15">
        <f t="shared" si="42"/>
        <v>35487839.730000019</v>
      </c>
    </row>
    <row r="2517" spans="1:6" x14ac:dyDescent="0.2">
      <c r="A2517" s="3">
        <v>45750</v>
      </c>
      <c r="B2517" s="45"/>
      <c r="C2517" s="20" t="s">
        <v>378</v>
      </c>
      <c r="D2517" s="18">
        <v>200000</v>
      </c>
      <c r="E2517" s="19"/>
      <c r="F2517" s="15">
        <f t="shared" si="42"/>
        <v>35287839.730000019</v>
      </c>
    </row>
    <row r="2518" spans="1:6" x14ac:dyDescent="0.2">
      <c r="A2518" s="3">
        <v>45751</v>
      </c>
      <c r="B2518" s="43">
        <v>32123</v>
      </c>
      <c r="C2518" s="17" t="s">
        <v>9</v>
      </c>
      <c r="D2518" s="18">
        <v>1119943.3999999999</v>
      </c>
      <c r="E2518" s="19"/>
      <c r="F2518" s="15">
        <f t="shared" si="42"/>
        <v>34167896.330000021</v>
      </c>
    </row>
    <row r="2519" spans="1:6" x14ac:dyDescent="0.2">
      <c r="A2519" s="3">
        <v>45751</v>
      </c>
      <c r="B2519" s="43">
        <v>32188</v>
      </c>
      <c r="C2519" s="17" t="s">
        <v>9</v>
      </c>
      <c r="D2519" s="18">
        <v>3268318</v>
      </c>
      <c r="E2519" s="19"/>
      <c r="F2519" s="15">
        <f t="shared" si="42"/>
        <v>30899578.330000021</v>
      </c>
    </row>
    <row r="2520" spans="1:6" x14ac:dyDescent="0.2">
      <c r="A2520" s="3">
        <v>45751</v>
      </c>
      <c r="B2520" s="43">
        <v>4161206</v>
      </c>
      <c r="C2520" s="20" t="s">
        <v>228</v>
      </c>
      <c r="D2520" s="18">
        <v>2151000</v>
      </c>
      <c r="E2520" s="19"/>
      <c r="F2520" s="15">
        <f t="shared" si="42"/>
        <v>28748578.330000021</v>
      </c>
    </row>
    <row r="2521" spans="1:6" x14ac:dyDescent="0.2">
      <c r="A2521" s="3">
        <v>45751</v>
      </c>
      <c r="B2521" s="45"/>
      <c r="C2521" s="17" t="s">
        <v>16</v>
      </c>
      <c r="D2521" s="18">
        <v>40435.57</v>
      </c>
      <c r="E2521" s="19"/>
      <c r="F2521" s="15">
        <f t="shared" si="42"/>
        <v>28708142.76000002</v>
      </c>
    </row>
    <row r="2522" spans="1:6" x14ac:dyDescent="0.2">
      <c r="A2522" s="3">
        <v>45754</v>
      </c>
      <c r="B2522" s="43">
        <v>32161</v>
      </c>
      <c r="C2522" s="17" t="s">
        <v>9</v>
      </c>
      <c r="D2522" s="18">
        <v>180200.4</v>
      </c>
      <c r="E2522" s="19"/>
      <c r="F2522" s="15">
        <f t="shared" si="42"/>
        <v>28527942.360000022</v>
      </c>
    </row>
    <row r="2523" spans="1:6" x14ac:dyDescent="0.2">
      <c r="A2523" s="3">
        <v>45754</v>
      </c>
      <c r="B2523" s="43">
        <v>32140</v>
      </c>
      <c r="C2523" s="17" t="s">
        <v>9</v>
      </c>
      <c r="D2523" s="18">
        <v>528526.6</v>
      </c>
      <c r="E2523" s="19"/>
      <c r="F2523" s="15">
        <f t="shared" si="42"/>
        <v>27999415.76000002</v>
      </c>
    </row>
    <row r="2524" spans="1:6" x14ac:dyDescent="0.2">
      <c r="A2524" s="3">
        <v>45754</v>
      </c>
      <c r="B2524" s="43">
        <v>4009988</v>
      </c>
      <c r="C2524" s="20" t="s">
        <v>19</v>
      </c>
      <c r="D2524" s="18">
        <v>4056808.8</v>
      </c>
      <c r="E2524" s="19"/>
      <c r="F2524" s="15">
        <f t="shared" si="42"/>
        <v>23942606.96000002</v>
      </c>
    </row>
    <row r="2525" spans="1:6" x14ac:dyDescent="0.2">
      <c r="A2525" s="3">
        <v>45754</v>
      </c>
      <c r="B2525" s="43">
        <v>4014455</v>
      </c>
      <c r="C2525" s="20" t="s">
        <v>379</v>
      </c>
      <c r="D2525" s="18">
        <v>3881042.54</v>
      </c>
      <c r="E2525" s="19"/>
      <c r="F2525" s="15">
        <f t="shared" si="42"/>
        <v>20061564.42000002</v>
      </c>
    </row>
    <row r="2526" spans="1:6" x14ac:dyDescent="0.2">
      <c r="A2526" s="3">
        <v>45754</v>
      </c>
      <c r="B2526" s="43">
        <v>4014456</v>
      </c>
      <c r="C2526" s="20" t="s">
        <v>380</v>
      </c>
      <c r="D2526" s="18">
        <v>1481314</v>
      </c>
      <c r="E2526" s="19"/>
      <c r="F2526" s="15">
        <f t="shared" si="42"/>
        <v>18580250.42000002</v>
      </c>
    </row>
    <row r="2527" spans="1:6" x14ac:dyDescent="0.2">
      <c r="A2527" s="3">
        <v>45754</v>
      </c>
      <c r="B2527" s="43">
        <v>31926</v>
      </c>
      <c r="C2527" s="17" t="s">
        <v>381</v>
      </c>
      <c r="D2527" s="19"/>
      <c r="E2527" s="18">
        <v>25000</v>
      </c>
      <c r="F2527" s="15">
        <f t="shared" si="42"/>
        <v>18605250.42000002</v>
      </c>
    </row>
    <row r="2528" spans="1:6" x14ac:dyDescent="0.2">
      <c r="A2528" s="3">
        <v>45754</v>
      </c>
      <c r="B2528" s="43">
        <v>32198</v>
      </c>
      <c r="C2528" s="17" t="s">
        <v>12</v>
      </c>
      <c r="D2528" s="18">
        <v>488303.32</v>
      </c>
      <c r="E2528" s="19"/>
      <c r="F2528" s="15">
        <f t="shared" si="42"/>
        <v>18116947.10000002</v>
      </c>
    </row>
    <row r="2529" spans="1:6" x14ac:dyDescent="0.2">
      <c r="A2529" s="3">
        <v>45754</v>
      </c>
      <c r="B2529" s="45"/>
      <c r="C2529" s="17" t="s">
        <v>22</v>
      </c>
      <c r="D2529" s="18">
        <v>150</v>
      </c>
      <c r="E2529" s="19"/>
      <c r="F2529" s="15">
        <f t="shared" si="42"/>
        <v>18116797.10000002</v>
      </c>
    </row>
    <row r="2530" spans="1:6" x14ac:dyDescent="0.2">
      <c r="A2530" s="3">
        <v>45754</v>
      </c>
      <c r="B2530" s="45"/>
      <c r="C2530" s="17" t="s">
        <v>16</v>
      </c>
      <c r="D2530" s="18">
        <v>63697.17</v>
      </c>
      <c r="E2530" s="19"/>
      <c r="F2530" s="15">
        <f t="shared" si="42"/>
        <v>18053099.930000018</v>
      </c>
    </row>
    <row r="2531" spans="1:6" x14ac:dyDescent="0.2">
      <c r="A2531" s="3">
        <v>45754</v>
      </c>
      <c r="B2531" s="43">
        <v>12339</v>
      </c>
      <c r="C2531" s="20" t="s">
        <v>7</v>
      </c>
      <c r="D2531" s="18">
        <v>1485</v>
      </c>
      <c r="E2531" s="19"/>
      <c r="F2531" s="15">
        <f t="shared" si="42"/>
        <v>18051614.930000018</v>
      </c>
    </row>
    <row r="2532" spans="1:6" x14ac:dyDescent="0.2">
      <c r="A2532" s="3">
        <v>45754</v>
      </c>
      <c r="B2532" s="43">
        <v>12339</v>
      </c>
      <c r="C2532" s="17" t="s">
        <v>227</v>
      </c>
      <c r="D2532" s="18">
        <v>311.85000000000002</v>
      </c>
      <c r="E2532" s="19"/>
      <c r="F2532" s="15">
        <f t="shared" si="42"/>
        <v>18051303.080000017</v>
      </c>
    </row>
    <row r="2533" spans="1:6" x14ac:dyDescent="0.2">
      <c r="A2533" s="3">
        <v>45754</v>
      </c>
      <c r="B2533" s="43">
        <v>12340</v>
      </c>
      <c r="C2533" s="20" t="s">
        <v>7</v>
      </c>
      <c r="D2533" s="18">
        <v>1485</v>
      </c>
      <c r="E2533" s="19"/>
      <c r="F2533" s="15">
        <f t="shared" si="42"/>
        <v>18049818.080000017</v>
      </c>
    </row>
    <row r="2534" spans="1:6" x14ac:dyDescent="0.2">
      <c r="A2534" s="3">
        <v>45754</v>
      </c>
      <c r="B2534" s="43">
        <v>12340</v>
      </c>
      <c r="C2534" s="17" t="s">
        <v>227</v>
      </c>
      <c r="D2534" s="18">
        <v>311.85000000000002</v>
      </c>
      <c r="E2534" s="19"/>
      <c r="F2534" s="15">
        <f t="shared" si="42"/>
        <v>18049506.230000015</v>
      </c>
    </row>
    <row r="2535" spans="1:6" x14ac:dyDescent="0.2">
      <c r="A2535" s="3">
        <v>45754</v>
      </c>
      <c r="B2535" s="45"/>
      <c r="C2535" s="20" t="s">
        <v>382</v>
      </c>
      <c r="D2535" s="18">
        <v>50</v>
      </c>
      <c r="E2535" s="19"/>
      <c r="F2535" s="15">
        <f t="shared" si="42"/>
        <v>18049456.230000015</v>
      </c>
    </row>
    <row r="2536" spans="1:6" x14ac:dyDescent="0.2">
      <c r="A2536" s="3">
        <v>45755</v>
      </c>
      <c r="B2536" s="43">
        <v>41354424</v>
      </c>
      <c r="C2536" s="17" t="s">
        <v>383</v>
      </c>
      <c r="D2536" s="18">
        <v>52078.76</v>
      </c>
      <c r="E2536" s="19"/>
      <c r="F2536" s="15">
        <f t="shared" si="42"/>
        <v>17997377.470000014</v>
      </c>
    </row>
    <row r="2537" spans="1:6" x14ac:dyDescent="0.2">
      <c r="A2537" s="3">
        <v>45755</v>
      </c>
      <c r="B2537" s="45"/>
      <c r="C2537" s="17" t="s">
        <v>16</v>
      </c>
      <c r="D2537" s="18">
        <v>334.33</v>
      </c>
      <c r="E2537" s="19"/>
      <c r="F2537" s="15">
        <f t="shared" si="42"/>
        <v>17997043.140000015</v>
      </c>
    </row>
    <row r="2538" spans="1:6" x14ac:dyDescent="0.2">
      <c r="A2538" s="3">
        <v>45756</v>
      </c>
      <c r="B2538" s="43">
        <v>32095</v>
      </c>
      <c r="C2538" s="17" t="s">
        <v>9</v>
      </c>
      <c r="D2538" s="18">
        <v>608420.89</v>
      </c>
      <c r="E2538" s="19"/>
      <c r="F2538" s="15">
        <f t="shared" si="42"/>
        <v>17388622.250000015</v>
      </c>
    </row>
    <row r="2539" spans="1:6" x14ac:dyDescent="0.2">
      <c r="A2539" s="3">
        <v>45756</v>
      </c>
      <c r="B2539" s="43">
        <v>31993</v>
      </c>
      <c r="C2539" s="17" t="s">
        <v>9</v>
      </c>
      <c r="D2539" s="18">
        <v>732050</v>
      </c>
      <c r="E2539" s="19"/>
      <c r="F2539" s="15">
        <f t="shared" si="42"/>
        <v>16656572.250000015</v>
      </c>
    </row>
    <row r="2540" spans="1:6" x14ac:dyDescent="0.2">
      <c r="A2540" s="3">
        <v>45756</v>
      </c>
      <c r="B2540" s="46">
        <v>2786</v>
      </c>
      <c r="C2540" s="9" t="s">
        <v>76</v>
      </c>
      <c r="D2540" s="48">
        <v>159785</v>
      </c>
      <c r="E2540" s="49"/>
      <c r="F2540" s="15">
        <f t="shared" si="42"/>
        <v>16496787.250000015</v>
      </c>
    </row>
    <row r="2541" spans="1:6" x14ac:dyDescent="0.2">
      <c r="A2541" s="3">
        <v>45756</v>
      </c>
      <c r="B2541" s="44">
        <v>12165</v>
      </c>
      <c r="C2541" s="28" t="s">
        <v>21</v>
      </c>
      <c r="D2541" s="30"/>
      <c r="E2541" s="31">
        <v>158252.1</v>
      </c>
      <c r="F2541" s="15">
        <f t="shared" si="42"/>
        <v>16655039.350000015</v>
      </c>
    </row>
    <row r="2542" spans="1:6" x14ac:dyDescent="0.2">
      <c r="A2542" s="3">
        <v>45756</v>
      </c>
      <c r="B2542" s="45"/>
      <c r="C2542" s="17" t="s">
        <v>22</v>
      </c>
      <c r="D2542" s="18">
        <v>949.51</v>
      </c>
      <c r="E2542" s="19"/>
      <c r="F2542" s="15">
        <f t="shared" ref="F2542:F2605" si="43">+F2541+E2542-D2542</f>
        <v>16654089.840000015</v>
      </c>
    </row>
    <row r="2543" spans="1:6" x14ac:dyDescent="0.2">
      <c r="A2543" s="3">
        <v>45756</v>
      </c>
      <c r="B2543" s="45"/>
      <c r="C2543" s="17" t="s">
        <v>16</v>
      </c>
      <c r="D2543" s="18">
        <v>9001.5400000000009</v>
      </c>
      <c r="E2543" s="19"/>
      <c r="F2543" s="15">
        <f t="shared" si="43"/>
        <v>16645088.300000016</v>
      </c>
    </row>
    <row r="2544" spans="1:6" x14ac:dyDescent="0.2">
      <c r="A2544" s="3">
        <v>45756</v>
      </c>
      <c r="B2544" s="45"/>
      <c r="C2544" s="20" t="s">
        <v>384</v>
      </c>
      <c r="D2544" s="18">
        <v>316.5</v>
      </c>
      <c r="E2544" s="19"/>
      <c r="F2544" s="15">
        <f t="shared" si="43"/>
        <v>16644771.800000016</v>
      </c>
    </row>
    <row r="2545" spans="1:6" x14ac:dyDescent="0.2">
      <c r="A2545" s="3">
        <v>45757</v>
      </c>
      <c r="B2545" s="43">
        <v>38403824</v>
      </c>
      <c r="C2545" s="20" t="s">
        <v>385</v>
      </c>
      <c r="D2545" s="19"/>
      <c r="E2545" s="18">
        <v>16000</v>
      </c>
      <c r="F2545" s="15">
        <f t="shared" si="43"/>
        <v>16660771.800000016</v>
      </c>
    </row>
    <row r="2546" spans="1:6" x14ac:dyDescent="0.2">
      <c r="A2546" s="3">
        <v>45757</v>
      </c>
      <c r="B2546" s="43">
        <v>4256142</v>
      </c>
      <c r="C2546" s="20" t="s">
        <v>386</v>
      </c>
      <c r="D2546" s="18">
        <v>1709730</v>
      </c>
      <c r="E2546" s="19"/>
      <c r="F2546" s="15">
        <f t="shared" si="43"/>
        <v>14951041.800000016</v>
      </c>
    </row>
    <row r="2547" spans="1:6" x14ac:dyDescent="0.2">
      <c r="A2547" s="3">
        <v>45757</v>
      </c>
      <c r="B2547" s="45"/>
      <c r="C2547" s="17" t="s">
        <v>22</v>
      </c>
      <c r="D2547" s="18">
        <v>96</v>
      </c>
      <c r="E2547" s="19"/>
      <c r="F2547" s="15">
        <f t="shared" si="43"/>
        <v>14950945.800000016</v>
      </c>
    </row>
    <row r="2548" spans="1:6" x14ac:dyDescent="0.2">
      <c r="A2548" s="3">
        <v>45757</v>
      </c>
      <c r="B2548" s="45"/>
      <c r="C2548" s="17" t="s">
        <v>16</v>
      </c>
      <c r="D2548" s="18">
        <v>10260.280000000001</v>
      </c>
      <c r="E2548" s="19"/>
      <c r="F2548" s="15">
        <f t="shared" si="43"/>
        <v>14940685.520000016</v>
      </c>
    </row>
    <row r="2549" spans="1:6" x14ac:dyDescent="0.2">
      <c r="A2549" s="3">
        <v>45757</v>
      </c>
      <c r="B2549" s="43">
        <v>13984</v>
      </c>
      <c r="C2549" s="20" t="s">
        <v>7</v>
      </c>
      <c r="D2549" s="18">
        <v>1485</v>
      </c>
      <c r="E2549" s="19"/>
      <c r="F2549" s="15">
        <f t="shared" si="43"/>
        <v>14939200.520000016</v>
      </c>
    </row>
    <row r="2550" spans="1:6" x14ac:dyDescent="0.2">
      <c r="A2550" s="3">
        <v>45757</v>
      </c>
      <c r="B2550" s="43">
        <v>13984</v>
      </c>
      <c r="C2550" s="17" t="s">
        <v>227</v>
      </c>
      <c r="D2550" s="18">
        <v>311.85000000000002</v>
      </c>
      <c r="E2550" s="19"/>
      <c r="F2550" s="15">
        <f t="shared" si="43"/>
        <v>14938888.670000017</v>
      </c>
    </row>
    <row r="2551" spans="1:6" x14ac:dyDescent="0.2">
      <c r="A2551" s="3">
        <v>45757</v>
      </c>
      <c r="B2551" s="45"/>
      <c r="C2551" s="20" t="s">
        <v>387</v>
      </c>
      <c r="D2551" s="18">
        <v>32</v>
      </c>
      <c r="E2551" s="19"/>
      <c r="F2551" s="15">
        <f t="shared" si="43"/>
        <v>14938856.670000017</v>
      </c>
    </row>
    <row r="2552" spans="1:6" x14ac:dyDescent="0.2">
      <c r="A2552" s="3">
        <v>45758</v>
      </c>
      <c r="B2552" s="43">
        <v>9249501</v>
      </c>
      <c r="C2552" s="20" t="s">
        <v>388</v>
      </c>
      <c r="D2552" s="18">
        <v>500000</v>
      </c>
      <c r="E2552" s="19"/>
      <c r="F2552" s="15">
        <f t="shared" si="43"/>
        <v>14438856.670000017</v>
      </c>
    </row>
    <row r="2553" spans="1:6" x14ac:dyDescent="0.2">
      <c r="A2553" s="3">
        <v>45758</v>
      </c>
      <c r="B2553" s="43">
        <v>5103794</v>
      </c>
      <c r="C2553" s="20" t="s">
        <v>389</v>
      </c>
      <c r="D2553" s="19"/>
      <c r="E2553" s="18">
        <v>18100</v>
      </c>
      <c r="F2553" s="15">
        <f t="shared" si="43"/>
        <v>14456956.670000017</v>
      </c>
    </row>
    <row r="2554" spans="1:6" x14ac:dyDescent="0.2">
      <c r="A2554" s="3">
        <v>45758</v>
      </c>
      <c r="B2554" s="43">
        <v>63311419</v>
      </c>
      <c r="C2554" s="20" t="s">
        <v>390</v>
      </c>
      <c r="D2554" s="18">
        <v>2607605</v>
      </c>
      <c r="E2554" s="19"/>
      <c r="F2554" s="15">
        <f t="shared" si="43"/>
        <v>11849351.670000017</v>
      </c>
    </row>
    <row r="2555" spans="1:6" x14ac:dyDescent="0.2">
      <c r="A2555" s="3">
        <v>45758</v>
      </c>
      <c r="B2555" s="43">
        <v>63311420</v>
      </c>
      <c r="C2555" s="20" t="s">
        <v>391</v>
      </c>
      <c r="D2555" s="18">
        <v>390000</v>
      </c>
      <c r="E2555" s="19"/>
      <c r="F2555" s="15">
        <f t="shared" si="43"/>
        <v>11459351.670000017</v>
      </c>
    </row>
    <row r="2556" spans="1:6" x14ac:dyDescent="0.2">
      <c r="A2556" s="3">
        <v>45758</v>
      </c>
      <c r="B2556" s="43">
        <v>63311435</v>
      </c>
      <c r="C2556" s="20" t="s">
        <v>392</v>
      </c>
      <c r="D2556" s="18">
        <v>170200</v>
      </c>
      <c r="E2556" s="19"/>
      <c r="F2556" s="15">
        <f t="shared" si="43"/>
        <v>11289151.670000017</v>
      </c>
    </row>
    <row r="2557" spans="1:6" x14ac:dyDescent="0.2">
      <c r="A2557" s="3">
        <v>45758</v>
      </c>
      <c r="B2557" s="43">
        <v>63311446</v>
      </c>
      <c r="C2557" s="20" t="s">
        <v>393</v>
      </c>
      <c r="D2557" s="18">
        <v>270000</v>
      </c>
      <c r="E2557" s="19"/>
      <c r="F2557" s="15">
        <f t="shared" si="43"/>
        <v>11019151.670000017</v>
      </c>
    </row>
    <row r="2558" spans="1:6" x14ac:dyDescent="0.2">
      <c r="A2558" s="3">
        <v>45758</v>
      </c>
      <c r="B2558" s="43">
        <v>32059</v>
      </c>
      <c r="C2558" s="17" t="s">
        <v>12</v>
      </c>
      <c r="D2558" s="18">
        <v>1088933.5900000001</v>
      </c>
      <c r="E2558" s="19"/>
      <c r="F2558" s="15">
        <f t="shared" si="43"/>
        <v>9930218.0800000168</v>
      </c>
    </row>
    <row r="2559" spans="1:6" x14ac:dyDescent="0.2">
      <c r="A2559" s="3">
        <v>45758</v>
      </c>
      <c r="B2559" s="43">
        <v>31933</v>
      </c>
      <c r="C2559" s="17" t="s">
        <v>12</v>
      </c>
      <c r="D2559" s="18">
        <v>1304815.6000000001</v>
      </c>
      <c r="E2559" s="19"/>
      <c r="F2559" s="15">
        <f t="shared" si="43"/>
        <v>8625402.4800000172</v>
      </c>
    </row>
    <row r="2560" spans="1:6" x14ac:dyDescent="0.2">
      <c r="A2560" s="3">
        <v>45758</v>
      </c>
      <c r="B2560" s="45"/>
      <c r="C2560" s="17" t="s">
        <v>16</v>
      </c>
      <c r="D2560" s="18">
        <v>38000.29</v>
      </c>
      <c r="E2560" s="19"/>
      <c r="F2560" s="15">
        <f t="shared" si="43"/>
        <v>8587402.1900000181</v>
      </c>
    </row>
    <row r="2561" spans="1:6" x14ac:dyDescent="0.2">
      <c r="A2561" s="3">
        <v>45758</v>
      </c>
      <c r="B2561" s="45"/>
      <c r="C2561" s="17" t="s">
        <v>22</v>
      </c>
      <c r="D2561" s="18">
        <v>108.6</v>
      </c>
      <c r="E2561" s="19"/>
      <c r="F2561" s="15">
        <f t="shared" si="43"/>
        <v>8587293.5900000185</v>
      </c>
    </row>
    <row r="2562" spans="1:6" x14ac:dyDescent="0.2">
      <c r="A2562" s="3">
        <v>45758</v>
      </c>
      <c r="B2562" s="45"/>
      <c r="C2562" s="20" t="s">
        <v>394</v>
      </c>
      <c r="D2562" s="18">
        <v>36.200000000000003</v>
      </c>
      <c r="E2562" s="19"/>
      <c r="F2562" s="15">
        <f t="shared" si="43"/>
        <v>8587257.3900000192</v>
      </c>
    </row>
    <row r="2563" spans="1:6" x14ac:dyDescent="0.2">
      <c r="A2563" s="3">
        <v>45759</v>
      </c>
      <c r="B2563" s="43">
        <v>93101335</v>
      </c>
      <c r="C2563" s="20" t="s">
        <v>395</v>
      </c>
      <c r="D2563" s="19"/>
      <c r="E2563" s="18">
        <v>16000</v>
      </c>
      <c r="F2563" s="15">
        <f t="shared" si="43"/>
        <v>8603257.3900000192</v>
      </c>
    </row>
    <row r="2564" spans="1:6" x14ac:dyDescent="0.2">
      <c r="A2564" s="3">
        <v>45761</v>
      </c>
      <c r="B2564" s="43">
        <v>18281025</v>
      </c>
      <c r="C2564" s="20" t="s">
        <v>388</v>
      </c>
      <c r="D2564" s="18">
        <v>500000</v>
      </c>
      <c r="E2564" s="19"/>
      <c r="F2564" s="15">
        <f t="shared" si="43"/>
        <v>8103257.3900000192</v>
      </c>
    </row>
    <row r="2565" spans="1:6" x14ac:dyDescent="0.2">
      <c r="A2565" s="3">
        <v>45761</v>
      </c>
      <c r="B2565" s="45"/>
      <c r="C2565" s="17" t="s">
        <v>16</v>
      </c>
      <c r="D2565" s="18">
        <v>3000.22</v>
      </c>
      <c r="E2565" s="19"/>
      <c r="F2565" s="15">
        <f t="shared" si="43"/>
        <v>8100257.1700000195</v>
      </c>
    </row>
    <row r="2566" spans="1:6" x14ac:dyDescent="0.2">
      <c r="A2566" s="3">
        <v>45761</v>
      </c>
      <c r="B2566" s="51"/>
      <c r="C2566" s="47" t="s">
        <v>22</v>
      </c>
      <c r="D2566" s="48">
        <v>96</v>
      </c>
      <c r="E2566" s="49"/>
      <c r="F2566" s="15">
        <f t="shared" si="43"/>
        <v>8100161.1700000195</v>
      </c>
    </row>
    <row r="2567" spans="1:6" x14ac:dyDescent="0.2">
      <c r="A2567" s="3">
        <v>45761</v>
      </c>
      <c r="B2567" s="50"/>
      <c r="C2567" s="28" t="s">
        <v>387</v>
      </c>
      <c r="D2567" s="23">
        <v>32</v>
      </c>
      <c r="E2567" s="24"/>
      <c r="F2567" s="15">
        <f t="shared" si="43"/>
        <v>8100129.1700000195</v>
      </c>
    </row>
    <row r="2568" spans="1:6" x14ac:dyDescent="0.2">
      <c r="A2568" s="3">
        <v>45762</v>
      </c>
      <c r="B2568" s="43">
        <v>646619</v>
      </c>
      <c r="C2568" s="20" t="s">
        <v>396</v>
      </c>
      <c r="D2568" s="19"/>
      <c r="E2568" s="18">
        <v>19000</v>
      </c>
      <c r="F2568" s="15">
        <f t="shared" si="43"/>
        <v>8119129.1700000195</v>
      </c>
    </row>
    <row r="2569" spans="1:6" x14ac:dyDescent="0.2">
      <c r="A2569" s="3">
        <v>45762</v>
      </c>
      <c r="B2569" s="43">
        <v>32222</v>
      </c>
      <c r="C2569" s="20" t="s">
        <v>97</v>
      </c>
      <c r="D2569" s="18">
        <v>50000</v>
      </c>
      <c r="E2569" s="19"/>
      <c r="F2569" s="15">
        <f t="shared" si="43"/>
        <v>8069129.1700000195</v>
      </c>
    </row>
    <row r="2570" spans="1:6" x14ac:dyDescent="0.2">
      <c r="A2570" s="3">
        <v>45762</v>
      </c>
      <c r="B2570" s="43">
        <v>14918</v>
      </c>
      <c r="C2570" s="20" t="s">
        <v>217</v>
      </c>
      <c r="D2570" s="25"/>
      <c r="E2570" s="25">
        <v>40000000</v>
      </c>
      <c r="F2570" s="15">
        <f t="shared" si="43"/>
        <v>48069129.170000017</v>
      </c>
    </row>
    <row r="2571" spans="1:6" x14ac:dyDescent="0.2">
      <c r="A2571" s="3">
        <v>45762</v>
      </c>
      <c r="B2571" s="45"/>
      <c r="C2571" s="17" t="s">
        <v>34</v>
      </c>
      <c r="D2571" s="18">
        <v>600</v>
      </c>
      <c r="E2571" s="19"/>
      <c r="F2571" s="15">
        <f t="shared" si="43"/>
        <v>48068529.170000017</v>
      </c>
    </row>
    <row r="2572" spans="1:6" x14ac:dyDescent="0.2">
      <c r="A2572" s="3">
        <v>45762</v>
      </c>
      <c r="B2572" s="45"/>
      <c r="C2572" s="17" t="s">
        <v>16</v>
      </c>
      <c r="D2572" s="18">
        <v>0.19</v>
      </c>
      <c r="E2572" s="19"/>
      <c r="F2572" s="15">
        <f t="shared" si="43"/>
        <v>48068528.980000019</v>
      </c>
    </row>
    <row r="2573" spans="1:6" x14ac:dyDescent="0.2">
      <c r="A2573" s="3">
        <v>45762</v>
      </c>
      <c r="B2573" s="45"/>
      <c r="C2573" s="17" t="s">
        <v>22</v>
      </c>
      <c r="D2573" s="18">
        <v>114</v>
      </c>
      <c r="E2573" s="19"/>
      <c r="F2573" s="15">
        <f t="shared" si="43"/>
        <v>48068414.980000019</v>
      </c>
    </row>
    <row r="2574" spans="1:6" x14ac:dyDescent="0.2">
      <c r="A2574" s="3">
        <v>45762</v>
      </c>
      <c r="B2574" s="43">
        <v>23284045</v>
      </c>
      <c r="C2574" s="20" t="s">
        <v>388</v>
      </c>
      <c r="D2574" s="18">
        <v>1000000</v>
      </c>
      <c r="E2574" s="19"/>
      <c r="F2574" s="15">
        <f t="shared" si="43"/>
        <v>47068414.980000019</v>
      </c>
    </row>
    <row r="2575" spans="1:6" x14ac:dyDescent="0.2">
      <c r="A2575" s="3">
        <v>45762</v>
      </c>
      <c r="B2575" s="45"/>
      <c r="C2575" s="20" t="s">
        <v>397</v>
      </c>
      <c r="D2575" s="18">
        <v>38</v>
      </c>
      <c r="E2575" s="19"/>
      <c r="F2575" s="15">
        <f t="shared" si="43"/>
        <v>47068376.980000019</v>
      </c>
    </row>
    <row r="2576" spans="1:6" x14ac:dyDescent="0.2">
      <c r="A2576" s="3">
        <v>45763</v>
      </c>
      <c r="B2576" s="43">
        <v>32120</v>
      </c>
      <c r="C2576" s="17" t="s">
        <v>9</v>
      </c>
      <c r="D2576" s="18">
        <v>348723.89</v>
      </c>
      <c r="E2576" s="19"/>
      <c r="F2576" s="15">
        <f t="shared" si="43"/>
        <v>46719653.090000018</v>
      </c>
    </row>
    <row r="2577" spans="1:6" x14ac:dyDescent="0.2">
      <c r="A2577" s="3">
        <v>45763</v>
      </c>
      <c r="B2577" s="43">
        <v>32130</v>
      </c>
      <c r="C2577" s="17" t="s">
        <v>9</v>
      </c>
      <c r="D2577" s="18">
        <v>356950</v>
      </c>
      <c r="E2577" s="19"/>
      <c r="F2577" s="15">
        <f t="shared" si="43"/>
        <v>46362703.090000018</v>
      </c>
    </row>
    <row r="2578" spans="1:6" x14ac:dyDescent="0.2">
      <c r="A2578" s="3">
        <v>45763</v>
      </c>
      <c r="B2578" s="43">
        <v>8728</v>
      </c>
      <c r="C2578" s="17" t="s">
        <v>9</v>
      </c>
      <c r="D2578" s="18">
        <v>798039.98</v>
      </c>
      <c r="E2578" s="19"/>
      <c r="F2578" s="15">
        <f t="shared" si="43"/>
        <v>45564663.110000022</v>
      </c>
    </row>
    <row r="2579" spans="1:6" x14ac:dyDescent="0.2">
      <c r="A2579" s="3">
        <v>45763</v>
      </c>
      <c r="B2579" s="43">
        <v>32004</v>
      </c>
      <c r="C2579" s="17" t="s">
        <v>9</v>
      </c>
      <c r="D2579" s="18">
        <v>5967444</v>
      </c>
      <c r="E2579" s="19"/>
      <c r="F2579" s="15">
        <f t="shared" si="43"/>
        <v>39597219.110000022</v>
      </c>
    </row>
    <row r="2580" spans="1:6" x14ac:dyDescent="0.2">
      <c r="A2580" s="3">
        <v>45763</v>
      </c>
      <c r="B2580" s="43">
        <v>94081</v>
      </c>
      <c r="C2580" s="20" t="s">
        <v>46</v>
      </c>
      <c r="D2580" s="18">
        <v>49703.39</v>
      </c>
      <c r="E2580" s="19"/>
      <c r="F2580" s="15">
        <f t="shared" si="43"/>
        <v>39547515.720000021</v>
      </c>
    </row>
    <row r="2581" spans="1:6" x14ac:dyDescent="0.2">
      <c r="A2581" s="3">
        <v>45763</v>
      </c>
      <c r="B2581" s="43">
        <v>94082</v>
      </c>
      <c r="C2581" s="20" t="s">
        <v>46</v>
      </c>
      <c r="D2581" s="18">
        <v>602647.92000000004</v>
      </c>
      <c r="E2581" s="19"/>
      <c r="F2581" s="15">
        <f t="shared" si="43"/>
        <v>38944867.800000019</v>
      </c>
    </row>
    <row r="2582" spans="1:6" x14ac:dyDescent="0.2">
      <c r="A2582" s="3">
        <v>45763</v>
      </c>
      <c r="B2582" s="43">
        <v>206822</v>
      </c>
      <c r="C2582" s="20" t="s">
        <v>46</v>
      </c>
      <c r="D2582" s="18">
        <v>2771406.99</v>
      </c>
      <c r="E2582" s="19"/>
      <c r="F2582" s="15">
        <f t="shared" si="43"/>
        <v>36173460.810000017</v>
      </c>
    </row>
    <row r="2583" spans="1:6" x14ac:dyDescent="0.2">
      <c r="A2583" s="3">
        <v>45763</v>
      </c>
      <c r="B2583" s="43">
        <v>206823</v>
      </c>
      <c r="C2583" s="20" t="s">
        <v>46</v>
      </c>
      <c r="D2583" s="18">
        <v>2971286.58</v>
      </c>
      <c r="E2583" s="19"/>
      <c r="F2583" s="15">
        <f t="shared" si="43"/>
        <v>33202174.230000019</v>
      </c>
    </row>
    <row r="2584" spans="1:6" x14ac:dyDescent="0.2">
      <c r="A2584" s="3">
        <v>45763</v>
      </c>
      <c r="B2584" s="43">
        <v>206824</v>
      </c>
      <c r="C2584" s="20" t="s">
        <v>46</v>
      </c>
      <c r="D2584" s="18">
        <v>3068147.36</v>
      </c>
      <c r="E2584" s="19"/>
      <c r="F2584" s="15">
        <f t="shared" si="43"/>
        <v>30134026.87000002</v>
      </c>
    </row>
    <row r="2585" spans="1:6" x14ac:dyDescent="0.2">
      <c r="A2585" s="3">
        <v>45763</v>
      </c>
      <c r="B2585" s="43">
        <v>206825</v>
      </c>
      <c r="C2585" s="20" t="s">
        <v>46</v>
      </c>
      <c r="D2585" s="18">
        <v>4730355.55</v>
      </c>
      <c r="E2585" s="19"/>
      <c r="F2585" s="15">
        <f t="shared" si="43"/>
        <v>25403671.320000019</v>
      </c>
    </row>
    <row r="2586" spans="1:6" x14ac:dyDescent="0.2">
      <c r="A2586" s="3">
        <v>45763</v>
      </c>
      <c r="B2586" s="43">
        <v>206826</v>
      </c>
      <c r="C2586" s="20" t="s">
        <v>46</v>
      </c>
      <c r="D2586" s="18">
        <v>3123915.9</v>
      </c>
      <c r="E2586" s="19"/>
      <c r="F2586" s="15">
        <f t="shared" si="43"/>
        <v>22279755.42000002</v>
      </c>
    </row>
    <row r="2587" spans="1:6" x14ac:dyDescent="0.2">
      <c r="A2587" s="3">
        <v>45763</v>
      </c>
      <c r="B2587" s="43">
        <v>206827</v>
      </c>
      <c r="C2587" s="20" t="s">
        <v>46</v>
      </c>
      <c r="D2587" s="18">
        <v>3107492.81</v>
      </c>
      <c r="E2587" s="19"/>
      <c r="F2587" s="15">
        <f t="shared" si="43"/>
        <v>19172262.610000022</v>
      </c>
    </row>
    <row r="2588" spans="1:6" x14ac:dyDescent="0.2">
      <c r="A2588" s="3">
        <v>45763</v>
      </c>
      <c r="B2588" s="43">
        <v>265250</v>
      </c>
      <c r="C2588" s="20" t="s">
        <v>46</v>
      </c>
      <c r="D2588" s="18">
        <v>413195.97</v>
      </c>
      <c r="E2588" s="19"/>
      <c r="F2588" s="15">
        <f t="shared" si="43"/>
        <v>18759066.640000023</v>
      </c>
    </row>
    <row r="2589" spans="1:6" x14ac:dyDescent="0.2">
      <c r="A2589" s="3">
        <v>45763</v>
      </c>
      <c r="B2589" s="45"/>
      <c r="C2589" s="20" t="s">
        <v>207</v>
      </c>
      <c r="D2589" s="18">
        <v>1320</v>
      </c>
      <c r="E2589" s="19"/>
      <c r="F2589" s="15">
        <f t="shared" si="43"/>
        <v>18757746.640000023</v>
      </c>
    </row>
    <row r="2590" spans="1:6" x14ac:dyDescent="0.2">
      <c r="A2590" s="3">
        <v>45763</v>
      </c>
      <c r="B2590" s="45"/>
      <c r="C2590" s="17" t="s">
        <v>227</v>
      </c>
      <c r="D2590" s="18">
        <v>277.2</v>
      </c>
      <c r="E2590" s="19"/>
      <c r="F2590" s="15">
        <f t="shared" si="43"/>
        <v>18757469.440000024</v>
      </c>
    </row>
    <row r="2591" spans="1:6" x14ac:dyDescent="0.2">
      <c r="A2591" s="3">
        <v>45763</v>
      </c>
      <c r="B2591" s="43">
        <v>32223</v>
      </c>
      <c r="C2591" s="20" t="s">
        <v>97</v>
      </c>
      <c r="D2591" s="18">
        <v>50000</v>
      </c>
      <c r="E2591" s="19"/>
      <c r="F2591" s="15">
        <f t="shared" si="43"/>
        <v>18707469.440000024</v>
      </c>
    </row>
    <row r="2592" spans="1:6" x14ac:dyDescent="0.2">
      <c r="A2592" s="3">
        <v>45763</v>
      </c>
      <c r="B2592" s="46">
        <v>5862233</v>
      </c>
      <c r="C2592" s="9" t="s">
        <v>398</v>
      </c>
      <c r="D2592" s="62"/>
      <c r="E2592" s="63">
        <v>78731.83</v>
      </c>
      <c r="F2592" s="15">
        <f t="shared" si="43"/>
        <v>18786201.270000022</v>
      </c>
    </row>
    <row r="2593" spans="1:6" x14ac:dyDescent="0.2">
      <c r="A2593" s="3">
        <v>45763</v>
      </c>
      <c r="B2593" s="50"/>
      <c r="C2593" s="22" t="s">
        <v>16</v>
      </c>
      <c r="D2593" s="23">
        <v>175865.67</v>
      </c>
      <c r="E2593" s="24"/>
      <c r="F2593" s="15">
        <f t="shared" si="43"/>
        <v>18610335.60000002</v>
      </c>
    </row>
    <row r="2594" spans="1:6" x14ac:dyDescent="0.2">
      <c r="A2594" s="3">
        <v>45763</v>
      </c>
      <c r="B2594" s="45"/>
      <c r="C2594" s="17" t="s">
        <v>22</v>
      </c>
      <c r="D2594" s="18">
        <v>472.39</v>
      </c>
      <c r="E2594" s="19"/>
      <c r="F2594" s="15">
        <f t="shared" si="43"/>
        <v>18609863.21000002</v>
      </c>
    </row>
    <row r="2595" spans="1:6" x14ac:dyDescent="0.2">
      <c r="A2595" s="3">
        <v>45763</v>
      </c>
      <c r="B2595" s="45"/>
      <c r="C2595" s="17" t="s">
        <v>34</v>
      </c>
      <c r="D2595" s="18">
        <v>600</v>
      </c>
      <c r="E2595" s="19"/>
      <c r="F2595" s="15">
        <f t="shared" si="43"/>
        <v>18609263.21000002</v>
      </c>
    </row>
    <row r="2596" spans="1:6" x14ac:dyDescent="0.2">
      <c r="A2596" s="3">
        <v>45763</v>
      </c>
      <c r="B2596" s="45"/>
      <c r="C2596" s="20" t="s">
        <v>399</v>
      </c>
      <c r="D2596" s="18">
        <v>157.46</v>
      </c>
      <c r="E2596" s="19"/>
      <c r="F2596" s="15">
        <f t="shared" si="43"/>
        <v>18609105.750000019</v>
      </c>
    </row>
    <row r="2597" spans="1:6" x14ac:dyDescent="0.2">
      <c r="A2597" s="3">
        <v>45764</v>
      </c>
      <c r="B2597" s="43">
        <v>85683</v>
      </c>
      <c r="C2597" s="20" t="s">
        <v>217</v>
      </c>
      <c r="D2597" s="25"/>
      <c r="E2597" s="25">
        <v>40000000</v>
      </c>
      <c r="F2597" s="15">
        <f t="shared" si="43"/>
        <v>58609105.750000015</v>
      </c>
    </row>
    <row r="2598" spans="1:6" x14ac:dyDescent="0.2">
      <c r="A2598" s="3">
        <v>45768</v>
      </c>
      <c r="B2598" s="43">
        <v>20000009</v>
      </c>
      <c r="C2598" s="17" t="s">
        <v>24</v>
      </c>
      <c r="D2598" s="19"/>
      <c r="E2598" s="18">
        <v>42401.1</v>
      </c>
      <c r="F2598" s="15">
        <f t="shared" si="43"/>
        <v>58651506.850000016</v>
      </c>
    </row>
    <row r="2599" spans="1:6" x14ac:dyDescent="0.2">
      <c r="A2599" s="3">
        <v>45768</v>
      </c>
      <c r="B2599" s="43">
        <v>32172</v>
      </c>
      <c r="C2599" s="17" t="s">
        <v>9</v>
      </c>
      <c r="D2599" s="18">
        <v>127000</v>
      </c>
      <c r="E2599" s="19"/>
      <c r="F2599" s="15">
        <f t="shared" si="43"/>
        <v>58524506.850000016</v>
      </c>
    </row>
    <row r="2600" spans="1:6" x14ac:dyDescent="0.2">
      <c r="A2600" s="3">
        <v>45768</v>
      </c>
      <c r="B2600" s="43">
        <v>32121</v>
      </c>
      <c r="C2600" s="17" t="s">
        <v>9</v>
      </c>
      <c r="D2600" s="18">
        <v>436367.38</v>
      </c>
      <c r="E2600" s="19"/>
      <c r="F2600" s="15">
        <f t="shared" si="43"/>
        <v>58088139.470000014</v>
      </c>
    </row>
    <row r="2601" spans="1:6" x14ac:dyDescent="0.2">
      <c r="A2601" s="3">
        <v>45768</v>
      </c>
      <c r="B2601" s="45"/>
      <c r="C2601" s="20" t="s">
        <v>207</v>
      </c>
      <c r="D2601" s="18">
        <v>1320</v>
      </c>
      <c r="E2601" s="19"/>
      <c r="F2601" s="15">
        <f t="shared" si="43"/>
        <v>58086819.470000014</v>
      </c>
    </row>
    <row r="2602" spans="1:6" x14ac:dyDescent="0.2">
      <c r="A2602" s="3">
        <v>45768</v>
      </c>
      <c r="B2602" s="45"/>
      <c r="C2602" s="17" t="s">
        <v>227</v>
      </c>
      <c r="D2602" s="18">
        <v>277.2</v>
      </c>
      <c r="E2602" s="19"/>
      <c r="F2602" s="15">
        <f t="shared" si="43"/>
        <v>58086542.270000011</v>
      </c>
    </row>
    <row r="2603" spans="1:6" x14ac:dyDescent="0.2">
      <c r="A2603" s="3">
        <v>45768</v>
      </c>
      <c r="B2603" s="43">
        <v>75434</v>
      </c>
      <c r="C2603" s="20" t="s">
        <v>11</v>
      </c>
      <c r="D2603" s="18">
        <v>2114313</v>
      </c>
      <c r="E2603" s="19"/>
      <c r="F2603" s="15">
        <f t="shared" si="43"/>
        <v>55972229.270000011</v>
      </c>
    </row>
    <row r="2604" spans="1:6" x14ac:dyDescent="0.2">
      <c r="A2604" s="3">
        <v>45768</v>
      </c>
      <c r="B2604" s="43">
        <v>130877</v>
      </c>
      <c r="C2604" s="20" t="s">
        <v>400</v>
      </c>
      <c r="D2604" s="19"/>
      <c r="E2604" s="18">
        <v>273783.40000000002</v>
      </c>
      <c r="F2604" s="15">
        <f t="shared" si="43"/>
        <v>56246012.670000009</v>
      </c>
    </row>
    <row r="2605" spans="1:6" x14ac:dyDescent="0.2">
      <c r="A2605" s="3">
        <v>45768</v>
      </c>
      <c r="B2605" s="43">
        <v>32248</v>
      </c>
      <c r="C2605" s="20" t="s">
        <v>97</v>
      </c>
      <c r="D2605" s="18">
        <v>50000</v>
      </c>
      <c r="E2605" s="19"/>
      <c r="F2605" s="15">
        <f t="shared" si="43"/>
        <v>56196012.670000009</v>
      </c>
    </row>
    <row r="2606" spans="1:6" x14ac:dyDescent="0.2">
      <c r="A2606" s="3">
        <v>45768</v>
      </c>
      <c r="B2606" s="43">
        <v>32246</v>
      </c>
      <c r="C2606" s="20" t="s">
        <v>298</v>
      </c>
      <c r="D2606" s="18">
        <v>50000</v>
      </c>
      <c r="E2606" s="19"/>
      <c r="F2606" s="15">
        <f t="shared" ref="F2606:F2669" si="44">+F2605+E2606-D2606</f>
        <v>56146012.670000009</v>
      </c>
    </row>
    <row r="2607" spans="1:6" x14ac:dyDescent="0.2">
      <c r="A2607" s="3">
        <v>45768</v>
      </c>
      <c r="B2607" s="43">
        <v>32247</v>
      </c>
      <c r="C2607" s="20" t="s">
        <v>28</v>
      </c>
      <c r="D2607" s="18">
        <v>50000</v>
      </c>
      <c r="E2607" s="19"/>
      <c r="F2607" s="15">
        <f t="shared" si="44"/>
        <v>56096012.670000009</v>
      </c>
    </row>
    <row r="2608" spans="1:6" x14ac:dyDescent="0.2">
      <c r="A2608" s="3">
        <v>45768</v>
      </c>
      <c r="B2608" s="43">
        <v>32245</v>
      </c>
      <c r="C2608" s="20" t="s">
        <v>30</v>
      </c>
      <c r="D2608" s="18">
        <v>50000</v>
      </c>
      <c r="E2608" s="19"/>
      <c r="F2608" s="15">
        <f t="shared" si="44"/>
        <v>56046012.670000009</v>
      </c>
    </row>
    <row r="2609" spans="1:6" x14ac:dyDescent="0.2">
      <c r="A2609" s="3">
        <v>45768</v>
      </c>
      <c r="B2609" s="43">
        <v>32244</v>
      </c>
      <c r="C2609" s="17" t="s">
        <v>12</v>
      </c>
      <c r="D2609" s="18">
        <v>50000</v>
      </c>
      <c r="E2609" s="19"/>
      <c r="F2609" s="15">
        <f t="shared" si="44"/>
        <v>55996012.670000009</v>
      </c>
    </row>
    <row r="2610" spans="1:6" x14ac:dyDescent="0.2">
      <c r="A2610" s="3">
        <v>45768</v>
      </c>
      <c r="B2610" s="43">
        <v>32242</v>
      </c>
      <c r="C2610" s="17" t="s">
        <v>12</v>
      </c>
      <c r="D2610" s="18">
        <v>50000</v>
      </c>
      <c r="E2610" s="19"/>
      <c r="F2610" s="15">
        <f t="shared" si="44"/>
        <v>55946012.670000009</v>
      </c>
    </row>
    <row r="2611" spans="1:6" x14ac:dyDescent="0.2">
      <c r="A2611" s="3">
        <v>45768</v>
      </c>
      <c r="B2611" s="43">
        <v>32243</v>
      </c>
      <c r="C2611" s="17" t="s">
        <v>12</v>
      </c>
      <c r="D2611" s="18">
        <v>50000</v>
      </c>
      <c r="E2611" s="19"/>
      <c r="F2611" s="15">
        <f t="shared" si="44"/>
        <v>55896012.670000009</v>
      </c>
    </row>
    <row r="2612" spans="1:6" x14ac:dyDescent="0.2">
      <c r="A2612" s="3">
        <v>45768</v>
      </c>
      <c r="B2612" s="43">
        <v>32241</v>
      </c>
      <c r="C2612" s="17" t="s">
        <v>12</v>
      </c>
      <c r="D2612" s="18">
        <v>50000</v>
      </c>
      <c r="E2612" s="19"/>
      <c r="F2612" s="15">
        <f t="shared" si="44"/>
        <v>55846012.670000009</v>
      </c>
    </row>
    <row r="2613" spans="1:6" x14ac:dyDescent="0.2">
      <c r="A2613" s="3">
        <v>45768</v>
      </c>
      <c r="B2613" s="45"/>
      <c r="C2613" s="17" t="s">
        <v>13</v>
      </c>
      <c r="D2613" s="18">
        <v>25887017</v>
      </c>
      <c r="E2613" s="19"/>
      <c r="F2613" s="15">
        <f t="shared" si="44"/>
        <v>29958995.670000009</v>
      </c>
    </row>
    <row r="2614" spans="1:6" x14ac:dyDescent="0.2">
      <c r="A2614" s="3">
        <v>45768</v>
      </c>
      <c r="B2614" s="45"/>
      <c r="C2614" s="17" t="s">
        <v>14</v>
      </c>
      <c r="D2614" s="18">
        <v>739.99</v>
      </c>
      <c r="E2614" s="19"/>
      <c r="F2614" s="15">
        <f t="shared" si="44"/>
        <v>29958255.680000011</v>
      </c>
    </row>
    <row r="2615" spans="1:6" x14ac:dyDescent="0.2">
      <c r="A2615" s="3">
        <v>45768</v>
      </c>
      <c r="B2615" s="45"/>
      <c r="C2615" s="17" t="s">
        <v>232</v>
      </c>
      <c r="D2615" s="18">
        <v>155.41</v>
      </c>
      <c r="E2615" s="19"/>
      <c r="F2615" s="15">
        <f t="shared" si="44"/>
        <v>29958100.270000011</v>
      </c>
    </row>
    <row r="2616" spans="1:6" x14ac:dyDescent="0.2">
      <c r="A2616" s="3">
        <v>45768</v>
      </c>
      <c r="B2616" s="45"/>
      <c r="C2616" s="17" t="s">
        <v>34</v>
      </c>
      <c r="D2616" s="18">
        <v>2400</v>
      </c>
      <c r="E2616" s="19"/>
      <c r="F2616" s="15">
        <f t="shared" si="44"/>
        <v>29955700.270000011</v>
      </c>
    </row>
    <row r="2617" spans="1:6" x14ac:dyDescent="0.2">
      <c r="A2617" s="3">
        <v>45768</v>
      </c>
      <c r="B2617" s="45"/>
      <c r="C2617" s="17" t="s">
        <v>22</v>
      </c>
      <c r="D2617" s="18">
        <v>1897.11</v>
      </c>
      <c r="E2617" s="19"/>
      <c r="F2617" s="15">
        <f t="shared" si="44"/>
        <v>29953803.160000011</v>
      </c>
    </row>
    <row r="2618" spans="1:6" x14ac:dyDescent="0.2">
      <c r="A2618" s="3">
        <v>45768</v>
      </c>
      <c r="B2618" s="45"/>
      <c r="C2618" s="17" t="s">
        <v>16</v>
      </c>
      <c r="D2618" s="18">
        <v>172604.07</v>
      </c>
      <c r="E2618" s="19"/>
      <c r="F2618" s="15">
        <f t="shared" si="44"/>
        <v>29781199.090000011</v>
      </c>
    </row>
    <row r="2619" spans="1:6" x14ac:dyDescent="0.2">
      <c r="A2619" s="3">
        <v>45768</v>
      </c>
      <c r="B2619" s="45"/>
      <c r="C2619" s="20" t="s">
        <v>401</v>
      </c>
      <c r="D2619" s="18">
        <v>632.37</v>
      </c>
      <c r="E2619" s="19"/>
      <c r="F2619" s="15">
        <f t="shared" si="44"/>
        <v>29780566.72000001</v>
      </c>
    </row>
    <row r="2620" spans="1:6" x14ac:dyDescent="0.2">
      <c r="A2620" s="3">
        <v>45769</v>
      </c>
      <c r="B2620" s="46">
        <v>32199</v>
      </c>
      <c r="C2620" s="47" t="s">
        <v>9</v>
      </c>
      <c r="D2620" s="48">
        <v>267547.83</v>
      </c>
      <c r="E2620" s="49"/>
      <c r="F2620" s="15">
        <f t="shared" si="44"/>
        <v>29513018.890000012</v>
      </c>
    </row>
    <row r="2621" spans="1:6" x14ac:dyDescent="0.2">
      <c r="A2621" s="3">
        <v>45769</v>
      </c>
      <c r="B2621" s="44">
        <v>31934</v>
      </c>
      <c r="C2621" s="22" t="s">
        <v>9</v>
      </c>
      <c r="D2621" s="23">
        <v>369963</v>
      </c>
      <c r="E2621" s="24"/>
      <c r="F2621" s="15">
        <f t="shared" si="44"/>
        <v>29143055.890000012</v>
      </c>
    </row>
    <row r="2622" spans="1:6" x14ac:dyDescent="0.2">
      <c r="A2622" s="3">
        <v>45769</v>
      </c>
      <c r="B2622" s="43">
        <v>32194</v>
      </c>
      <c r="C2622" s="17" t="s">
        <v>9</v>
      </c>
      <c r="D2622" s="18">
        <v>920100</v>
      </c>
      <c r="E2622" s="19"/>
      <c r="F2622" s="15">
        <f t="shared" si="44"/>
        <v>28222955.890000012</v>
      </c>
    </row>
    <row r="2623" spans="1:6" x14ac:dyDescent="0.2">
      <c r="A2623" s="3">
        <v>45769</v>
      </c>
      <c r="B2623" s="43">
        <v>32196</v>
      </c>
      <c r="C2623" s="17" t="s">
        <v>9</v>
      </c>
      <c r="D2623" s="18">
        <v>2013600</v>
      </c>
      <c r="E2623" s="19"/>
      <c r="F2623" s="15">
        <f t="shared" si="44"/>
        <v>26209355.890000012</v>
      </c>
    </row>
    <row r="2624" spans="1:6" x14ac:dyDescent="0.2">
      <c r="A2624" s="3">
        <v>45769</v>
      </c>
      <c r="B2624" s="45"/>
      <c r="C2624" s="20" t="s">
        <v>35</v>
      </c>
      <c r="D2624" s="18">
        <v>4000</v>
      </c>
      <c r="E2624" s="19"/>
      <c r="F2624" s="15">
        <f t="shared" si="44"/>
        <v>26205355.890000012</v>
      </c>
    </row>
    <row r="2625" spans="1:6" x14ac:dyDescent="0.2">
      <c r="A2625" s="3">
        <v>45769</v>
      </c>
      <c r="B2625" s="45"/>
      <c r="C2625" s="17" t="s">
        <v>36</v>
      </c>
      <c r="D2625" s="18">
        <v>60</v>
      </c>
      <c r="E2625" s="19"/>
      <c r="F2625" s="15">
        <f t="shared" si="44"/>
        <v>26205295.890000012</v>
      </c>
    </row>
    <row r="2626" spans="1:6" x14ac:dyDescent="0.2">
      <c r="A2626" s="3">
        <v>45769</v>
      </c>
      <c r="B2626" s="45"/>
      <c r="C2626" s="17" t="s">
        <v>227</v>
      </c>
      <c r="D2626" s="18">
        <v>840</v>
      </c>
      <c r="E2626" s="19"/>
      <c r="F2626" s="15">
        <f t="shared" si="44"/>
        <v>26204455.890000012</v>
      </c>
    </row>
    <row r="2627" spans="1:6" x14ac:dyDescent="0.2">
      <c r="A2627" s="3">
        <v>45769</v>
      </c>
      <c r="B2627" s="45"/>
      <c r="C2627" s="17" t="s">
        <v>37</v>
      </c>
      <c r="D2627" s="18">
        <v>120</v>
      </c>
      <c r="E2627" s="19"/>
      <c r="F2627" s="15">
        <f t="shared" si="44"/>
        <v>26204335.890000012</v>
      </c>
    </row>
    <row r="2628" spans="1:6" x14ac:dyDescent="0.2">
      <c r="A2628" s="3">
        <v>45769</v>
      </c>
      <c r="B2628" s="43">
        <v>19160837</v>
      </c>
      <c r="C2628" s="20" t="s">
        <v>388</v>
      </c>
      <c r="D2628" s="18">
        <v>2000000</v>
      </c>
      <c r="E2628" s="19"/>
      <c r="F2628" s="15">
        <f t="shared" si="44"/>
        <v>24204335.890000012</v>
      </c>
    </row>
    <row r="2629" spans="1:6" x14ac:dyDescent="0.2">
      <c r="A2629" s="3">
        <v>45769</v>
      </c>
      <c r="B2629" s="45"/>
      <c r="C2629" s="17" t="s">
        <v>16</v>
      </c>
      <c r="D2629" s="18">
        <v>33461.18</v>
      </c>
      <c r="E2629" s="19"/>
      <c r="F2629" s="15">
        <f t="shared" si="44"/>
        <v>24170874.710000012</v>
      </c>
    </row>
    <row r="2630" spans="1:6" x14ac:dyDescent="0.2">
      <c r="A2630" s="3">
        <v>45770</v>
      </c>
      <c r="B2630" s="43">
        <v>5336</v>
      </c>
      <c r="C2630" s="20" t="s">
        <v>76</v>
      </c>
      <c r="D2630" s="18">
        <v>600701</v>
      </c>
      <c r="E2630" s="19"/>
      <c r="F2630" s="15">
        <f t="shared" si="44"/>
        <v>23570173.710000012</v>
      </c>
    </row>
    <row r="2631" spans="1:6" x14ac:dyDescent="0.2">
      <c r="A2631" s="3">
        <v>45770</v>
      </c>
      <c r="B2631" s="43">
        <v>4283703</v>
      </c>
      <c r="C2631" s="20" t="s">
        <v>205</v>
      </c>
      <c r="D2631" s="18">
        <v>1815000</v>
      </c>
      <c r="E2631" s="19"/>
      <c r="F2631" s="15">
        <f t="shared" si="44"/>
        <v>21755173.710000012</v>
      </c>
    </row>
    <row r="2632" spans="1:6" x14ac:dyDescent="0.2">
      <c r="A2632" s="3">
        <v>45770</v>
      </c>
      <c r="B2632" s="43">
        <v>4283704</v>
      </c>
      <c r="C2632" s="20" t="s">
        <v>59</v>
      </c>
      <c r="D2632" s="18">
        <v>2153792.7799999998</v>
      </c>
      <c r="E2632" s="19"/>
      <c r="F2632" s="15">
        <f t="shared" si="44"/>
        <v>19601380.930000011</v>
      </c>
    </row>
    <row r="2633" spans="1:6" x14ac:dyDescent="0.2">
      <c r="A2633" s="3">
        <v>45770</v>
      </c>
      <c r="B2633" s="43">
        <v>4283705</v>
      </c>
      <c r="C2633" s="20" t="s">
        <v>33</v>
      </c>
      <c r="D2633" s="18">
        <v>1567000</v>
      </c>
      <c r="E2633" s="19"/>
      <c r="F2633" s="15">
        <f t="shared" si="44"/>
        <v>18034380.930000011</v>
      </c>
    </row>
    <row r="2634" spans="1:6" x14ac:dyDescent="0.2">
      <c r="A2634" s="3">
        <v>45770</v>
      </c>
      <c r="B2634" s="43">
        <v>4283768</v>
      </c>
      <c r="C2634" s="20" t="s">
        <v>402</v>
      </c>
      <c r="D2634" s="18">
        <v>325890</v>
      </c>
      <c r="E2634" s="19"/>
      <c r="F2634" s="15">
        <f t="shared" si="44"/>
        <v>17708490.930000011</v>
      </c>
    </row>
    <row r="2635" spans="1:6" x14ac:dyDescent="0.2">
      <c r="A2635" s="3">
        <v>45770</v>
      </c>
      <c r="B2635" s="43">
        <v>4283769</v>
      </c>
      <c r="C2635" s="20" t="s">
        <v>402</v>
      </c>
      <c r="D2635" s="18">
        <v>1246551</v>
      </c>
      <c r="E2635" s="19"/>
      <c r="F2635" s="15">
        <f t="shared" si="44"/>
        <v>16461939.930000011</v>
      </c>
    </row>
    <row r="2636" spans="1:6" x14ac:dyDescent="0.2">
      <c r="A2636" s="3">
        <v>45770</v>
      </c>
      <c r="B2636" s="43">
        <v>4283772</v>
      </c>
      <c r="C2636" s="20" t="s">
        <v>280</v>
      </c>
      <c r="D2636" s="18">
        <v>100000</v>
      </c>
      <c r="E2636" s="19"/>
      <c r="F2636" s="15">
        <f t="shared" si="44"/>
        <v>16361939.930000011</v>
      </c>
    </row>
    <row r="2637" spans="1:6" x14ac:dyDescent="0.2">
      <c r="A2637" s="3">
        <v>45770</v>
      </c>
      <c r="B2637" s="43">
        <v>32251</v>
      </c>
      <c r="C2637" s="20" t="s">
        <v>29</v>
      </c>
      <c r="D2637" s="18">
        <v>50000</v>
      </c>
      <c r="E2637" s="19"/>
      <c r="F2637" s="15">
        <f t="shared" si="44"/>
        <v>16311939.930000011</v>
      </c>
    </row>
    <row r="2638" spans="1:6" x14ac:dyDescent="0.2">
      <c r="A2638" s="3">
        <v>45770</v>
      </c>
      <c r="B2638" s="43">
        <v>32249</v>
      </c>
      <c r="C2638" s="20" t="s">
        <v>28</v>
      </c>
      <c r="D2638" s="18">
        <v>50000</v>
      </c>
      <c r="E2638" s="19"/>
      <c r="F2638" s="15">
        <f t="shared" si="44"/>
        <v>16261939.930000011</v>
      </c>
    </row>
    <row r="2639" spans="1:6" x14ac:dyDescent="0.2">
      <c r="A2639" s="3">
        <v>45770</v>
      </c>
      <c r="B2639" s="43">
        <v>32250</v>
      </c>
      <c r="C2639" s="20" t="s">
        <v>30</v>
      </c>
      <c r="D2639" s="18">
        <v>50000</v>
      </c>
      <c r="E2639" s="19"/>
      <c r="F2639" s="15">
        <f t="shared" si="44"/>
        <v>16211939.930000011</v>
      </c>
    </row>
    <row r="2640" spans="1:6" x14ac:dyDescent="0.2">
      <c r="A2640" s="3">
        <v>45770</v>
      </c>
      <c r="B2640" s="43">
        <v>32252</v>
      </c>
      <c r="C2640" s="20" t="s">
        <v>97</v>
      </c>
      <c r="D2640" s="18">
        <v>50000</v>
      </c>
      <c r="E2640" s="19"/>
      <c r="F2640" s="15">
        <f t="shared" si="44"/>
        <v>16161939.930000011</v>
      </c>
    </row>
    <row r="2641" spans="1:6" x14ac:dyDescent="0.2">
      <c r="A2641" s="3">
        <v>45770</v>
      </c>
      <c r="B2641" s="43">
        <v>6497750</v>
      </c>
      <c r="C2641" s="20" t="s">
        <v>403</v>
      </c>
      <c r="D2641" s="19"/>
      <c r="E2641" s="18">
        <v>10706</v>
      </c>
      <c r="F2641" s="15">
        <f t="shared" si="44"/>
        <v>16172645.930000011</v>
      </c>
    </row>
    <row r="2642" spans="1:6" x14ac:dyDescent="0.2">
      <c r="A2642" s="3">
        <v>45770</v>
      </c>
      <c r="B2642" s="45"/>
      <c r="C2642" s="17" t="s">
        <v>16</v>
      </c>
      <c r="D2642" s="18">
        <v>46853.62</v>
      </c>
      <c r="E2642" s="19"/>
      <c r="F2642" s="15">
        <f t="shared" si="44"/>
        <v>16125792.310000012</v>
      </c>
    </row>
    <row r="2643" spans="1:6" x14ac:dyDescent="0.2">
      <c r="A2643" s="3">
        <v>45770</v>
      </c>
      <c r="B2643" s="45"/>
      <c r="C2643" s="17" t="s">
        <v>22</v>
      </c>
      <c r="D2643" s="18">
        <v>64.239999999999995</v>
      </c>
      <c r="E2643" s="19"/>
      <c r="F2643" s="15">
        <f t="shared" si="44"/>
        <v>16125728.070000011</v>
      </c>
    </row>
    <row r="2644" spans="1:6" x14ac:dyDescent="0.2">
      <c r="A2644" s="3">
        <v>45770</v>
      </c>
      <c r="B2644" s="45"/>
      <c r="C2644" s="17" t="s">
        <v>34</v>
      </c>
      <c r="D2644" s="18">
        <v>2400</v>
      </c>
      <c r="E2644" s="19"/>
      <c r="F2644" s="15">
        <f t="shared" si="44"/>
        <v>16123328.070000011</v>
      </c>
    </row>
    <row r="2645" spans="1:6" x14ac:dyDescent="0.2">
      <c r="A2645" s="3">
        <v>45770</v>
      </c>
      <c r="B2645" s="46">
        <v>13765</v>
      </c>
      <c r="C2645" s="9" t="s">
        <v>7</v>
      </c>
      <c r="D2645" s="48">
        <v>720</v>
      </c>
      <c r="E2645" s="49"/>
      <c r="F2645" s="15">
        <f t="shared" si="44"/>
        <v>16122608.070000011</v>
      </c>
    </row>
    <row r="2646" spans="1:6" x14ac:dyDescent="0.2">
      <c r="A2646" s="3">
        <v>45770</v>
      </c>
      <c r="B2646" s="44">
        <v>13765</v>
      </c>
      <c r="C2646" s="22" t="s">
        <v>227</v>
      </c>
      <c r="D2646" s="23">
        <v>151.19999999999999</v>
      </c>
      <c r="E2646" s="24"/>
      <c r="F2646" s="15">
        <f t="shared" si="44"/>
        <v>16122456.870000012</v>
      </c>
    </row>
    <row r="2647" spans="1:6" x14ac:dyDescent="0.2">
      <c r="A2647" s="3">
        <v>45770</v>
      </c>
      <c r="B2647" s="43">
        <v>13766</v>
      </c>
      <c r="C2647" s="20" t="s">
        <v>7</v>
      </c>
      <c r="D2647" s="18">
        <v>1485</v>
      </c>
      <c r="E2647" s="19"/>
      <c r="F2647" s="15">
        <f t="shared" si="44"/>
        <v>16120971.870000012</v>
      </c>
    </row>
    <row r="2648" spans="1:6" x14ac:dyDescent="0.2">
      <c r="A2648" s="3">
        <v>45770</v>
      </c>
      <c r="B2648" s="43">
        <v>13766</v>
      </c>
      <c r="C2648" s="17" t="s">
        <v>227</v>
      </c>
      <c r="D2648" s="18">
        <v>311.85000000000002</v>
      </c>
      <c r="E2648" s="19"/>
      <c r="F2648" s="15">
        <f t="shared" si="44"/>
        <v>16120660.020000013</v>
      </c>
    </row>
    <row r="2649" spans="1:6" x14ac:dyDescent="0.2">
      <c r="A2649" s="3">
        <v>45770</v>
      </c>
      <c r="B2649" s="43">
        <v>13767</v>
      </c>
      <c r="C2649" s="20" t="s">
        <v>7</v>
      </c>
      <c r="D2649" s="18">
        <v>1485</v>
      </c>
      <c r="E2649" s="19"/>
      <c r="F2649" s="15">
        <f t="shared" si="44"/>
        <v>16119175.020000013</v>
      </c>
    </row>
    <row r="2650" spans="1:6" x14ac:dyDescent="0.2">
      <c r="A2650" s="3">
        <v>45770</v>
      </c>
      <c r="B2650" s="43">
        <v>13767</v>
      </c>
      <c r="C2650" s="17" t="s">
        <v>227</v>
      </c>
      <c r="D2650" s="18">
        <v>311.85000000000002</v>
      </c>
      <c r="E2650" s="19"/>
      <c r="F2650" s="15">
        <f t="shared" si="44"/>
        <v>16118863.170000013</v>
      </c>
    </row>
    <row r="2651" spans="1:6" x14ac:dyDescent="0.2">
      <c r="A2651" s="3">
        <v>45770</v>
      </c>
      <c r="B2651" s="43">
        <v>13768</v>
      </c>
      <c r="C2651" s="20" t="s">
        <v>7</v>
      </c>
      <c r="D2651" s="18">
        <v>1485</v>
      </c>
      <c r="E2651" s="19"/>
      <c r="F2651" s="15">
        <f t="shared" si="44"/>
        <v>16117378.170000013</v>
      </c>
    </row>
    <row r="2652" spans="1:6" x14ac:dyDescent="0.2">
      <c r="A2652" s="3">
        <v>45770</v>
      </c>
      <c r="B2652" s="43">
        <v>13768</v>
      </c>
      <c r="C2652" s="17" t="s">
        <v>227</v>
      </c>
      <c r="D2652" s="18">
        <v>311.85000000000002</v>
      </c>
      <c r="E2652" s="19"/>
      <c r="F2652" s="15">
        <f t="shared" si="44"/>
        <v>16117066.320000013</v>
      </c>
    </row>
    <row r="2653" spans="1:6" x14ac:dyDescent="0.2">
      <c r="A2653" s="3">
        <v>45770</v>
      </c>
      <c r="B2653" s="43">
        <v>13769</v>
      </c>
      <c r="C2653" s="20" t="s">
        <v>7</v>
      </c>
      <c r="D2653" s="18">
        <v>1485</v>
      </c>
      <c r="E2653" s="19"/>
      <c r="F2653" s="15">
        <f t="shared" si="44"/>
        <v>16115581.320000013</v>
      </c>
    </row>
    <row r="2654" spans="1:6" x14ac:dyDescent="0.2">
      <c r="A2654" s="3">
        <v>45770</v>
      </c>
      <c r="B2654" s="43">
        <v>13769</v>
      </c>
      <c r="C2654" s="17" t="s">
        <v>227</v>
      </c>
      <c r="D2654" s="18">
        <v>311.85000000000002</v>
      </c>
      <c r="E2654" s="19"/>
      <c r="F2654" s="15">
        <f t="shared" si="44"/>
        <v>16115269.470000014</v>
      </c>
    </row>
    <row r="2655" spans="1:6" x14ac:dyDescent="0.2">
      <c r="A2655" s="3">
        <v>45770</v>
      </c>
      <c r="B2655" s="43">
        <v>13770</v>
      </c>
      <c r="C2655" s="20" t="s">
        <v>7</v>
      </c>
      <c r="D2655" s="18">
        <v>1485</v>
      </c>
      <c r="E2655" s="19"/>
      <c r="F2655" s="15">
        <f t="shared" si="44"/>
        <v>16113784.470000014</v>
      </c>
    </row>
    <row r="2656" spans="1:6" x14ac:dyDescent="0.2">
      <c r="A2656" s="3">
        <v>45770</v>
      </c>
      <c r="B2656" s="43">
        <v>13770</v>
      </c>
      <c r="C2656" s="17" t="s">
        <v>227</v>
      </c>
      <c r="D2656" s="18">
        <v>311.85000000000002</v>
      </c>
      <c r="E2656" s="19"/>
      <c r="F2656" s="15">
        <f t="shared" si="44"/>
        <v>16113472.620000014</v>
      </c>
    </row>
    <row r="2657" spans="1:6" x14ac:dyDescent="0.2">
      <c r="A2657" s="3">
        <v>45770</v>
      </c>
      <c r="B2657" s="45"/>
      <c r="C2657" s="20" t="s">
        <v>404</v>
      </c>
      <c r="D2657" s="18">
        <v>21.41</v>
      </c>
      <c r="E2657" s="19"/>
      <c r="F2657" s="15">
        <f t="shared" si="44"/>
        <v>16113451.210000014</v>
      </c>
    </row>
    <row r="2658" spans="1:6" x14ac:dyDescent="0.2">
      <c r="A2658" s="3">
        <v>45771</v>
      </c>
      <c r="B2658" s="43">
        <v>32044</v>
      </c>
      <c r="C2658" s="17" t="s">
        <v>9</v>
      </c>
      <c r="D2658" s="18">
        <v>189970</v>
      </c>
      <c r="E2658" s="19"/>
      <c r="F2658" s="15">
        <f t="shared" si="44"/>
        <v>15923481.210000014</v>
      </c>
    </row>
    <row r="2659" spans="1:6" x14ac:dyDescent="0.2">
      <c r="A2659" s="3">
        <v>45771</v>
      </c>
      <c r="B2659" s="45"/>
      <c r="C2659" s="20" t="s">
        <v>35</v>
      </c>
      <c r="D2659" s="18">
        <v>4000</v>
      </c>
      <c r="E2659" s="19"/>
      <c r="F2659" s="15">
        <f t="shared" si="44"/>
        <v>15919481.210000014</v>
      </c>
    </row>
    <row r="2660" spans="1:6" x14ac:dyDescent="0.2">
      <c r="A2660" s="3">
        <v>45771</v>
      </c>
      <c r="B2660" s="45"/>
      <c r="C2660" s="17" t="s">
        <v>36</v>
      </c>
      <c r="D2660" s="18">
        <v>60</v>
      </c>
      <c r="E2660" s="19"/>
      <c r="F2660" s="15">
        <f t="shared" si="44"/>
        <v>15919421.210000014</v>
      </c>
    </row>
    <row r="2661" spans="1:6" x14ac:dyDescent="0.2">
      <c r="A2661" s="3">
        <v>45771</v>
      </c>
      <c r="B2661" s="45"/>
      <c r="C2661" s="17" t="s">
        <v>227</v>
      </c>
      <c r="D2661" s="18">
        <v>840</v>
      </c>
      <c r="E2661" s="19"/>
      <c r="F2661" s="15">
        <f t="shared" si="44"/>
        <v>15918581.210000014</v>
      </c>
    </row>
    <row r="2662" spans="1:6" x14ac:dyDescent="0.2">
      <c r="A2662" s="3">
        <v>45771</v>
      </c>
      <c r="B2662" s="45"/>
      <c r="C2662" s="17" t="s">
        <v>37</v>
      </c>
      <c r="D2662" s="18">
        <v>120</v>
      </c>
      <c r="E2662" s="19"/>
      <c r="F2662" s="15">
        <f t="shared" si="44"/>
        <v>15918461.210000014</v>
      </c>
    </row>
    <row r="2663" spans="1:6" x14ac:dyDescent="0.2">
      <c r="A2663" s="3">
        <v>45771</v>
      </c>
      <c r="B2663" s="43">
        <v>96874411</v>
      </c>
      <c r="C2663" s="20" t="s">
        <v>405</v>
      </c>
      <c r="D2663" s="19"/>
      <c r="E2663" s="18">
        <v>16000</v>
      </c>
      <c r="F2663" s="15">
        <f t="shared" si="44"/>
        <v>15934461.210000014</v>
      </c>
    </row>
    <row r="2664" spans="1:6" x14ac:dyDescent="0.2">
      <c r="A2664" s="3">
        <v>45771</v>
      </c>
      <c r="B2664" s="43">
        <v>32253</v>
      </c>
      <c r="C2664" s="20" t="s">
        <v>28</v>
      </c>
      <c r="D2664" s="18">
        <v>50000</v>
      </c>
      <c r="E2664" s="19"/>
      <c r="F2664" s="15">
        <f t="shared" si="44"/>
        <v>15884461.210000014</v>
      </c>
    </row>
    <row r="2665" spans="1:6" x14ac:dyDescent="0.2">
      <c r="A2665" s="3">
        <v>45771</v>
      </c>
      <c r="B2665" s="43">
        <v>20449338</v>
      </c>
      <c r="C2665" s="20" t="s">
        <v>65</v>
      </c>
      <c r="D2665" s="18">
        <v>177184.67</v>
      </c>
      <c r="E2665" s="19"/>
      <c r="F2665" s="15">
        <f t="shared" si="44"/>
        <v>15707276.540000014</v>
      </c>
    </row>
    <row r="2666" spans="1:6" x14ac:dyDescent="0.2">
      <c r="A2666" s="3">
        <v>45771</v>
      </c>
      <c r="B2666" s="43">
        <v>21333591</v>
      </c>
      <c r="C2666" s="20" t="s">
        <v>66</v>
      </c>
      <c r="D2666" s="18">
        <v>618224.72</v>
      </c>
      <c r="E2666" s="19"/>
      <c r="F2666" s="15">
        <f t="shared" si="44"/>
        <v>15089051.820000013</v>
      </c>
    </row>
    <row r="2667" spans="1:6" x14ac:dyDescent="0.2">
      <c r="A2667" s="3">
        <v>45771</v>
      </c>
      <c r="B2667" s="43">
        <v>23130534</v>
      </c>
      <c r="C2667" s="20" t="s">
        <v>222</v>
      </c>
      <c r="D2667" s="18">
        <v>369604.7</v>
      </c>
      <c r="E2667" s="19"/>
      <c r="F2667" s="15">
        <f t="shared" si="44"/>
        <v>14719447.120000014</v>
      </c>
    </row>
    <row r="2668" spans="1:6" x14ac:dyDescent="0.2">
      <c r="A2668" s="3">
        <v>45771</v>
      </c>
      <c r="B2668" s="43">
        <v>24116555</v>
      </c>
      <c r="C2668" s="20" t="s">
        <v>117</v>
      </c>
      <c r="D2668" s="18">
        <v>203859.66</v>
      </c>
      <c r="E2668" s="19"/>
      <c r="F2668" s="15">
        <f t="shared" si="44"/>
        <v>14515587.460000014</v>
      </c>
    </row>
    <row r="2669" spans="1:6" x14ac:dyDescent="0.2">
      <c r="A2669" s="3">
        <v>45771</v>
      </c>
      <c r="B2669" s="43">
        <v>26799698</v>
      </c>
      <c r="C2669" s="20" t="s">
        <v>101</v>
      </c>
      <c r="D2669" s="18">
        <v>51427.48</v>
      </c>
      <c r="E2669" s="19"/>
      <c r="F2669" s="15">
        <f t="shared" si="44"/>
        <v>14464159.980000013</v>
      </c>
    </row>
    <row r="2670" spans="1:6" x14ac:dyDescent="0.2">
      <c r="A2670" s="3">
        <v>45771</v>
      </c>
      <c r="B2670" s="46">
        <v>43587214</v>
      </c>
      <c r="C2670" s="9" t="s">
        <v>71</v>
      </c>
      <c r="D2670" s="48">
        <v>68992.639999999999</v>
      </c>
      <c r="E2670" s="49"/>
      <c r="F2670" s="15">
        <f t="shared" ref="F2670:F2733" si="45">+F2669+E2670-D2670</f>
        <v>14395167.340000013</v>
      </c>
    </row>
    <row r="2671" spans="1:6" x14ac:dyDescent="0.2">
      <c r="A2671" s="3">
        <v>45771</v>
      </c>
      <c r="B2671" s="44">
        <v>44588319</v>
      </c>
      <c r="C2671" s="28" t="s">
        <v>177</v>
      </c>
      <c r="D2671" s="23">
        <v>2064398.88</v>
      </c>
      <c r="E2671" s="24"/>
      <c r="F2671" s="15">
        <f t="shared" si="45"/>
        <v>12330768.460000012</v>
      </c>
    </row>
    <row r="2672" spans="1:6" x14ac:dyDescent="0.2">
      <c r="A2672" s="3">
        <v>45771</v>
      </c>
      <c r="B2672" s="43">
        <v>45471033</v>
      </c>
      <c r="C2672" s="20" t="s">
        <v>177</v>
      </c>
      <c r="D2672" s="18">
        <v>75054.78</v>
      </c>
      <c r="E2672" s="19"/>
      <c r="F2672" s="15">
        <f t="shared" si="45"/>
        <v>12255713.680000013</v>
      </c>
    </row>
    <row r="2673" spans="1:6" x14ac:dyDescent="0.2">
      <c r="A2673" s="3">
        <v>45771</v>
      </c>
      <c r="B2673" s="43">
        <v>46422662</v>
      </c>
      <c r="C2673" s="20" t="s">
        <v>64</v>
      </c>
      <c r="D2673" s="18">
        <v>144278.14000000001</v>
      </c>
      <c r="E2673" s="19"/>
      <c r="F2673" s="15">
        <f t="shared" si="45"/>
        <v>12111435.540000012</v>
      </c>
    </row>
    <row r="2674" spans="1:6" x14ac:dyDescent="0.2">
      <c r="A2674" s="3">
        <v>45771</v>
      </c>
      <c r="B2674" s="43">
        <v>48194079</v>
      </c>
      <c r="C2674" s="20" t="s">
        <v>67</v>
      </c>
      <c r="D2674" s="18">
        <v>22973.78</v>
      </c>
      <c r="E2674" s="19"/>
      <c r="F2674" s="15">
        <f t="shared" si="45"/>
        <v>12088461.760000013</v>
      </c>
    </row>
    <row r="2675" spans="1:6" x14ac:dyDescent="0.2">
      <c r="A2675" s="3">
        <v>45771</v>
      </c>
      <c r="B2675" s="43">
        <v>50170361</v>
      </c>
      <c r="C2675" s="20" t="s">
        <v>69</v>
      </c>
      <c r="D2675" s="18">
        <v>30848.12</v>
      </c>
      <c r="E2675" s="19"/>
      <c r="F2675" s="15">
        <f t="shared" si="45"/>
        <v>12057613.640000014</v>
      </c>
    </row>
    <row r="2676" spans="1:6" x14ac:dyDescent="0.2">
      <c r="A2676" s="3">
        <v>45771</v>
      </c>
      <c r="B2676" s="43">
        <v>72182709</v>
      </c>
      <c r="C2676" s="20" t="s">
        <v>101</v>
      </c>
      <c r="D2676" s="18">
        <v>50072.02</v>
      </c>
      <c r="E2676" s="19"/>
      <c r="F2676" s="15">
        <f t="shared" si="45"/>
        <v>12007541.620000014</v>
      </c>
    </row>
    <row r="2677" spans="1:6" x14ac:dyDescent="0.2">
      <c r="A2677" s="3">
        <v>45771</v>
      </c>
      <c r="B2677" s="43">
        <v>73107273</v>
      </c>
      <c r="C2677" s="20" t="s">
        <v>70</v>
      </c>
      <c r="D2677" s="18">
        <v>22605.07</v>
      </c>
      <c r="E2677" s="19"/>
      <c r="F2677" s="15">
        <f t="shared" si="45"/>
        <v>11984936.550000014</v>
      </c>
    </row>
    <row r="2678" spans="1:6" x14ac:dyDescent="0.2">
      <c r="A2678" s="3">
        <v>45771</v>
      </c>
      <c r="B2678" s="43">
        <v>74118777</v>
      </c>
      <c r="C2678" s="20" t="s">
        <v>71</v>
      </c>
      <c r="D2678" s="18">
        <v>72938.899999999994</v>
      </c>
      <c r="E2678" s="19"/>
      <c r="F2678" s="15">
        <f t="shared" si="45"/>
        <v>11911997.650000013</v>
      </c>
    </row>
    <row r="2679" spans="1:6" x14ac:dyDescent="0.2">
      <c r="A2679" s="3">
        <v>45771</v>
      </c>
      <c r="B2679" s="43">
        <v>75031095</v>
      </c>
      <c r="C2679" s="20" t="s">
        <v>100</v>
      </c>
      <c r="D2679" s="18">
        <v>930250.67</v>
      </c>
      <c r="E2679" s="19"/>
      <c r="F2679" s="15">
        <f t="shared" si="45"/>
        <v>10981746.980000013</v>
      </c>
    </row>
    <row r="2680" spans="1:6" x14ac:dyDescent="0.2">
      <c r="A2680" s="3">
        <v>45771</v>
      </c>
      <c r="B2680" s="43">
        <v>19394698</v>
      </c>
      <c r="C2680" s="20" t="s">
        <v>388</v>
      </c>
      <c r="D2680" s="18">
        <v>1400000</v>
      </c>
      <c r="E2680" s="19"/>
      <c r="F2680" s="15">
        <f t="shared" si="45"/>
        <v>9581746.9800000135</v>
      </c>
    </row>
    <row r="2681" spans="1:6" x14ac:dyDescent="0.2">
      <c r="A2681" s="3">
        <v>45771</v>
      </c>
      <c r="B2681" s="43">
        <v>8905</v>
      </c>
      <c r="C2681" s="17" t="s">
        <v>150</v>
      </c>
      <c r="D2681" s="19"/>
      <c r="E2681" s="18">
        <v>114662.39999999999</v>
      </c>
      <c r="F2681" s="15">
        <f t="shared" si="45"/>
        <v>9696409.3800000139</v>
      </c>
    </row>
    <row r="2682" spans="1:6" x14ac:dyDescent="0.2">
      <c r="A2682" s="3">
        <v>45771</v>
      </c>
      <c r="B2682" s="45"/>
      <c r="C2682" s="17" t="s">
        <v>22</v>
      </c>
      <c r="D2682" s="18">
        <v>783.97</v>
      </c>
      <c r="E2682" s="19"/>
      <c r="F2682" s="15">
        <f t="shared" si="45"/>
        <v>9695625.4100000132</v>
      </c>
    </row>
    <row r="2683" spans="1:6" x14ac:dyDescent="0.2">
      <c r="A2683" s="3">
        <v>45771</v>
      </c>
      <c r="B2683" s="45"/>
      <c r="C2683" s="17" t="s">
        <v>16</v>
      </c>
      <c r="D2683" s="18">
        <v>39045.480000000003</v>
      </c>
      <c r="E2683" s="19"/>
      <c r="F2683" s="15">
        <f t="shared" si="45"/>
        <v>9656579.9300000127</v>
      </c>
    </row>
    <row r="2684" spans="1:6" x14ac:dyDescent="0.2">
      <c r="A2684" s="3">
        <v>45771</v>
      </c>
      <c r="B2684" s="45"/>
      <c r="C2684" s="17" t="s">
        <v>34</v>
      </c>
      <c r="D2684" s="18">
        <v>600</v>
      </c>
      <c r="E2684" s="19"/>
      <c r="F2684" s="15">
        <f t="shared" si="45"/>
        <v>9655979.9300000127</v>
      </c>
    </row>
    <row r="2685" spans="1:6" x14ac:dyDescent="0.2">
      <c r="A2685" s="3">
        <v>45771</v>
      </c>
      <c r="B2685" s="45"/>
      <c r="C2685" s="20" t="s">
        <v>406</v>
      </c>
      <c r="D2685" s="18">
        <v>261.32</v>
      </c>
      <c r="E2685" s="19"/>
      <c r="F2685" s="15">
        <f t="shared" si="45"/>
        <v>9655718.6100000124</v>
      </c>
    </row>
    <row r="2686" spans="1:6" x14ac:dyDescent="0.2">
      <c r="A2686" s="3">
        <v>45772</v>
      </c>
      <c r="B2686" s="43">
        <v>8905</v>
      </c>
      <c r="C2686" s="17" t="s">
        <v>24</v>
      </c>
      <c r="D2686" s="25"/>
      <c r="E2686" s="25">
        <v>1028437.49</v>
      </c>
      <c r="F2686" s="15">
        <f t="shared" si="45"/>
        <v>10684156.100000013</v>
      </c>
    </row>
    <row r="2687" spans="1:6" x14ac:dyDescent="0.2">
      <c r="A2687" s="3">
        <v>45772</v>
      </c>
      <c r="B2687" s="45"/>
      <c r="C2687" s="20" t="s">
        <v>207</v>
      </c>
      <c r="D2687" s="18">
        <v>1320</v>
      </c>
      <c r="E2687" s="19"/>
      <c r="F2687" s="15">
        <f t="shared" si="45"/>
        <v>10682836.100000013</v>
      </c>
    </row>
    <row r="2688" spans="1:6" x14ac:dyDescent="0.2">
      <c r="A2688" s="3">
        <v>45772</v>
      </c>
      <c r="B2688" s="45"/>
      <c r="C2688" s="17" t="s">
        <v>227</v>
      </c>
      <c r="D2688" s="18">
        <v>277.2</v>
      </c>
      <c r="E2688" s="19"/>
      <c r="F2688" s="15">
        <f t="shared" si="45"/>
        <v>10682558.900000013</v>
      </c>
    </row>
    <row r="2689" spans="1:6" x14ac:dyDescent="0.2">
      <c r="A2689" s="3">
        <v>45772</v>
      </c>
      <c r="B2689" s="43">
        <v>9139245</v>
      </c>
      <c r="C2689" s="20" t="s">
        <v>407</v>
      </c>
      <c r="D2689" s="19"/>
      <c r="E2689" s="18">
        <v>30000</v>
      </c>
      <c r="F2689" s="15">
        <f t="shared" si="45"/>
        <v>10712558.900000013</v>
      </c>
    </row>
    <row r="2690" spans="1:6" x14ac:dyDescent="0.2">
      <c r="A2690" s="3">
        <v>45772</v>
      </c>
      <c r="B2690" s="43">
        <v>15044643</v>
      </c>
      <c r="C2690" s="20" t="s">
        <v>408</v>
      </c>
      <c r="D2690" s="18">
        <v>250000</v>
      </c>
      <c r="E2690" s="19"/>
      <c r="F2690" s="15">
        <f t="shared" si="45"/>
        <v>10462558.900000013</v>
      </c>
    </row>
    <row r="2691" spans="1:6" x14ac:dyDescent="0.2">
      <c r="A2691" s="3">
        <v>45772</v>
      </c>
      <c r="B2691" s="43">
        <v>15019699</v>
      </c>
      <c r="C2691" s="20" t="s">
        <v>408</v>
      </c>
      <c r="D2691" s="18">
        <v>250000</v>
      </c>
      <c r="E2691" s="19"/>
      <c r="F2691" s="15">
        <f t="shared" si="45"/>
        <v>10212558.900000013</v>
      </c>
    </row>
    <row r="2692" spans="1:6" x14ac:dyDescent="0.2">
      <c r="A2692" s="3">
        <v>45772</v>
      </c>
      <c r="B2692" s="43">
        <v>15021043</v>
      </c>
      <c r="C2692" s="20" t="s">
        <v>409</v>
      </c>
      <c r="D2692" s="18">
        <v>177249</v>
      </c>
      <c r="E2692" s="19"/>
      <c r="F2692" s="15">
        <f t="shared" si="45"/>
        <v>10035309.900000013</v>
      </c>
    </row>
    <row r="2693" spans="1:6" x14ac:dyDescent="0.2">
      <c r="A2693" s="3">
        <v>45772</v>
      </c>
      <c r="B2693" s="43">
        <v>6852</v>
      </c>
      <c r="C2693" s="20" t="s">
        <v>410</v>
      </c>
      <c r="D2693" s="25"/>
      <c r="E2693" s="25">
        <v>60000000</v>
      </c>
      <c r="F2693" s="15">
        <f t="shared" si="45"/>
        <v>70035309.900000006</v>
      </c>
    </row>
    <row r="2694" spans="1:6" x14ac:dyDescent="0.2">
      <c r="A2694" s="3">
        <v>45772</v>
      </c>
      <c r="B2694" s="43">
        <v>6853</v>
      </c>
      <c r="C2694" s="20" t="s">
        <v>410</v>
      </c>
      <c r="D2694" s="25"/>
      <c r="E2694" s="25">
        <v>60000000</v>
      </c>
      <c r="F2694" s="15">
        <f t="shared" si="45"/>
        <v>130035309.90000001</v>
      </c>
    </row>
    <row r="2695" spans="1:6" x14ac:dyDescent="0.2">
      <c r="A2695" s="3">
        <v>45772</v>
      </c>
      <c r="B2695" s="51"/>
      <c r="C2695" s="47" t="s">
        <v>22</v>
      </c>
      <c r="D2695" s="48">
        <v>6350.62</v>
      </c>
      <c r="E2695" s="49"/>
      <c r="F2695" s="15">
        <f t="shared" si="45"/>
        <v>130028959.28</v>
      </c>
    </row>
    <row r="2696" spans="1:6" x14ac:dyDescent="0.2">
      <c r="A2696" s="3">
        <v>45772</v>
      </c>
      <c r="B2696" s="50"/>
      <c r="C2696" s="22" t="s">
        <v>16</v>
      </c>
      <c r="D2696" s="23">
        <v>4074.64</v>
      </c>
      <c r="E2696" s="24"/>
      <c r="F2696" s="15">
        <f t="shared" si="45"/>
        <v>130024884.64</v>
      </c>
    </row>
    <row r="2697" spans="1:6" x14ac:dyDescent="0.2">
      <c r="A2697" s="3">
        <v>45772</v>
      </c>
      <c r="B2697" s="45"/>
      <c r="C2697" s="20" t="s">
        <v>411</v>
      </c>
      <c r="D2697" s="18">
        <v>2116.87</v>
      </c>
      <c r="E2697" s="19"/>
      <c r="F2697" s="15">
        <f t="shared" si="45"/>
        <v>130022767.77</v>
      </c>
    </row>
    <row r="2698" spans="1:6" x14ac:dyDescent="0.2">
      <c r="A2698" s="3">
        <v>45773</v>
      </c>
      <c r="B2698" s="43">
        <v>20457760</v>
      </c>
      <c r="C2698" s="20" t="s">
        <v>412</v>
      </c>
      <c r="D2698" s="19"/>
      <c r="E2698" s="18">
        <v>16000</v>
      </c>
      <c r="F2698" s="15">
        <f t="shared" si="45"/>
        <v>130038767.77</v>
      </c>
    </row>
    <row r="2699" spans="1:6" x14ac:dyDescent="0.2">
      <c r="A2699" s="3">
        <v>45775</v>
      </c>
      <c r="B2699" s="43">
        <v>17153059</v>
      </c>
      <c r="C2699" s="20" t="s">
        <v>319</v>
      </c>
      <c r="D2699" s="18">
        <v>4700000</v>
      </c>
      <c r="E2699" s="19"/>
      <c r="F2699" s="15">
        <f t="shared" si="45"/>
        <v>125338767.77</v>
      </c>
    </row>
    <row r="2700" spans="1:6" x14ac:dyDescent="0.2">
      <c r="A2700" s="3">
        <v>45775</v>
      </c>
      <c r="B2700" s="43">
        <v>17153060</v>
      </c>
      <c r="C2700" s="20" t="s">
        <v>319</v>
      </c>
      <c r="D2700" s="18">
        <v>266000</v>
      </c>
      <c r="E2700" s="19"/>
      <c r="F2700" s="15">
        <f t="shared" si="45"/>
        <v>125072767.77</v>
      </c>
    </row>
    <row r="2701" spans="1:6" x14ac:dyDescent="0.2">
      <c r="A2701" s="3">
        <v>45775</v>
      </c>
      <c r="B2701" s="43">
        <v>17153061</v>
      </c>
      <c r="C2701" s="20" t="s">
        <v>319</v>
      </c>
      <c r="D2701" s="18">
        <v>367170</v>
      </c>
      <c r="E2701" s="19"/>
      <c r="F2701" s="15">
        <f t="shared" si="45"/>
        <v>124705597.77</v>
      </c>
    </row>
    <row r="2702" spans="1:6" x14ac:dyDescent="0.2">
      <c r="A2702" s="3">
        <v>45775</v>
      </c>
      <c r="B2702" s="43">
        <v>17153062</v>
      </c>
      <c r="C2702" s="20" t="s">
        <v>319</v>
      </c>
      <c r="D2702" s="18">
        <v>2261954</v>
      </c>
      <c r="E2702" s="19"/>
      <c r="F2702" s="15">
        <f t="shared" si="45"/>
        <v>122443643.77</v>
      </c>
    </row>
    <row r="2703" spans="1:6" x14ac:dyDescent="0.2">
      <c r="A2703" s="3">
        <v>45775</v>
      </c>
      <c r="B2703" s="43">
        <v>17153063</v>
      </c>
      <c r="C2703" s="20" t="s">
        <v>319</v>
      </c>
      <c r="D2703" s="18">
        <v>1400000</v>
      </c>
      <c r="E2703" s="19"/>
      <c r="F2703" s="15">
        <f t="shared" si="45"/>
        <v>121043643.77</v>
      </c>
    </row>
    <row r="2704" spans="1:6" x14ac:dyDescent="0.2">
      <c r="A2704" s="3">
        <v>45775</v>
      </c>
      <c r="B2704" s="43">
        <v>17153064</v>
      </c>
      <c r="C2704" s="20" t="s">
        <v>319</v>
      </c>
      <c r="D2704" s="18">
        <v>608290</v>
      </c>
      <c r="E2704" s="19"/>
      <c r="F2704" s="15">
        <f t="shared" si="45"/>
        <v>120435353.77</v>
      </c>
    </row>
    <row r="2705" spans="1:6" x14ac:dyDescent="0.2">
      <c r="A2705" s="3">
        <v>45775</v>
      </c>
      <c r="B2705" s="43">
        <v>17153065</v>
      </c>
      <c r="C2705" s="20" t="s">
        <v>319</v>
      </c>
      <c r="D2705" s="18">
        <v>880000</v>
      </c>
      <c r="E2705" s="19"/>
      <c r="F2705" s="15">
        <f t="shared" si="45"/>
        <v>119555353.77</v>
      </c>
    </row>
    <row r="2706" spans="1:6" x14ac:dyDescent="0.2">
      <c r="A2706" s="3">
        <v>45775</v>
      </c>
      <c r="B2706" s="43">
        <v>17153066</v>
      </c>
      <c r="C2706" s="20" t="s">
        <v>319</v>
      </c>
      <c r="D2706" s="18">
        <v>200000</v>
      </c>
      <c r="E2706" s="19"/>
      <c r="F2706" s="15">
        <f t="shared" si="45"/>
        <v>119355353.77</v>
      </c>
    </row>
    <row r="2707" spans="1:6" x14ac:dyDescent="0.2">
      <c r="A2707" s="3">
        <v>45775</v>
      </c>
      <c r="B2707" s="43">
        <v>17153067</v>
      </c>
      <c r="C2707" s="20" t="s">
        <v>319</v>
      </c>
      <c r="D2707" s="18">
        <v>222000</v>
      </c>
      <c r="E2707" s="19"/>
      <c r="F2707" s="15">
        <f t="shared" si="45"/>
        <v>119133353.77</v>
      </c>
    </row>
    <row r="2708" spans="1:6" x14ac:dyDescent="0.2">
      <c r="A2708" s="3">
        <v>45775</v>
      </c>
      <c r="B2708" s="43">
        <v>17153068</v>
      </c>
      <c r="C2708" s="20" t="s">
        <v>319</v>
      </c>
      <c r="D2708" s="18">
        <v>741000</v>
      </c>
      <c r="E2708" s="19"/>
      <c r="F2708" s="15">
        <f t="shared" si="45"/>
        <v>118392353.77</v>
      </c>
    </row>
    <row r="2709" spans="1:6" x14ac:dyDescent="0.2">
      <c r="A2709" s="3">
        <v>45775</v>
      </c>
      <c r="B2709" s="43">
        <v>17153069</v>
      </c>
      <c r="C2709" s="20" t="s">
        <v>319</v>
      </c>
      <c r="D2709" s="18">
        <v>793250</v>
      </c>
      <c r="E2709" s="19"/>
      <c r="F2709" s="15">
        <f t="shared" si="45"/>
        <v>117599103.77</v>
      </c>
    </row>
    <row r="2710" spans="1:6" x14ac:dyDescent="0.2">
      <c r="A2710" s="3">
        <v>45775</v>
      </c>
      <c r="B2710" s="43">
        <v>17153070</v>
      </c>
      <c r="C2710" s="20" t="s">
        <v>319</v>
      </c>
      <c r="D2710" s="18">
        <v>507300</v>
      </c>
      <c r="E2710" s="19"/>
      <c r="F2710" s="15">
        <f t="shared" si="45"/>
        <v>117091803.77</v>
      </c>
    </row>
    <row r="2711" spans="1:6" x14ac:dyDescent="0.2">
      <c r="A2711" s="3">
        <v>45775</v>
      </c>
      <c r="B2711" s="43">
        <v>17153071</v>
      </c>
      <c r="C2711" s="20" t="s">
        <v>319</v>
      </c>
      <c r="D2711" s="18">
        <v>2782500</v>
      </c>
      <c r="E2711" s="19"/>
      <c r="F2711" s="15">
        <f t="shared" si="45"/>
        <v>114309303.77</v>
      </c>
    </row>
    <row r="2712" spans="1:6" x14ac:dyDescent="0.2">
      <c r="A2712" s="3">
        <v>45775</v>
      </c>
      <c r="B2712" s="43">
        <v>17153072</v>
      </c>
      <c r="C2712" s="20" t="s">
        <v>319</v>
      </c>
      <c r="D2712" s="18">
        <v>195000</v>
      </c>
      <c r="E2712" s="19"/>
      <c r="F2712" s="15">
        <f t="shared" si="45"/>
        <v>114114303.77</v>
      </c>
    </row>
    <row r="2713" spans="1:6" x14ac:dyDescent="0.2">
      <c r="A2713" s="3">
        <v>45775</v>
      </c>
      <c r="B2713" s="43">
        <v>17153073</v>
      </c>
      <c r="C2713" s="20" t="s">
        <v>319</v>
      </c>
      <c r="D2713" s="18">
        <v>406600</v>
      </c>
      <c r="E2713" s="19"/>
      <c r="F2713" s="15">
        <f t="shared" si="45"/>
        <v>113707703.77</v>
      </c>
    </row>
    <row r="2714" spans="1:6" x14ac:dyDescent="0.2">
      <c r="A2714" s="3">
        <v>45775</v>
      </c>
      <c r="B2714" s="43">
        <v>17153074</v>
      </c>
      <c r="C2714" s="20" t="s">
        <v>319</v>
      </c>
      <c r="D2714" s="18">
        <v>150100</v>
      </c>
      <c r="E2714" s="19"/>
      <c r="F2714" s="15">
        <f t="shared" si="45"/>
        <v>113557603.77</v>
      </c>
    </row>
    <row r="2715" spans="1:6" x14ac:dyDescent="0.2">
      <c r="A2715" s="3">
        <v>45775</v>
      </c>
      <c r="B2715" s="43">
        <v>17153075</v>
      </c>
      <c r="C2715" s="20" t="s">
        <v>319</v>
      </c>
      <c r="D2715" s="18">
        <v>903382</v>
      </c>
      <c r="E2715" s="19"/>
      <c r="F2715" s="15">
        <f t="shared" si="45"/>
        <v>112654221.77</v>
      </c>
    </row>
    <row r="2716" spans="1:6" x14ac:dyDescent="0.2">
      <c r="A2716" s="3">
        <v>45775</v>
      </c>
      <c r="B2716" s="43">
        <v>17153076</v>
      </c>
      <c r="C2716" s="20" t="s">
        <v>319</v>
      </c>
      <c r="D2716" s="18">
        <v>1193200</v>
      </c>
      <c r="E2716" s="19"/>
      <c r="F2716" s="15">
        <f t="shared" si="45"/>
        <v>111461021.77</v>
      </c>
    </row>
    <row r="2717" spans="1:6" x14ac:dyDescent="0.2">
      <c r="A2717" s="3">
        <v>45775</v>
      </c>
      <c r="B2717" s="43">
        <v>17153077</v>
      </c>
      <c r="C2717" s="20" t="s">
        <v>319</v>
      </c>
      <c r="D2717" s="18">
        <v>552600</v>
      </c>
      <c r="E2717" s="19"/>
      <c r="F2717" s="15">
        <f t="shared" si="45"/>
        <v>110908421.77</v>
      </c>
    </row>
    <row r="2718" spans="1:6" x14ac:dyDescent="0.2">
      <c r="A2718" s="3">
        <v>45775</v>
      </c>
      <c r="B2718" s="46">
        <v>17153078</v>
      </c>
      <c r="C2718" s="9" t="s">
        <v>319</v>
      </c>
      <c r="D2718" s="48">
        <v>396000</v>
      </c>
      <c r="E2718" s="49"/>
      <c r="F2718" s="15">
        <f t="shared" si="45"/>
        <v>110512421.77</v>
      </c>
    </row>
    <row r="2719" spans="1:6" x14ac:dyDescent="0.2">
      <c r="A2719" s="3">
        <v>45775</v>
      </c>
      <c r="B2719" s="44">
        <v>17153079</v>
      </c>
      <c r="C2719" s="28" t="s">
        <v>319</v>
      </c>
      <c r="D2719" s="23">
        <v>180800</v>
      </c>
      <c r="E2719" s="24"/>
      <c r="F2719" s="15">
        <f t="shared" si="45"/>
        <v>110331621.77</v>
      </c>
    </row>
    <row r="2720" spans="1:6" x14ac:dyDescent="0.2">
      <c r="A2720" s="3">
        <v>45775</v>
      </c>
      <c r="B2720" s="43">
        <v>17153080</v>
      </c>
      <c r="C2720" s="20" t="s">
        <v>319</v>
      </c>
      <c r="D2720" s="18">
        <v>800000</v>
      </c>
      <c r="E2720" s="19"/>
      <c r="F2720" s="15">
        <f t="shared" si="45"/>
        <v>109531621.77</v>
      </c>
    </row>
    <row r="2721" spans="1:6" x14ac:dyDescent="0.2">
      <c r="A2721" s="3">
        <v>45775</v>
      </c>
      <c r="B2721" s="43">
        <v>17153081</v>
      </c>
      <c r="C2721" s="20" t="s">
        <v>319</v>
      </c>
      <c r="D2721" s="18">
        <v>777510</v>
      </c>
      <c r="E2721" s="19"/>
      <c r="F2721" s="15">
        <f t="shared" si="45"/>
        <v>108754111.77</v>
      </c>
    </row>
    <row r="2722" spans="1:6" x14ac:dyDescent="0.2">
      <c r="A2722" s="3">
        <v>45775</v>
      </c>
      <c r="B2722" s="43">
        <v>17153082</v>
      </c>
      <c r="C2722" s="20" t="s">
        <v>319</v>
      </c>
      <c r="D2722" s="18">
        <v>733875</v>
      </c>
      <c r="E2722" s="19"/>
      <c r="F2722" s="15">
        <f t="shared" si="45"/>
        <v>108020236.77</v>
      </c>
    </row>
    <row r="2723" spans="1:6" x14ac:dyDescent="0.2">
      <c r="A2723" s="3">
        <v>45775</v>
      </c>
      <c r="B2723" s="43">
        <v>17153083</v>
      </c>
      <c r="C2723" s="20" t="s">
        <v>319</v>
      </c>
      <c r="D2723" s="18">
        <v>36100</v>
      </c>
      <c r="E2723" s="19"/>
      <c r="F2723" s="15">
        <f t="shared" si="45"/>
        <v>107984136.77</v>
      </c>
    </row>
    <row r="2724" spans="1:6" x14ac:dyDescent="0.2">
      <c r="A2724" s="3">
        <v>45775</v>
      </c>
      <c r="B2724" s="43">
        <v>17153084</v>
      </c>
      <c r="C2724" s="20" t="s">
        <v>319</v>
      </c>
      <c r="D2724" s="18">
        <v>288000</v>
      </c>
      <c r="E2724" s="19"/>
      <c r="F2724" s="15">
        <f t="shared" si="45"/>
        <v>107696136.77</v>
      </c>
    </row>
    <row r="2725" spans="1:6" x14ac:dyDescent="0.2">
      <c r="A2725" s="3">
        <v>45775</v>
      </c>
      <c r="B2725" s="43">
        <v>17153085</v>
      </c>
      <c r="C2725" s="20" t="s">
        <v>319</v>
      </c>
      <c r="D2725" s="18">
        <v>210000</v>
      </c>
      <c r="E2725" s="19"/>
      <c r="F2725" s="15">
        <f t="shared" si="45"/>
        <v>107486136.77</v>
      </c>
    </row>
    <row r="2726" spans="1:6" x14ac:dyDescent="0.2">
      <c r="A2726" s="3">
        <v>45775</v>
      </c>
      <c r="B2726" s="43">
        <v>17153086</v>
      </c>
      <c r="C2726" s="20" t="s">
        <v>319</v>
      </c>
      <c r="D2726" s="18">
        <v>2266500</v>
      </c>
      <c r="E2726" s="19"/>
      <c r="F2726" s="15">
        <f t="shared" si="45"/>
        <v>105219636.77</v>
      </c>
    </row>
    <row r="2727" spans="1:6" x14ac:dyDescent="0.2">
      <c r="A2727" s="3">
        <v>45775</v>
      </c>
      <c r="B2727" s="43">
        <v>17153087</v>
      </c>
      <c r="C2727" s="20" t="s">
        <v>319</v>
      </c>
      <c r="D2727" s="18">
        <v>860000</v>
      </c>
      <c r="E2727" s="19"/>
      <c r="F2727" s="15">
        <f t="shared" si="45"/>
        <v>104359636.77</v>
      </c>
    </row>
    <row r="2728" spans="1:6" x14ac:dyDescent="0.2">
      <c r="A2728" s="3">
        <v>45775</v>
      </c>
      <c r="B2728" s="43">
        <v>17153088</v>
      </c>
      <c r="C2728" s="20" t="s">
        <v>319</v>
      </c>
      <c r="D2728" s="18">
        <v>3045000</v>
      </c>
      <c r="E2728" s="19"/>
      <c r="F2728" s="15">
        <f t="shared" si="45"/>
        <v>101314636.77</v>
      </c>
    </row>
    <row r="2729" spans="1:6" x14ac:dyDescent="0.2">
      <c r="A2729" s="3">
        <v>45775</v>
      </c>
      <c r="B2729" s="43">
        <v>17153089</v>
      </c>
      <c r="C2729" s="20" t="s">
        <v>319</v>
      </c>
      <c r="D2729" s="18">
        <v>500000</v>
      </c>
      <c r="E2729" s="19"/>
      <c r="F2729" s="15">
        <f t="shared" si="45"/>
        <v>100814636.77</v>
      </c>
    </row>
    <row r="2730" spans="1:6" x14ac:dyDescent="0.2">
      <c r="A2730" s="3">
        <v>45775</v>
      </c>
      <c r="B2730" s="43">
        <v>17153090</v>
      </c>
      <c r="C2730" s="20" t="s">
        <v>319</v>
      </c>
      <c r="D2730" s="18">
        <v>1914690</v>
      </c>
      <c r="E2730" s="19"/>
      <c r="F2730" s="15">
        <f t="shared" si="45"/>
        <v>98899946.769999996</v>
      </c>
    </row>
    <row r="2731" spans="1:6" x14ac:dyDescent="0.2">
      <c r="A2731" s="3">
        <v>45775</v>
      </c>
      <c r="B2731" s="43">
        <v>17153091</v>
      </c>
      <c r="C2731" s="20" t="s">
        <v>319</v>
      </c>
      <c r="D2731" s="18">
        <v>494000</v>
      </c>
      <c r="E2731" s="19"/>
      <c r="F2731" s="15">
        <f t="shared" si="45"/>
        <v>98405946.769999996</v>
      </c>
    </row>
    <row r="2732" spans="1:6" x14ac:dyDescent="0.2">
      <c r="A2732" s="3">
        <v>45775</v>
      </c>
      <c r="B2732" s="43">
        <v>17153092</v>
      </c>
      <c r="C2732" s="20" t="s">
        <v>319</v>
      </c>
      <c r="D2732" s="18">
        <v>2671600</v>
      </c>
      <c r="E2732" s="19"/>
      <c r="F2732" s="15">
        <f t="shared" si="45"/>
        <v>95734346.769999996</v>
      </c>
    </row>
    <row r="2733" spans="1:6" x14ac:dyDescent="0.2">
      <c r="A2733" s="3">
        <v>45775</v>
      </c>
      <c r="B2733" s="43">
        <v>17153093</v>
      </c>
      <c r="C2733" s="20" t="s">
        <v>319</v>
      </c>
      <c r="D2733" s="18">
        <v>2544400</v>
      </c>
      <c r="E2733" s="19"/>
      <c r="F2733" s="15">
        <f t="shared" si="45"/>
        <v>93189946.769999996</v>
      </c>
    </row>
    <row r="2734" spans="1:6" x14ac:dyDescent="0.2">
      <c r="A2734" s="3">
        <v>45775</v>
      </c>
      <c r="B2734" s="43">
        <v>17153094</v>
      </c>
      <c r="C2734" s="20" t="s">
        <v>319</v>
      </c>
      <c r="D2734" s="18">
        <v>338200</v>
      </c>
      <c r="E2734" s="19"/>
      <c r="F2734" s="15">
        <f t="shared" ref="F2734:F2797" si="46">+F2733+E2734-D2734</f>
        <v>92851746.769999996</v>
      </c>
    </row>
    <row r="2735" spans="1:6" x14ac:dyDescent="0.2">
      <c r="A2735" s="3">
        <v>45775</v>
      </c>
      <c r="B2735" s="43">
        <v>17153095</v>
      </c>
      <c r="C2735" s="20" t="s">
        <v>319</v>
      </c>
      <c r="D2735" s="18">
        <v>1000000</v>
      </c>
      <c r="E2735" s="19"/>
      <c r="F2735" s="15">
        <f t="shared" si="46"/>
        <v>91851746.769999996</v>
      </c>
    </row>
    <row r="2736" spans="1:6" x14ac:dyDescent="0.2">
      <c r="A2736" s="3">
        <v>45775</v>
      </c>
      <c r="B2736" s="43">
        <v>17153096</v>
      </c>
      <c r="C2736" s="20" t="s">
        <v>319</v>
      </c>
      <c r="D2736" s="18">
        <v>682750</v>
      </c>
      <c r="E2736" s="19"/>
      <c r="F2736" s="15">
        <f t="shared" si="46"/>
        <v>91168996.769999996</v>
      </c>
    </row>
    <row r="2737" spans="1:6" x14ac:dyDescent="0.2">
      <c r="A2737" s="3">
        <v>45775</v>
      </c>
      <c r="B2737" s="43">
        <v>17153097</v>
      </c>
      <c r="C2737" s="20" t="s">
        <v>319</v>
      </c>
      <c r="D2737" s="18">
        <v>98200</v>
      </c>
      <c r="E2737" s="19"/>
      <c r="F2737" s="15">
        <f t="shared" si="46"/>
        <v>91070796.769999996</v>
      </c>
    </row>
    <row r="2738" spans="1:6" x14ac:dyDescent="0.2">
      <c r="A2738" s="3">
        <v>45775</v>
      </c>
      <c r="B2738" s="43">
        <v>17153098</v>
      </c>
      <c r="C2738" s="20" t="s">
        <v>319</v>
      </c>
      <c r="D2738" s="18">
        <v>369550</v>
      </c>
      <c r="E2738" s="19"/>
      <c r="F2738" s="15">
        <f t="shared" si="46"/>
        <v>90701246.769999996</v>
      </c>
    </row>
    <row r="2739" spans="1:6" x14ac:dyDescent="0.2">
      <c r="A2739" s="3">
        <v>45775</v>
      </c>
      <c r="B2739" s="43">
        <v>17153099</v>
      </c>
      <c r="C2739" s="20" t="s">
        <v>319</v>
      </c>
      <c r="D2739" s="18">
        <v>2719500</v>
      </c>
      <c r="E2739" s="19"/>
      <c r="F2739" s="15">
        <f t="shared" si="46"/>
        <v>87981746.769999996</v>
      </c>
    </row>
    <row r="2740" spans="1:6" x14ac:dyDescent="0.2">
      <c r="A2740" s="3">
        <v>45775</v>
      </c>
      <c r="B2740" s="43">
        <v>17153100</v>
      </c>
      <c r="C2740" s="20" t="s">
        <v>319</v>
      </c>
      <c r="D2740" s="18">
        <v>300000</v>
      </c>
      <c r="E2740" s="19"/>
      <c r="F2740" s="15">
        <f t="shared" si="46"/>
        <v>87681746.769999996</v>
      </c>
    </row>
    <row r="2741" spans="1:6" x14ac:dyDescent="0.2">
      <c r="A2741" s="3">
        <v>45775</v>
      </c>
      <c r="B2741" s="46">
        <v>17153101</v>
      </c>
      <c r="C2741" s="9" t="s">
        <v>319</v>
      </c>
      <c r="D2741" s="48">
        <v>826500</v>
      </c>
      <c r="E2741" s="49"/>
      <c r="F2741" s="15">
        <f t="shared" si="46"/>
        <v>86855246.769999996</v>
      </c>
    </row>
    <row r="2742" spans="1:6" x14ac:dyDescent="0.2">
      <c r="A2742" s="3">
        <v>45775</v>
      </c>
      <c r="B2742" s="44">
        <v>17153102</v>
      </c>
      <c r="C2742" s="28" t="s">
        <v>319</v>
      </c>
      <c r="D2742" s="23">
        <v>79800</v>
      </c>
      <c r="E2742" s="24"/>
      <c r="F2742" s="15">
        <f t="shared" si="46"/>
        <v>86775446.769999996</v>
      </c>
    </row>
    <row r="2743" spans="1:6" x14ac:dyDescent="0.2">
      <c r="A2743" s="3">
        <v>45775</v>
      </c>
      <c r="B2743" s="43">
        <v>17153103</v>
      </c>
      <c r="C2743" s="20" t="s">
        <v>319</v>
      </c>
      <c r="D2743" s="18">
        <v>242000</v>
      </c>
      <c r="E2743" s="19"/>
      <c r="F2743" s="15">
        <f t="shared" si="46"/>
        <v>86533446.769999996</v>
      </c>
    </row>
    <row r="2744" spans="1:6" x14ac:dyDescent="0.2">
      <c r="A2744" s="3">
        <v>45775</v>
      </c>
      <c r="B2744" s="43">
        <v>17153104</v>
      </c>
      <c r="C2744" s="20" t="s">
        <v>319</v>
      </c>
      <c r="D2744" s="18">
        <v>485450</v>
      </c>
      <c r="E2744" s="19"/>
      <c r="F2744" s="15">
        <f t="shared" si="46"/>
        <v>86047996.769999996</v>
      </c>
    </row>
    <row r="2745" spans="1:6" x14ac:dyDescent="0.2">
      <c r="A2745" s="3">
        <v>45775</v>
      </c>
      <c r="B2745" s="43">
        <v>17153105</v>
      </c>
      <c r="C2745" s="20" t="s">
        <v>319</v>
      </c>
      <c r="D2745" s="18">
        <v>440000</v>
      </c>
      <c r="E2745" s="19"/>
      <c r="F2745" s="15">
        <f t="shared" si="46"/>
        <v>85607996.769999996</v>
      </c>
    </row>
    <row r="2746" spans="1:6" x14ac:dyDescent="0.2">
      <c r="A2746" s="3">
        <v>45775</v>
      </c>
      <c r="B2746" s="43">
        <v>17153106</v>
      </c>
      <c r="C2746" s="20" t="s">
        <v>319</v>
      </c>
      <c r="D2746" s="18">
        <v>1105800</v>
      </c>
      <c r="E2746" s="19"/>
      <c r="F2746" s="15">
        <f t="shared" si="46"/>
        <v>84502196.769999996</v>
      </c>
    </row>
    <row r="2747" spans="1:6" x14ac:dyDescent="0.2">
      <c r="A2747" s="3">
        <v>45775</v>
      </c>
      <c r="B2747" s="43">
        <v>17153107</v>
      </c>
      <c r="C2747" s="20" t="s">
        <v>319</v>
      </c>
      <c r="D2747" s="18">
        <v>180000</v>
      </c>
      <c r="E2747" s="19"/>
      <c r="F2747" s="15">
        <f t="shared" si="46"/>
        <v>84322196.769999996</v>
      </c>
    </row>
    <row r="2748" spans="1:6" x14ac:dyDescent="0.2">
      <c r="A2748" s="3">
        <v>45775</v>
      </c>
      <c r="B2748" s="43">
        <v>17153108</v>
      </c>
      <c r="C2748" s="20" t="s">
        <v>319</v>
      </c>
      <c r="D2748" s="18">
        <v>1100000</v>
      </c>
      <c r="E2748" s="19"/>
      <c r="F2748" s="15">
        <f t="shared" si="46"/>
        <v>83222196.769999996</v>
      </c>
    </row>
    <row r="2749" spans="1:6" x14ac:dyDescent="0.2">
      <c r="A2749" s="3">
        <v>45775</v>
      </c>
      <c r="B2749" s="43">
        <v>17153109</v>
      </c>
      <c r="C2749" s="20" t="s">
        <v>319</v>
      </c>
      <c r="D2749" s="18">
        <v>428000</v>
      </c>
      <c r="E2749" s="19"/>
      <c r="F2749" s="15">
        <f t="shared" si="46"/>
        <v>82794196.769999996</v>
      </c>
    </row>
    <row r="2750" spans="1:6" x14ac:dyDescent="0.2">
      <c r="A2750" s="3">
        <v>45775</v>
      </c>
      <c r="B2750" s="43">
        <v>17153110</v>
      </c>
      <c r="C2750" s="20" t="s">
        <v>319</v>
      </c>
      <c r="D2750" s="18">
        <v>1600000</v>
      </c>
      <c r="E2750" s="19"/>
      <c r="F2750" s="15">
        <f t="shared" si="46"/>
        <v>81194196.769999996</v>
      </c>
    </row>
    <row r="2751" spans="1:6" x14ac:dyDescent="0.2">
      <c r="A2751" s="3">
        <v>45775</v>
      </c>
      <c r="B2751" s="43">
        <v>17153111</v>
      </c>
      <c r="C2751" s="20" t="s">
        <v>319</v>
      </c>
      <c r="D2751" s="18">
        <v>312000</v>
      </c>
      <c r="E2751" s="19"/>
      <c r="F2751" s="15">
        <f t="shared" si="46"/>
        <v>80882196.769999996</v>
      </c>
    </row>
    <row r="2752" spans="1:6" x14ac:dyDescent="0.2">
      <c r="A2752" s="3">
        <v>45775</v>
      </c>
      <c r="B2752" s="43">
        <v>17153112</v>
      </c>
      <c r="C2752" s="20" t="s">
        <v>319</v>
      </c>
      <c r="D2752" s="18">
        <v>665000</v>
      </c>
      <c r="E2752" s="19"/>
      <c r="F2752" s="15">
        <f t="shared" si="46"/>
        <v>80217196.769999996</v>
      </c>
    </row>
    <row r="2753" spans="1:6" x14ac:dyDescent="0.2">
      <c r="A2753" s="3">
        <v>45775</v>
      </c>
      <c r="B2753" s="43">
        <v>17153113</v>
      </c>
      <c r="C2753" s="20" t="s">
        <v>319</v>
      </c>
      <c r="D2753" s="18">
        <v>1392000</v>
      </c>
      <c r="E2753" s="19"/>
      <c r="F2753" s="15">
        <f t="shared" si="46"/>
        <v>78825196.769999996</v>
      </c>
    </row>
    <row r="2754" spans="1:6" x14ac:dyDescent="0.2">
      <c r="A2754" s="3">
        <v>45775</v>
      </c>
      <c r="B2754" s="43">
        <v>17153114</v>
      </c>
      <c r="C2754" s="20" t="s">
        <v>319</v>
      </c>
      <c r="D2754" s="18">
        <v>75000</v>
      </c>
      <c r="E2754" s="19"/>
      <c r="F2754" s="15">
        <f t="shared" si="46"/>
        <v>78750196.769999996</v>
      </c>
    </row>
    <row r="2755" spans="1:6" x14ac:dyDescent="0.2">
      <c r="A2755" s="3">
        <v>45775</v>
      </c>
      <c r="B2755" s="43">
        <v>17153115</v>
      </c>
      <c r="C2755" s="20" t="s">
        <v>319</v>
      </c>
      <c r="D2755" s="18">
        <v>451500</v>
      </c>
      <c r="E2755" s="19"/>
      <c r="F2755" s="15">
        <f t="shared" si="46"/>
        <v>78298696.769999996</v>
      </c>
    </row>
    <row r="2756" spans="1:6" x14ac:dyDescent="0.2">
      <c r="A2756" s="3">
        <v>45775</v>
      </c>
      <c r="B2756" s="43">
        <v>16134918</v>
      </c>
      <c r="C2756" s="20" t="s">
        <v>413</v>
      </c>
      <c r="D2756" s="18">
        <v>2000000</v>
      </c>
      <c r="E2756" s="19"/>
      <c r="F2756" s="15">
        <f t="shared" si="46"/>
        <v>76298696.769999996</v>
      </c>
    </row>
    <row r="2757" spans="1:6" x14ac:dyDescent="0.2">
      <c r="A2757" s="3">
        <v>45775</v>
      </c>
      <c r="B2757" s="43">
        <v>73862117</v>
      </c>
      <c r="C2757" s="20" t="s">
        <v>318</v>
      </c>
      <c r="D2757" s="18">
        <v>222000</v>
      </c>
      <c r="E2757" s="19"/>
      <c r="F2757" s="15">
        <f t="shared" si="46"/>
        <v>76076696.769999996</v>
      </c>
    </row>
    <row r="2758" spans="1:6" x14ac:dyDescent="0.2">
      <c r="A2758" s="3">
        <v>45775</v>
      </c>
      <c r="B2758" s="43">
        <v>4247164</v>
      </c>
      <c r="C2758" s="20" t="s">
        <v>85</v>
      </c>
      <c r="D2758" s="18">
        <v>2000000</v>
      </c>
      <c r="E2758" s="19"/>
      <c r="F2758" s="15">
        <f t="shared" si="46"/>
        <v>74076696.769999996</v>
      </c>
    </row>
    <row r="2759" spans="1:6" x14ac:dyDescent="0.2">
      <c r="A2759" s="3">
        <v>45775</v>
      </c>
      <c r="B2759" s="43">
        <v>4247165</v>
      </c>
      <c r="C2759" s="20" t="s">
        <v>414</v>
      </c>
      <c r="D2759" s="18">
        <v>2850000</v>
      </c>
      <c r="E2759" s="19"/>
      <c r="F2759" s="15">
        <f t="shared" si="46"/>
        <v>71226696.769999996</v>
      </c>
    </row>
    <row r="2760" spans="1:6" x14ac:dyDescent="0.2">
      <c r="A2760" s="3">
        <v>45775</v>
      </c>
      <c r="B2760" s="43">
        <v>32040</v>
      </c>
      <c r="C2760" s="17" t="s">
        <v>12</v>
      </c>
      <c r="D2760" s="18">
        <v>310093</v>
      </c>
      <c r="E2760" s="19"/>
      <c r="F2760" s="15">
        <f t="shared" si="46"/>
        <v>70916603.769999996</v>
      </c>
    </row>
    <row r="2761" spans="1:6" x14ac:dyDescent="0.2">
      <c r="A2761" s="3">
        <v>45775</v>
      </c>
      <c r="B2761" s="43">
        <v>32127</v>
      </c>
      <c r="C2761" s="17" t="s">
        <v>12</v>
      </c>
      <c r="D2761" s="18">
        <v>1500000</v>
      </c>
      <c r="E2761" s="19"/>
      <c r="F2761" s="15">
        <f t="shared" si="46"/>
        <v>69416603.769999996</v>
      </c>
    </row>
    <row r="2762" spans="1:6" x14ac:dyDescent="0.2">
      <c r="A2762" s="3">
        <v>45775</v>
      </c>
      <c r="B2762" s="43">
        <v>32058</v>
      </c>
      <c r="C2762" s="17" t="s">
        <v>12</v>
      </c>
      <c r="D2762" s="18">
        <v>2142745.1800000002</v>
      </c>
      <c r="E2762" s="19"/>
      <c r="F2762" s="15">
        <f t="shared" si="46"/>
        <v>67273858.589999989</v>
      </c>
    </row>
    <row r="2763" spans="1:6" x14ac:dyDescent="0.2">
      <c r="A2763" s="3">
        <v>45775</v>
      </c>
      <c r="B2763" s="43">
        <v>31978</v>
      </c>
      <c r="C2763" s="17" t="s">
        <v>12</v>
      </c>
      <c r="D2763" s="18">
        <v>2338512.19</v>
      </c>
      <c r="E2763" s="19"/>
      <c r="F2763" s="15">
        <f t="shared" si="46"/>
        <v>64935346.399999991</v>
      </c>
    </row>
    <row r="2764" spans="1:6" x14ac:dyDescent="0.2">
      <c r="A2764" s="3">
        <v>45775</v>
      </c>
      <c r="B2764" s="43">
        <v>32050</v>
      </c>
      <c r="C2764" s="17" t="s">
        <v>12</v>
      </c>
      <c r="D2764" s="18">
        <v>4471503</v>
      </c>
      <c r="E2764" s="19"/>
      <c r="F2764" s="15">
        <f t="shared" si="46"/>
        <v>60463843.399999991</v>
      </c>
    </row>
    <row r="2765" spans="1:6" x14ac:dyDescent="0.2">
      <c r="A2765" s="3">
        <v>45775</v>
      </c>
      <c r="B2765" s="43">
        <v>32119</v>
      </c>
      <c r="C2765" s="17" t="s">
        <v>12</v>
      </c>
      <c r="D2765" s="18">
        <v>4604916.41</v>
      </c>
      <c r="E2765" s="19"/>
      <c r="F2765" s="15">
        <f t="shared" si="46"/>
        <v>55858926.989999995</v>
      </c>
    </row>
    <row r="2766" spans="1:6" x14ac:dyDescent="0.2">
      <c r="A2766" s="3">
        <v>45775</v>
      </c>
      <c r="B2766" s="46">
        <v>31925</v>
      </c>
      <c r="C2766" s="47" t="s">
        <v>12</v>
      </c>
      <c r="D2766" s="48">
        <v>6126248.7999999998</v>
      </c>
      <c r="E2766" s="49"/>
      <c r="F2766" s="15">
        <f t="shared" si="46"/>
        <v>49732678.189999998</v>
      </c>
    </row>
    <row r="2767" spans="1:6" x14ac:dyDescent="0.2">
      <c r="A2767" s="3">
        <v>45775</v>
      </c>
      <c r="B2767" s="50"/>
      <c r="C2767" s="22" t="s">
        <v>88</v>
      </c>
      <c r="D2767" s="23">
        <v>35525380</v>
      </c>
      <c r="E2767" s="24"/>
      <c r="F2767" s="15">
        <f t="shared" si="46"/>
        <v>14207298.189999998</v>
      </c>
    </row>
    <row r="2768" spans="1:6" x14ac:dyDescent="0.2">
      <c r="A2768" s="3">
        <v>45775</v>
      </c>
      <c r="B2768" s="45"/>
      <c r="C2768" s="17" t="s">
        <v>22</v>
      </c>
      <c r="D2768" s="18">
        <v>96</v>
      </c>
      <c r="E2768" s="19"/>
      <c r="F2768" s="15">
        <f t="shared" si="46"/>
        <v>14207202.189999998</v>
      </c>
    </row>
    <row r="2769" spans="1:6" x14ac:dyDescent="0.2">
      <c r="A2769" s="3">
        <v>45775</v>
      </c>
      <c r="B2769" s="45"/>
      <c r="C2769" s="17" t="s">
        <v>16</v>
      </c>
      <c r="D2769" s="18">
        <v>695001.51</v>
      </c>
      <c r="E2769" s="19"/>
      <c r="F2769" s="15">
        <f t="shared" si="46"/>
        <v>13512200.679999998</v>
      </c>
    </row>
    <row r="2770" spans="1:6" x14ac:dyDescent="0.2">
      <c r="A2770" s="3">
        <v>45775</v>
      </c>
      <c r="B2770" s="43">
        <v>14639</v>
      </c>
      <c r="C2770" s="20" t="s">
        <v>7</v>
      </c>
      <c r="D2770" s="18">
        <v>720</v>
      </c>
      <c r="E2770" s="19"/>
      <c r="F2770" s="15">
        <f t="shared" si="46"/>
        <v>13511480.679999998</v>
      </c>
    </row>
    <row r="2771" spans="1:6" x14ac:dyDescent="0.2">
      <c r="A2771" s="3">
        <v>45775</v>
      </c>
      <c r="B2771" s="43">
        <v>14639</v>
      </c>
      <c r="C2771" s="17" t="s">
        <v>227</v>
      </c>
      <c r="D2771" s="18">
        <v>151.19999999999999</v>
      </c>
      <c r="E2771" s="19"/>
      <c r="F2771" s="15">
        <f t="shared" si="46"/>
        <v>13511329.479999999</v>
      </c>
    </row>
    <row r="2772" spans="1:6" x14ac:dyDescent="0.2">
      <c r="A2772" s="3">
        <v>45775</v>
      </c>
      <c r="B2772" s="43">
        <v>14640</v>
      </c>
      <c r="C2772" s="20" t="s">
        <v>7</v>
      </c>
      <c r="D2772" s="18">
        <v>1485</v>
      </c>
      <c r="E2772" s="19"/>
      <c r="F2772" s="15">
        <f t="shared" si="46"/>
        <v>13509844.479999999</v>
      </c>
    </row>
    <row r="2773" spans="1:6" x14ac:dyDescent="0.2">
      <c r="A2773" s="3">
        <v>45775</v>
      </c>
      <c r="B2773" s="43">
        <v>14640</v>
      </c>
      <c r="C2773" s="17" t="s">
        <v>227</v>
      </c>
      <c r="D2773" s="18">
        <v>311.85000000000002</v>
      </c>
      <c r="E2773" s="19"/>
      <c r="F2773" s="15">
        <f t="shared" si="46"/>
        <v>13509532.629999999</v>
      </c>
    </row>
    <row r="2774" spans="1:6" x14ac:dyDescent="0.2">
      <c r="A2774" s="3">
        <v>45775</v>
      </c>
      <c r="B2774" s="43">
        <v>14641</v>
      </c>
      <c r="C2774" s="20" t="s">
        <v>7</v>
      </c>
      <c r="D2774" s="18">
        <v>1485</v>
      </c>
      <c r="E2774" s="19"/>
      <c r="F2774" s="15">
        <f t="shared" si="46"/>
        <v>13508047.629999999</v>
      </c>
    </row>
    <row r="2775" spans="1:6" x14ac:dyDescent="0.2">
      <c r="A2775" s="3">
        <v>45775</v>
      </c>
      <c r="B2775" s="43">
        <v>14641</v>
      </c>
      <c r="C2775" s="17" t="s">
        <v>227</v>
      </c>
      <c r="D2775" s="18">
        <v>311.85000000000002</v>
      </c>
      <c r="E2775" s="19"/>
      <c r="F2775" s="15">
        <f t="shared" si="46"/>
        <v>13507735.779999999</v>
      </c>
    </row>
    <row r="2776" spans="1:6" x14ac:dyDescent="0.2">
      <c r="A2776" s="3">
        <v>45775</v>
      </c>
      <c r="B2776" s="45"/>
      <c r="C2776" s="20" t="s">
        <v>387</v>
      </c>
      <c r="D2776" s="18">
        <v>32</v>
      </c>
      <c r="E2776" s="19"/>
      <c r="F2776" s="15">
        <f t="shared" si="46"/>
        <v>13507703.779999999</v>
      </c>
    </row>
    <row r="2777" spans="1:6" x14ac:dyDescent="0.2">
      <c r="A2777" s="3">
        <v>45776</v>
      </c>
      <c r="B2777" s="43">
        <v>32112</v>
      </c>
      <c r="C2777" s="17" t="s">
        <v>9</v>
      </c>
      <c r="D2777" s="18">
        <v>38200</v>
      </c>
      <c r="E2777" s="19"/>
      <c r="F2777" s="15">
        <f t="shared" si="46"/>
        <v>13469503.779999999</v>
      </c>
    </row>
    <row r="2778" spans="1:6" x14ac:dyDescent="0.2">
      <c r="A2778" s="3">
        <v>45776</v>
      </c>
      <c r="B2778" s="43">
        <v>32229</v>
      </c>
      <c r="C2778" s="17" t="s">
        <v>9</v>
      </c>
      <c r="D2778" s="18">
        <v>170000.04</v>
      </c>
      <c r="E2778" s="19"/>
      <c r="F2778" s="15">
        <f t="shared" si="46"/>
        <v>13299503.74</v>
      </c>
    </row>
    <row r="2779" spans="1:6" x14ac:dyDescent="0.2">
      <c r="A2779" s="3">
        <v>45776</v>
      </c>
      <c r="B2779" s="43">
        <v>32154</v>
      </c>
      <c r="C2779" s="17" t="s">
        <v>9</v>
      </c>
      <c r="D2779" s="18">
        <v>229823.4</v>
      </c>
      <c r="E2779" s="19"/>
      <c r="F2779" s="15">
        <f t="shared" si="46"/>
        <v>13069680.34</v>
      </c>
    </row>
    <row r="2780" spans="1:6" x14ac:dyDescent="0.2">
      <c r="A2780" s="3">
        <v>45776</v>
      </c>
      <c r="B2780" s="43">
        <v>32200</v>
      </c>
      <c r="C2780" s="17" t="s">
        <v>9</v>
      </c>
      <c r="D2780" s="18">
        <v>389025.34</v>
      </c>
      <c r="E2780" s="19"/>
      <c r="F2780" s="15">
        <f t="shared" si="46"/>
        <v>12680655</v>
      </c>
    </row>
    <row r="2781" spans="1:6" x14ac:dyDescent="0.2">
      <c r="A2781" s="3">
        <v>45776</v>
      </c>
      <c r="B2781" s="43">
        <v>32109</v>
      </c>
      <c r="C2781" s="17" t="s">
        <v>9</v>
      </c>
      <c r="D2781" s="18">
        <v>427333.22</v>
      </c>
      <c r="E2781" s="19"/>
      <c r="F2781" s="15">
        <f t="shared" si="46"/>
        <v>12253321.779999999</v>
      </c>
    </row>
    <row r="2782" spans="1:6" x14ac:dyDescent="0.2">
      <c r="A2782" s="3">
        <v>45776</v>
      </c>
      <c r="B2782" s="43">
        <v>32137</v>
      </c>
      <c r="C2782" s="17" t="s">
        <v>9</v>
      </c>
      <c r="D2782" s="18">
        <v>481824.2</v>
      </c>
      <c r="E2782" s="19"/>
      <c r="F2782" s="15">
        <f t="shared" si="46"/>
        <v>11771497.58</v>
      </c>
    </row>
    <row r="2783" spans="1:6" x14ac:dyDescent="0.2">
      <c r="A2783" s="3">
        <v>45776</v>
      </c>
      <c r="B2783" s="43">
        <v>32116</v>
      </c>
      <c r="C2783" s="17" t="s">
        <v>9</v>
      </c>
      <c r="D2783" s="18">
        <v>909658.79</v>
      </c>
      <c r="E2783" s="19"/>
      <c r="F2783" s="15">
        <f t="shared" si="46"/>
        <v>10861838.789999999</v>
      </c>
    </row>
    <row r="2784" spans="1:6" x14ac:dyDescent="0.2">
      <c r="A2784" s="3">
        <v>45776</v>
      </c>
      <c r="B2784" s="43">
        <v>31999</v>
      </c>
      <c r="C2784" s="17" t="s">
        <v>9</v>
      </c>
      <c r="D2784" s="18">
        <v>2551381.87</v>
      </c>
      <c r="E2784" s="19"/>
      <c r="F2784" s="15">
        <f t="shared" si="46"/>
        <v>8310456.919999999</v>
      </c>
    </row>
    <row r="2785" spans="1:6" x14ac:dyDescent="0.2">
      <c r="A2785" s="3">
        <v>45776</v>
      </c>
      <c r="B2785" s="43">
        <v>32225</v>
      </c>
      <c r="C2785" s="17" t="s">
        <v>9</v>
      </c>
      <c r="D2785" s="18">
        <v>4372213.4000000004</v>
      </c>
      <c r="E2785" s="19"/>
      <c r="F2785" s="15">
        <f t="shared" si="46"/>
        <v>3938243.5199999986</v>
      </c>
    </row>
    <row r="2786" spans="1:6" x14ac:dyDescent="0.2">
      <c r="A2786" s="3">
        <v>45776</v>
      </c>
      <c r="B2786" s="43">
        <v>31862</v>
      </c>
      <c r="C2786" s="17" t="s">
        <v>9</v>
      </c>
      <c r="D2786" s="18">
        <v>7814961.3499999996</v>
      </c>
      <c r="E2786" s="19"/>
      <c r="F2786" s="15">
        <f t="shared" si="46"/>
        <v>-3876717.830000001</v>
      </c>
    </row>
    <row r="2787" spans="1:6" x14ac:dyDescent="0.2">
      <c r="A2787" s="3">
        <v>45776</v>
      </c>
      <c r="B2787" s="43">
        <v>32061</v>
      </c>
      <c r="C2787" s="17" t="s">
        <v>9</v>
      </c>
      <c r="D2787" s="18">
        <v>9900954.6600000001</v>
      </c>
      <c r="E2787" s="19"/>
      <c r="F2787" s="15">
        <f t="shared" si="46"/>
        <v>-13777672.490000002</v>
      </c>
    </row>
    <row r="2788" spans="1:6" x14ac:dyDescent="0.2">
      <c r="A2788" s="3">
        <v>45776</v>
      </c>
      <c r="B2788" s="45"/>
      <c r="C2788" s="17" t="s">
        <v>92</v>
      </c>
      <c r="D2788" s="18">
        <v>53300</v>
      </c>
      <c r="E2788" s="19"/>
      <c r="F2788" s="15">
        <f t="shared" si="46"/>
        <v>-13830972.490000002</v>
      </c>
    </row>
    <row r="2789" spans="1:6" x14ac:dyDescent="0.2">
      <c r="A2789" s="3">
        <v>45776</v>
      </c>
      <c r="B2789" s="45"/>
      <c r="C2789" s="17" t="s">
        <v>36</v>
      </c>
      <c r="D2789" s="18">
        <v>799.5</v>
      </c>
      <c r="E2789" s="19"/>
      <c r="F2789" s="15">
        <f t="shared" si="46"/>
        <v>-13831771.990000002</v>
      </c>
    </row>
    <row r="2790" spans="1:6" x14ac:dyDescent="0.2">
      <c r="A2790" s="3">
        <v>45776</v>
      </c>
      <c r="B2790" s="45"/>
      <c r="C2790" s="17" t="s">
        <v>227</v>
      </c>
      <c r="D2790" s="18">
        <v>11193</v>
      </c>
      <c r="E2790" s="19"/>
      <c r="F2790" s="15">
        <f t="shared" si="46"/>
        <v>-13842964.990000002</v>
      </c>
    </row>
    <row r="2791" spans="1:6" x14ac:dyDescent="0.2">
      <c r="A2791" s="3">
        <v>45776</v>
      </c>
      <c r="B2791" s="45"/>
      <c r="C2791" s="17" t="s">
        <v>37</v>
      </c>
      <c r="D2791" s="18">
        <v>1599</v>
      </c>
      <c r="E2791" s="19"/>
      <c r="F2791" s="15">
        <f t="shared" si="46"/>
        <v>-13844563.990000002</v>
      </c>
    </row>
    <row r="2792" spans="1:6" x14ac:dyDescent="0.2">
      <c r="A2792" s="3">
        <v>45776</v>
      </c>
      <c r="B2792" s="45"/>
      <c r="C2792" s="17" t="s">
        <v>93</v>
      </c>
      <c r="D2792" s="18">
        <v>61070</v>
      </c>
      <c r="E2792" s="19"/>
      <c r="F2792" s="15">
        <f t="shared" si="46"/>
        <v>-13905633.990000002</v>
      </c>
    </row>
    <row r="2793" spans="1:6" x14ac:dyDescent="0.2">
      <c r="A2793" s="3">
        <v>45776</v>
      </c>
      <c r="B2793" s="45"/>
      <c r="C2793" s="17" t="s">
        <v>36</v>
      </c>
      <c r="D2793" s="18">
        <v>916.05</v>
      </c>
      <c r="E2793" s="19"/>
      <c r="F2793" s="15">
        <f t="shared" si="46"/>
        <v>-13906550.040000003</v>
      </c>
    </row>
    <row r="2794" spans="1:6" x14ac:dyDescent="0.2">
      <c r="A2794" s="3">
        <v>45776</v>
      </c>
      <c r="B2794" s="45"/>
      <c r="C2794" s="17" t="s">
        <v>227</v>
      </c>
      <c r="D2794" s="18">
        <v>12824.7</v>
      </c>
      <c r="E2794" s="19"/>
      <c r="F2794" s="15">
        <f t="shared" si="46"/>
        <v>-13919374.740000002</v>
      </c>
    </row>
    <row r="2795" spans="1:6" x14ac:dyDescent="0.2">
      <c r="A2795" s="3">
        <v>45776</v>
      </c>
      <c r="B2795" s="51"/>
      <c r="C2795" s="47" t="s">
        <v>37</v>
      </c>
      <c r="D2795" s="48">
        <v>1832.1</v>
      </c>
      <c r="E2795" s="49"/>
      <c r="F2795" s="15">
        <f t="shared" si="46"/>
        <v>-13921206.840000002</v>
      </c>
    </row>
    <row r="2796" spans="1:6" x14ac:dyDescent="0.2">
      <c r="A2796" s="3">
        <v>45776</v>
      </c>
      <c r="B2796" s="44">
        <v>178218</v>
      </c>
      <c r="C2796" s="28" t="s">
        <v>90</v>
      </c>
      <c r="D2796" s="29"/>
      <c r="E2796" s="29">
        <v>16000000</v>
      </c>
      <c r="F2796" s="15">
        <f t="shared" si="46"/>
        <v>2078793.1599999983</v>
      </c>
    </row>
    <row r="2797" spans="1:6" x14ac:dyDescent="0.2">
      <c r="A2797" s="3">
        <v>45776</v>
      </c>
      <c r="B2797" s="43">
        <v>211940</v>
      </c>
      <c r="C2797" s="20" t="s">
        <v>89</v>
      </c>
      <c r="D2797" s="25"/>
      <c r="E2797" s="25">
        <v>2974046.64</v>
      </c>
      <c r="F2797" s="15">
        <f t="shared" si="46"/>
        <v>5052839.7999999989</v>
      </c>
    </row>
    <row r="2798" spans="1:6" x14ac:dyDescent="0.2">
      <c r="A2798" s="3">
        <v>45776</v>
      </c>
      <c r="B2798" s="43">
        <v>7226880</v>
      </c>
      <c r="C2798" s="20" t="s">
        <v>415</v>
      </c>
      <c r="D2798" s="19"/>
      <c r="E2798" s="18">
        <v>498965.2</v>
      </c>
      <c r="F2798" s="15">
        <f t="shared" ref="F2798:F2821" si="47">+F2797+E2798-D2798</f>
        <v>5551804.9999999991</v>
      </c>
    </row>
    <row r="2799" spans="1:6" x14ac:dyDescent="0.2">
      <c r="A2799" s="3">
        <v>45776</v>
      </c>
      <c r="B2799" s="43">
        <v>13684</v>
      </c>
      <c r="C2799" s="20" t="s">
        <v>416</v>
      </c>
      <c r="D2799" s="25"/>
      <c r="E2799" s="25">
        <v>50000000</v>
      </c>
      <c r="F2799" s="15">
        <f t="shared" si="47"/>
        <v>55551805</v>
      </c>
    </row>
    <row r="2800" spans="1:6" x14ac:dyDescent="0.2">
      <c r="A2800" s="3">
        <v>45776</v>
      </c>
      <c r="B2800" s="43">
        <v>13685</v>
      </c>
      <c r="C2800" s="20" t="s">
        <v>416</v>
      </c>
      <c r="D2800" s="25"/>
      <c r="E2800" s="25">
        <v>50000000</v>
      </c>
      <c r="F2800" s="15">
        <f t="shared" si="47"/>
        <v>105551805</v>
      </c>
    </row>
    <row r="2801" spans="1:6" x14ac:dyDescent="0.2">
      <c r="A2801" s="3">
        <v>45776</v>
      </c>
      <c r="B2801" s="43">
        <v>32101</v>
      </c>
      <c r="C2801" s="17" t="s">
        <v>12</v>
      </c>
      <c r="D2801" s="25">
        <v>3500000</v>
      </c>
      <c r="E2801" s="19"/>
      <c r="F2801" s="15">
        <f t="shared" si="47"/>
        <v>102051805</v>
      </c>
    </row>
    <row r="2802" spans="1:6" x14ac:dyDescent="0.2">
      <c r="A2802" s="3">
        <v>45776</v>
      </c>
      <c r="B2802" s="43">
        <v>32105</v>
      </c>
      <c r="C2802" s="17" t="s">
        <v>12</v>
      </c>
      <c r="D2802" s="25">
        <v>3500000</v>
      </c>
      <c r="E2802" s="19"/>
      <c r="F2802" s="15">
        <f t="shared" si="47"/>
        <v>98551805</v>
      </c>
    </row>
    <row r="2803" spans="1:6" x14ac:dyDescent="0.2">
      <c r="A2803" s="3">
        <v>45776</v>
      </c>
      <c r="B2803" s="45"/>
      <c r="C2803" s="17" t="s">
        <v>16</v>
      </c>
      <c r="D2803" s="25">
        <v>206600.45</v>
      </c>
      <c r="E2803" s="19"/>
      <c r="F2803" s="15">
        <f t="shared" si="47"/>
        <v>98345204.549999997</v>
      </c>
    </row>
    <row r="2804" spans="1:6" x14ac:dyDescent="0.2">
      <c r="A2804" s="3">
        <v>45776</v>
      </c>
      <c r="B2804" s="45"/>
      <c r="C2804" s="17" t="s">
        <v>22</v>
      </c>
      <c r="D2804" s="25">
        <v>116838.07</v>
      </c>
      <c r="E2804" s="19"/>
      <c r="F2804" s="15">
        <f t="shared" si="47"/>
        <v>98228366.480000004</v>
      </c>
    </row>
    <row r="2805" spans="1:6" x14ac:dyDescent="0.2">
      <c r="A2805" s="3">
        <v>45776</v>
      </c>
      <c r="B2805" s="45"/>
      <c r="C2805" s="20" t="s">
        <v>417</v>
      </c>
      <c r="D2805" s="25">
        <v>38946.019999999997</v>
      </c>
      <c r="E2805" s="19"/>
      <c r="F2805" s="15">
        <f t="shared" si="47"/>
        <v>98189420.460000008</v>
      </c>
    </row>
    <row r="2806" spans="1:6" x14ac:dyDescent="0.2">
      <c r="A2806" s="3">
        <v>45777</v>
      </c>
      <c r="B2806" s="43">
        <v>32217</v>
      </c>
      <c r="C2806" s="17" t="s">
        <v>9</v>
      </c>
      <c r="D2806" s="25">
        <v>84700</v>
      </c>
      <c r="E2806" s="19"/>
      <c r="F2806" s="15">
        <f t="shared" si="47"/>
        <v>98104720.460000008</v>
      </c>
    </row>
    <row r="2807" spans="1:6" x14ac:dyDescent="0.2">
      <c r="A2807" s="3">
        <v>45777</v>
      </c>
      <c r="B2807" s="43">
        <v>32042</v>
      </c>
      <c r="C2807" s="17" t="s">
        <v>9</v>
      </c>
      <c r="D2807" s="25">
        <v>270947.88</v>
      </c>
      <c r="E2807" s="19"/>
      <c r="F2807" s="15">
        <f t="shared" si="47"/>
        <v>97833772.580000013</v>
      </c>
    </row>
    <row r="2808" spans="1:6" x14ac:dyDescent="0.2">
      <c r="A2808" s="3">
        <v>45777</v>
      </c>
      <c r="B2808" s="43">
        <v>32000</v>
      </c>
      <c r="C2808" s="17" t="s">
        <v>9</v>
      </c>
      <c r="D2808" s="25">
        <v>965314.63</v>
      </c>
      <c r="E2808" s="19"/>
      <c r="F2808" s="15">
        <f t="shared" si="47"/>
        <v>96868457.950000018</v>
      </c>
    </row>
    <row r="2809" spans="1:6" x14ac:dyDescent="0.2">
      <c r="A2809" s="3">
        <v>45777</v>
      </c>
      <c r="B2809" s="43">
        <v>32168</v>
      </c>
      <c r="C2809" s="17" t="s">
        <v>9</v>
      </c>
      <c r="D2809" s="25">
        <v>1025400</v>
      </c>
      <c r="E2809" s="19"/>
      <c r="F2809" s="15">
        <f t="shared" si="47"/>
        <v>95843057.950000018</v>
      </c>
    </row>
    <row r="2810" spans="1:6" x14ac:dyDescent="0.2">
      <c r="A2810" s="3">
        <v>45777</v>
      </c>
      <c r="B2810" s="43">
        <v>32038</v>
      </c>
      <c r="C2810" s="17" t="s">
        <v>9</v>
      </c>
      <c r="D2810" s="25">
        <v>1137933.8799999999</v>
      </c>
      <c r="E2810" s="19"/>
      <c r="F2810" s="15">
        <f t="shared" si="47"/>
        <v>94705124.070000023</v>
      </c>
    </row>
    <row r="2811" spans="1:6" x14ac:dyDescent="0.2">
      <c r="A2811" s="3">
        <v>45777</v>
      </c>
      <c r="B2811" s="43">
        <v>32045</v>
      </c>
      <c r="C2811" s="17" t="s">
        <v>9</v>
      </c>
      <c r="D2811" s="25">
        <v>1303617</v>
      </c>
      <c r="E2811" s="19"/>
      <c r="F2811" s="15">
        <f t="shared" si="47"/>
        <v>93401507.070000023</v>
      </c>
    </row>
    <row r="2812" spans="1:6" x14ac:dyDescent="0.2">
      <c r="A2812" s="3">
        <v>45777</v>
      </c>
      <c r="B2812" s="43">
        <v>32053</v>
      </c>
      <c r="C2812" s="17" t="s">
        <v>9</v>
      </c>
      <c r="D2812" s="25">
        <v>2005260</v>
      </c>
      <c r="E2812" s="19"/>
      <c r="F2812" s="15">
        <f t="shared" si="47"/>
        <v>91396247.070000023</v>
      </c>
    </row>
    <row r="2813" spans="1:6" x14ac:dyDescent="0.2">
      <c r="A2813" s="3">
        <v>45777</v>
      </c>
      <c r="B2813" s="43">
        <v>32170</v>
      </c>
      <c r="C2813" s="17" t="s">
        <v>9</v>
      </c>
      <c r="D2813" s="25">
        <v>2470734</v>
      </c>
      <c r="E2813" s="19"/>
      <c r="F2813" s="15">
        <f t="shared" si="47"/>
        <v>88925513.070000023</v>
      </c>
    </row>
    <row r="2814" spans="1:6" x14ac:dyDescent="0.2">
      <c r="A2814" s="3">
        <v>45777</v>
      </c>
      <c r="B2814" s="43">
        <v>32056</v>
      </c>
      <c r="C2814" s="17" t="s">
        <v>9</v>
      </c>
      <c r="D2814" s="25">
        <v>2717511.97</v>
      </c>
      <c r="E2814" s="19"/>
      <c r="F2814" s="15">
        <f t="shared" si="47"/>
        <v>86208001.100000024</v>
      </c>
    </row>
    <row r="2815" spans="1:6" x14ac:dyDescent="0.2">
      <c r="A2815" s="3">
        <v>45777</v>
      </c>
      <c r="B2815" s="43">
        <v>31927</v>
      </c>
      <c r="C2815" s="17" t="s">
        <v>9</v>
      </c>
      <c r="D2815" s="25">
        <v>6753304.3300000001</v>
      </c>
      <c r="E2815" s="19"/>
      <c r="F2815" s="15">
        <f t="shared" si="47"/>
        <v>79454696.770000026</v>
      </c>
    </row>
    <row r="2816" spans="1:6" x14ac:dyDescent="0.2">
      <c r="A2816" s="3">
        <v>45777</v>
      </c>
      <c r="B2816" s="43">
        <v>32288930</v>
      </c>
      <c r="C2816" s="20" t="s">
        <v>418</v>
      </c>
      <c r="D2816" s="19"/>
      <c r="E2816" s="18">
        <v>16000</v>
      </c>
      <c r="F2816" s="15">
        <f t="shared" si="47"/>
        <v>79470696.770000026</v>
      </c>
    </row>
    <row r="2817" spans="1:6" x14ac:dyDescent="0.2">
      <c r="A2817" s="3">
        <v>45777</v>
      </c>
      <c r="B2817" s="43">
        <v>63011</v>
      </c>
      <c r="C2817" s="20" t="s">
        <v>419</v>
      </c>
      <c r="D2817" s="19"/>
      <c r="E2817" s="18">
        <v>221874.86</v>
      </c>
      <c r="F2817" s="15">
        <f t="shared" si="47"/>
        <v>79692571.630000025</v>
      </c>
    </row>
    <row r="2818" spans="1:6" x14ac:dyDescent="0.2">
      <c r="A2818" s="3">
        <v>45777</v>
      </c>
      <c r="B2818" s="45"/>
      <c r="C2818" s="17" t="s">
        <v>95</v>
      </c>
      <c r="D2818" s="25">
        <v>2223</v>
      </c>
      <c r="E2818" s="19"/>
      <c r="F2818" s="15">
        <f t="shared" si="47"/>
        <v>79690348.630000025</v>
      </c>
    </row>
    <row r="2819" spans="1:6" x14ac:dyDescent="0.2">
      <c r="A2819" s="3">
        <v>45777</v>
      </c>
      <c r="B2819" s="45"/>
      <c r="C2819" s="17" t="s">
        <v>232</v>
      </c>
      <c r="D2819" s="25">
        <v>466.83</v>
      </c>
      <c r="E2819" s="19"/>
      <c r="F2819" s="15">
        <f t="shared" si="47"/>
        <v>79689881.800000027</v>
      </c>
    </row>
    <row r="2820" spans="1:6" x14ac:dyDescent="0.2">
      <c r="A2820" s="3">
        <v>45777</v>
      </c>
      <c r="B2820" s="45"/>
      <c r="C2820" s="17" t="s">
        <v>16</v>
      </c>
      <c r="D2820" s="25">
        <v>112658.16</v>
      </c>
      <c r="E2820" s="19"/>
      <c r="F2820" s="15">
        <f t="shared" si="47"/>
        <v>79577223.64000003</v>
      </c>
    </row>
    <row r="2821" spans="1:6" x14ac:dyDescent="0.2">
      <c r="A2821" s="3">
        <v>45777</v>
      </c>
      <c r="B2821" s="54"/>
      <c r="C2821" s="33" t="s">
        <v>22</v>
      </c>
      <c r="D2821" s="34">
        <v>1427.25</v>
      </c>
      <c r="E2821" s="35"/>
      <c r="F2821" s="15">
        <f t="shared" si="47"/>
        <v>79575796.39000003</v>
      </c>
    </row>
    <row r="2824" spans="1:6" x14ac:dyDescent="0.2">
      <c r="A2824" s="1" t="s">
        <v>0</v>
      </c>
      <c r="B2824" s="1" t="s">
        <v>1</v>
      </c>
      <c r="C2824" s="1" t="s">
        <v>2</v>
      </c>
      <c r="D2824" s="1" t="s">
        <v>3</v>
      </c>
      <c r="E2824" s="1" t="s">
        <v>4</v>
      </c>
      <c r="F2824" s="1" t="s">
        <v>5</v>
      </c>
    </row>
    <row r="2825" spans="1:6" x14ac:dyDescent="0.2">
      <c r="A2825" s="3">
        <v>45778</v>
      </c>
      <c r="B2825" s="41"/>
      <c r="C2825" s="5" t="s">
        <v>6</v>
      </c>
      <c r="D2825" s="6"/>
      <c r="E2825" s="7"/>
      <c r="F2825" s="8">
        <v>79575796.390000001</v>
      </c>
    </row>
    <row r="2826" spans="1:6" x14ac:dyDescent="0.2">
      <c r="A2826" s="3">
        <v>45777</v>
      </c>
      <c r="B2826" s="42"/>
      <c r="C2826" s="12" t="s">
        <v>420</v>
      </c>
      <c r="D2826" s="13">
        <v>475.75</v>
      </c>
      <c r="E2826" s="14"/>
      <c r="F2826" s="15">
        <f t="shared" ref="F2826:F2889" si="48">+F2825+E2826-D2826</f>
        <v>79575320.640000001</v>
      </c>
    </row>
    <row r="2827" spans="1:6" x14ac:dyDescent="0.2">
      <c r="A2827" s="3">
        <v>45779</v>
      </c>
      <c r="B2827" s="43">
        <v>11468410</v>
      </c>
      <c r="C2827" s="20" t="s">
        <v>332</v>
      </c>
      <c r="D2827" s="25"/>
      <c r="E2827" s="25">
        <v>50000000</v>
      </c>
      <c r="F2827" s="15">
        <f t="shared" si="48"/>
        <v>129575320.64</v>
      </c>
    </row>
    <row r="2828" spans="1:6" x14ac:dyDescent="0.2">
      <c r="A2828" s="3">
        <v>45782</v>
      </c>
      <c r="B2828" s="43">
        <v>32206</v>
      </c>
      <c r="C2828" s="17" t="s">
        <v>9</v>
      </c>
      <c r="D2828" s="18">
        <v>274849</v>
      </c>
      <c r="E2828" s="19"/>
      <c r="F2828" s="15">
        <f t="shared" si="48"/>
        <v>129300471.64</v>
      </c>
    </row>
    <row r="2829" spans="1:6" x14ac:dyDescent="0.2">
      <c r="A2829" s="3">
        <v>45782</v>
      </c>
      <c r="B2829" s="43">
        <v>32156</v>
      </c>
      <c r="C2829" s="17" t="s">
        <v>9</v>
      </c>
      <c r="D2829" s="18">
        <v>844995.62</v>
      </c>
      <c r="E2829" s="19"/>
      <c r="F2829" s="15">
        <f t="shared" si="48"/>
        <v>128455476.02</v>
      </c>
    </row>
    <row r="2830" spans="1:6" x14ac:dyDescent="0.2">
      <c r="A2830" s="3">
        <v>45782</v>
      </c>
      <c r="B2830" s="43">
        <v>32233</v>
      </c>
      <c r="C2830" s="17" t="s">
        <v>9</v>
      </c>
      <c r="D2830" s="18">
        <v>1845843.4</v>
      </c>
      <c r="E2830" s="19"/>
      <c r="F2830" s="15">
        <f t="shared" si="48"/>
        <v>126609632.61999999</v>
      </c>
    </row>
    <row r="2831" spans="1:6" x14ac:dyDescent="0.2">
      <c r="A2831" s="3">
        <v>45782</v>
      </c>
      <c r="B2831" s="43">
        <v>32184</v>
      </c>
      <c r="C2831" s="17" t="s">
        <v>9</v>
      </c>
      <c r="D2831" s="18">
        <v>3164326.72</v>
      </c>
      <c r="E2831" s="19"/>
      <c r="F2831" s="15">
        <f t="shared" si="48"/>
        <v>123445305.89999999</v>
      </c>
    </row>
    <row r="2832" spans="1:6" x14ac:dyDescent="0.2">
      <c r="A2832" s="3">
        <v>45782</v>
      </c>
      <c r="B2832" s="43">
        <v>32239</v>
      </c>
      <c r="C2832" s="17" t="s">
        <v>9</v>
      </c>
      <c r="D2832" s="18">
        <v>3268318</v>
      </c>
      <c r="E2832" s="19"/>
      <c r="F2832" s="15">
        <f t="shared" si="48"/>
        <v>120176987.89999999</v>
      </c>
    </row>
    <row r="2833" spans="1:6" x14ac:dyDescent="0.2">
      <c r="A2833" s="3">
        <v>45782</v>
      </c>
      <c r="B2833" s="43">
        <v>32207</v>
      </c>
      <c r="C2833" s="17" t="s">
        <v>9</v>
      </c>
      <c r="D2833" s="18">
        <v>3763269.99</v>
      </c>
      <c r="E2833" s="19"/>
      <c r="F2833" s="15">
        <f t="shared" si="48"/>
        <v>116413717.91</v>
      </c>
    </row>
    <row r="2834" spans="1:6" x14ac:dyDescent="0.2">
      <c r="A2834" s="3">
        <v>45782</v>
      </c>
      <c r="B2834" s="43">
        <v>32220</v>
      </c>
      <c r="C2834" s="17" t="s">
        <v>9</v>
      </c>
      <c r="D2834" s="18">
        <v>6000000</v>
      </c>
      <c r="E2834" s="19"/>
      <c r="F2834" s="15">
        <f t="shared" si="48"/>
        <v>110413717.91</v>
      </c>
    </row>
    <row r="2835" spans="1:6" x14ac:dyDescent="0.2">
      <c r="A2835" s="3">
        <v>45782</v>
      </c>
      <c r="B2835" s="43">
        <v>32187</v>
      </c>
      <c r="C2835" s="17" t="s">
        <v>9</v>
      </c>
      <c r="D2835" s="18">
        <v>6571098.7800000003</v>
      </c>
      <c r="E2835" s="19"/>
      <c r="F2835" s="15">
        <f t="shared" si="48"/>
        <v>103842619.13</v>
      </c>
    </row>
    <row r="2836" spans="1:6" x14ac:dyDescent="0.2">
      <c r="A2836" s="3">
        <v>45782</v>
      </c>
      <c r="B2836" s="43">
        <v>32089</v>
      </c>
      <c r="C2836" s="17" t="s">
        <v>9</v>
      </c>
      <c r="D2836" s="18">
        <v>6600000</v>
      </c>
      <c r="E2836" s="19"/>
      <c r="F2836" s="15">
        <f t="shared" si="48"/>
        <v>97242619.129999995</v>
      </c>
    </row>
    <row r="2837" spans="1:6" x14ac:dyDescent="0.2">
      <c r="A2837" s="3">
        <v>45782</v>
      </c>
      <c r="B2837" s="45"/>
      <c r="C2837" s="17" t="s">
        <v>143</v>
      </c>
      <c r="D2837" s="18">
        <v>1280</v>
      </c>
      <c r="E2837" s="19"/>
      <c r="F2837" s="15">
        <f t="shared" si="48"/>
        <v>97241339.129999995</v>
      </c>
    </row>
    <row r="2838" spans="1:6" x14ac:dyDescent="0.2">
      <c r="A2838" s="3">
        <v>45782</v>
      </c>
      <c r="B2838" s="45"/>
      <c r="C2838" s="17" t="s">
        <v>227</v>
      </c>
      <c r="D2838" s="18">
        <v>268.8</v>
      </c>
      <c r="E2838" s="19"/>
      <c r="F2838" s="15">
        <f t="shared" si="48"/>
        <v>97241070.329999998</v>
      </c>
    </row>
    <row r="2839" spans="1:6" x14ac:dyDescent="0.2">
      <c r="A2839" s="3">
        <v>45782</v>
      </c>
      <c r="B2839" s="43">
        <v>467</v>
      </c>
      <c r="C2839" s="20" t="s">
        <v>11</v>
      </c>
      <c r="D2839" s="18">
        <v>13406892</v>
      </c>
      <c r="E2839" s="19"/>
      <c r="F2839" s="15">
        <f t="shared" si="48"/>
        <v>83834178.329999998</v>
      </c>
    </row>
    <row r="2840" spans="1:6" x14ac:dyDescent="0.2">
      <c r="A2840" s="3">
        <v>45782</v>
      </c>
      <c r="B2840" s="43">
        <v>4062798</v>
      </c>
      <c r="C2840" s="20" t="s">
        <v>329</v>
      </c>
      <c r="D2840" s="18">
        <v>18150</v>
      </c>
      <c r="E2840" s="19"/>
      <c r="F2840" s="15">
        <f t="shared" si="48"/>
        <v>83816028.329999998</v>
      </c>
    </row>
    <row r="2841" spans="1:6" x14ac:dyDescent="0.2">
      <c r="A2841" s="3">
        <v>45782</v>
      </c>
      <c r="B2841" s="43">
        <v>4062799</v>
      </c>
      <c r="C2841" s="20" t="s">
        <v>19</v>
      </c>
      <c r="D2841" s="18">
        <v>3954889.44</v>
      </c>
      <c r="E2841" s="19"/>
      <c r="F2841" s="15">
        <f t="shared" si="48"/>
        <v>79861138.890000001</v>
      </c>
    </row>
    <row r="2842" spans="1:6" x14ac:dyDescent="0.2">
      <c r="A2842" s="3">
        <v>45782</v>
      </c>
      <c r="B2842" s="43">
        <v>4062800</v>
      </c>
      <c r="C2842" s="20" t="s">
        <v>228</v>
      </c>
      <c r="D2842" s="18">
        <v>2185370</v>
      </c>
      <c r="E2842" s="19"/>
      <c r="F2842" s="15">
        <f t="shared" si="48"/>
        <v>77675768.890000001</v>
      </c>
    </row>
    <row r="2843" spans="1:6" x14ac:dyDescent="0.2">
      <c r="A2843" s="3">
        <v>45782</v>
      </c>
      <c r="B2843" s="43">
        <v>32179</v>
      </c>
      <c r="C2843" s="17" t="s">
        <v>12</v>
      </c>
      <c r="D2843" s="18">
        <v>320307.92</v>
      </c>
      <c r="E2843" s="19"/>
      <c r="F2843" s="15">
        <f t="shared" si="48"/>
        <v>77355460.969999999</v>
      </c>
    </row>
    <row r="2844" spans="1:6" x14ac:dyDescent="0.2">
      <c r="A2844" s="3">
        <v>45782</v>
      </c>
      <c r="B2844" s="46">
        <v>32110</v>
      </c>
      <c r="C2844" s="47" t="s">
        <v>12</v>
      </c>
      <c r="D2844" s="48">
        <v>343181.12</v>
      </c>
      <c r="E2844" s="49"/>
      <c r="F2844" s="15">
        <f t="shared" si="48"/>
        <v>77012279.849999994</v>
      </c>
    </row>
    <row r="2845" spans="1:6" x14ac:dyDescent="0.2">
      <c r="A2845" s="3">
        <v>45782</v>
      </c>
      <c r="B2845" s="44">
        <v>32008</v>
      </c>
      <c r="C2845" s="22" t="s">
        <v>12</v>
      </c>
      <c r="D2845" s="23">
        <v>4033370</v>
      </c>
      <c r="E2845" s="24"/>
      <c r="F2845" s="15">
        <f t="shared" si="48"/>
        <v>72978909.849999994</v>
      </c>
    </row>
    <row r="2846" spans="1:6" x14ac:dyDescent="0.2">
      <c r="A2846" s="3">
        <v>45782</v>
      </c>
      <c r="B2846" s="45"/>
      <c r="C2846" s="17" t="s">
        <v>13</v>
      </c>
      <c r="D2846" s="18">
        <v>70735114</v>
      </c>
      <c r="E2846" s="19"/>
      <c r="F2846" s="15">
        <f t="shared" si="48"/>
        <v>2243795.849999994</v>
      </c>
    </row>
    <row r="2847" spans="1:6" x14ac:dyDescent="0.2">
      <c r="A2847" s="3">
        <v>45782</v>
      </c>
      <c r="B2847" s="45"/>
      <c r="C2847" s="17" t="s">
        <v>14</v>
      </c>
      <c r="D2847" s="18">
        <v>4692.41</v>
      </c>
      <c r="E2847" s="19"/>
      <c r="F2847" s="15">
        <f t="shared" si="48"/>
        <v>2239103.4399999939</v>
      </c>
    </row>
    <row r="2848" spans="1:6" x14ac:dyDescent="0.2">
      <c r="A2848" s="3">
        <v>45782</v>
      </c>
      <c r="B2848" s="45"/>
      <c r="C2848" s="17" t="s">
        <v>232</v>
      </c>
      <c r="D2848" s="18">
        <v>985.43</v>
      </c>
      <c r="E2848" s="19"/>
      <c r="F2848" s="15">
        <f t="shared" si="48"/>
        <v>2238118.0099999937</v>
      </c>
    </row>
    <row r="2849" spans="1:6" x14ac:dyDescent="0.2">
      <c r="A2849" s="3">
        <v>45782</v>
      </c>
      <c r="B2849" s="45"/>
      <c r="C2849" s="17" t="s">
        <v>22</v>
      </c>
      <c r="D2849" s="18">
        <v>300000</v>
      </c>
      <c r="E2849" s="19"/>
      <c r="F2849" s="15">
        <f t="shared" si="48"/>
        <v>1938118.0099999937</v>
      </c>
    </row>
    <row r="2850" spans="1:6" x14ac:dyDescent="0.2">
      <c r="A2850" s="3">
        <v>45782</v>
      </c>
      <c r="B2850" s="45"/>
      <c r="C2850" s="17" t="s">
        <v>16</v>
      </c>
      <c r="D2850" s="18">
        <v>764026.05</v>
      </c>
      <c r="E2850" s="19"/>
      <c r="F2850" s="15">
        <f t="shared" si="48"/>
        <v>1174091.9599999937</v>
      </c>
    </row>
    <row r="2851" spans="1:6" x14ac:dyDescent="0.2">
      <c r="A2851" s="3">
        <v>45782</v>
      </c>
      <c r="B2851" s="45"/>
      <c r="C2851" s="20" t="s">
        <v>421</v>
      </c>
      <c r="D2851" s="18">
        <v>100000</v>
      </c>
      <c r="E2851" s="19"/>
      <c r="F2851" s="15">
        <f t="shared" si="48"/>
        <v>1074091.9599999937</v>
      </c>
    </row>
    <row r="2852" spans="1:6" x14ac:dyDescent="0.2">
      <c r="A2852" s="3">
        <v>45783</v>
      </c>
      <c r="B2852" s="43">
        <v>32197</v>
      </c>
      <c r="C2852" s="17" t="s">
        <v>9</v>
      </c>
      <c r="D2852" s="18">
        <v>924202.39</v>
      </c>
      <c r="E2852" s="19"/>
      <c r="F2852" s="15">
        <f t="shared" si="48"/>
        <v>149889.56999999366</v>
      </c>
    </row>
    <row r="2853" spans="1:6" x14ac:dyDescent="0.2">
      <c r="A2853" s="3">
        <v>45783</v>
      </c>
      <c r="B2853" s="43">
        <v>32189</v>
      </c>
      <c r="C2853" s="17" t="s">
        <v>9</v>
      </c>
      <c r="D2853" s="18">
        <v>3268318.8</v>
      </c>
      <c r="E2853" s="19"/>
      <c r="F2853" s="15">
        <f t="shared" si="48"/>
        <v>-3118429.230000006</v>
      </c>
    </row>
    <row r="2854" spans="1:6" x14ac:dyDescent="0.2">
      <c r="A2854" s="3">
        <v>45783</v>
      </c>
      <c r="B2854" s="45"/>
      <c r="C2854" s="17" t="s">
        <v>113</v>
      </c>
      <c r="D2854" s="18">
        <v>24000</v>
      </c>
      <c r="E2854" s="19"/>
      <c r="F2854" s="15">
        <f t="shared" si="48"/>
        <v>-3142429.230000006</v>
      </c>
    </row>
    <row r="2855" spans="1:6" x14ac:dyDescent="0.2">
      <c r="A2855" s="3">
        <v>45783</v>
      </c>
      <c r="B2855" s="45"/>
      <c r="C2855" s="17" t="s">
        <v>36</v>
      </c>
      <c r="D2855" s="18">
        <v>360</v>
      </c>
      <c r="E2855" s="19"/>
      <c r="F2855" s="15">
        <f t="shared" si="48"/>
        <v>-3142789.230000006</v>
      </c>
    </row>
    <row r="2856" spans="1:6" x14ac:dyDescent="0.2">
      <c r="A2856" s="3">
        <v>45783</v>
      </c>
      <c r="B2856" s="45"/>
      <c r="C2856" s="17" t="s">
        <v>227</v>
      </c>
      <c r="D2856" s="18">
        <v>5040</v>
      </c>
      <c r="E2856" s="19"/>
      <c r="F2856" s="15">
        <f t="shared" si="48"/>
        <v>-3147829.230000006</v>
      </c>
    </row>
    <row r="2857" spans="1:6" x14ac:dyDescent="0.2">
      <c r="A2857" s="3">
        <v>45783</v>
      </c>
      <c r="B2857" s="45"/>
      <c r="C2857" s="17" t="s">
        <v>37</v>
      </c>
      <c r="D2857" s="18">
        <v>720</v>
      </c>
      <c r="E2857" s="19"/>
      <c r="F2857" s="15">
        <f t="shared" si="48"/>
        <v>-3148549.230000006</v>
      </c>
    </row>
    <row r="2858" spans="1:6" x14ac:dyDescent="0.2">
      <c r="A2858" s="3">
        <v>45783</v>
      </c>
      <c r="B2858" s="43">
        <v>41354424</v>
      </c>
      <c r="C2858" s="17" t="s">
        <v>422</v>
      </c>
      <c r="D2858" s="18">
        <v>52078.76</v>
      </c>
      <c r="E2858" s="19"/>
      <c r="F2858" s="15">
        <f t="shared" si="48"/>
        <v>-3200627.9900000058</v>
      </c>
    </row>
    <row r="2859" spans="1:6" x14ac:dyDescent="0.2">
      <c r="A2859" s="3">
        <v>45783</v>
      </c>
      <c r="B2859" s="43">
        <v>10443520</v>
      </c>
      <c r="C2859" s="20" t="s">
        <v>332</v>
      </c>
      <c r="D2859" s="25"/>
      <c r="E2859" s="25">
        <v>15000000</v>
      </c>
      <c r="F2859" s="15">
        <f t="shared" si="48"/>
        <v>11799372.009999994</v>
      </c>
    </row>
    <row r="2860" spans="1:6" x14ac:dyDescent="0.2">
      <c r="A2860" s="3">
        <v>45783</v>
      </c>
      <c r="B2860" s="43">
        <v>24231291</v>
      </c>
      <c r="C2860" s="20" t="s">
        <v>423</v>
      </c>
      <c r="D2860" s="19"/>
      <c r="E2860" s="18">
        <v>19000</v>
      </c>
      <c r="F2860" s="15">
        <f t="shared" si="48"/>
        <v>11818372.009999994</v>
      </c>
    </row>
    <row r="2861" spans="1:6" x14ac:dyDescent="0.2">
      <c r="A2861" s="3">
        <v>45783</v>
      </c>
      <c r="B2861" s="45"/>
      <c r="C2861" s="17" t="s">
        <v>16</v>
      </c>
      <c r="D2861" s="18">
        <v>26248.31</v>
      </c>
      <c r="E2861" s="19"/>
      <c r="F2861" s="15">
        <f t="shared" si="48"/>
        <v>11792123.699999994</v>
      </c>
    </row>
    <row r="2862" spans="1:6" x14ac:dyDescent="0.2">
      <c r="A2862" s="3">
        <v>45783</v>
      </c>
      <c r="B2862" s="45"/>
      <c r="C2862" s="17" t="s">
        <v>22</v>
      </c>
      <c r="D2862" s="18">
        <v>90114</v>
      </c>
      <c r="E2862" s="19"/>
      <c r="F2862" s="15">
        <f t="shared" si="48"/>
        <v>11702009.699999994</v>
      </c>
    </row>
    <row r="2863" spans="1:6" x14ac:dyDescent="0.2">
      <c r="A2863" s="3">
        <v>45783</v>
      </c>
      <c r="B2863" s="45"/>
      <c r="C2863" s="20" t="s">
        <v>424</v>
      </c>
      <c r="D2863" s="18">
        <v>30038</v>
      </c>
      <c r="E2863" s="19"/>
      <c r="F2863" s="15">
        <f t="shared" si="48"/>
        <v>11671971.699999994</v>
      </c>
    </row>
    <row r="2864" spans="1:6" x14ac:dyDescent="0.2">
      <c r="A2864" s="3">
        <v>45784</v>
      </c>
      <c r="B2864" s="43">
        <v>32136</v>
      </c>
      <c r="C2864" s="17" t="s">
        <v>9</v>
      </c>
      <c r="D2864" s="18">
        <v>154898.9</v>
      </c>
      <c r="E2864" s="19"/>
      <c r="F2864" s="15">
        <f t="shared" si="48"/>
        <v>11517072.799999993</v>
      </c>
    </row>
    <row r="2865" spans="1:6" x14ac:dyDescent="0.2">
      <c r="A2865" s="3">
        <v>45784</v>
      </c>
      <c r="B2865" s="43">
        <v>32135</v>
      </c>
      <c r="C2865" s="17" t="s">
        <v>9</v>
      </c>
      <c r="D2865" s="18">
        <v>420188.92</v>
      </c>
      <c r="E2865" s="19"/>
      <c r="F2865" s="15">
        <f t="shared" si="48"/>
        <v>11096883.879999993</v>
      </c>
    </row>
    <row r="2866" spans="1:6" x14ac:dyDescent="0.2">
      <c r="A2866" s="3">
        <v>45784</v>
      </c>
      <c r="B2866" s="43">
        <v>32005</v>
      </c>
      <c r="C2866" s="17" t="s">
        <v>9</v>
      </c>
      <c r="D2866" s="18">
        <v>5967444</v>
      </c>
      <c r="E2866" s="19"/>
      <c r="F2866" s="15">
        <f t="shared" si="48"/>
        <v>5129439.8799999934</v>
      </c>
    </row>
    <row r="2867" spans="1:6" x14ac:dyDescent="0.2">
      <c r="A2867" s="3">
        <v>45784</v>
      </c>
      <c r="B2867" s="43">
        <v>4272502</v>
      </c>
      <c r="C2867" s="20" t="s">
        <v>362</v>
      </c>
      <c r="D2867" s="18">
        <v>100000</v>
      </c>
      <c r="E2867" s="19"/>
      <c r="F2867" s="15">
        <f t="shared" si="48"/>
        <v>5029439.8799999934</v>
      </c>
    </row>
    <row r="2868" spans="1:6" x14ac:dyDescent="0.2">
      <c r="A2868" s="3">
        <v>45784</v>
      </c>
      <c r="B2868" s="43">
        <v>4272503</v>
      </c>
      <c r="C2868" s="20" t="s">
        <v>425</v>
      </c>
      <c r="D2868" s="18">
        <v>1481314</v>
      </c>
      <c r="E2868" s="19"/>
      <c r="F2868" s="15">
        <f t="shared" si="48"/>
        <v>3548125.8799999934</v>
      </c>
    </row>
    <row r="2869" spans="1:6" x14ac:dyDescent="0.2">
      <c r="A2869" s="3">
        <v>45784</v>
      </c>
      <c r="B2869" s="43">
        <v>95009579</v>
      </c>
      <c r="C2869" s="20" t="s">
        <v>426</v>
      </c>
      <c r="D2869" s="19"/>
      <c r="E2869" s="18">
        <v>16000</v>
      </c>
      <c r="F2869" s="15">
        <f t="shared" si="48"/>
        <v>3564125.8799999934</v>
      </c>
    </row>
    <row r="2870" spans="1:6" x14ac:dyDescent="0.2">
      <c r="A2870" s="3">
        <v>45784</v>
      </c>
      <c r="B2870" s="43">
        <v>32005</v>
      </c>
      <c r="C2870" s="20" t="s">
        <v>427</v>
      </c>
      <c r="D2870" s="25"/>
      <c r="E2870" s="25">
        <v>5967444</v>
      </c>
      <c r="F2870" s="15">
        <f t="shared" si="48"/>
        <v>9531569.8799999934</v>
      </c>
    </row>
    <row r="2871" spans="1:6" x14ac:dyDescent="0.2">
      <c r="A2871" s="3">
        <v>45784</v>
      </c>
      <c r="B2871" s="43">
        <v>32255</v>
      </c>
      <c r="C2871" s="17" t="s">
        <v>12</v>
      </c>
      <c r="D2871" s="18">
        <v>485987.95</v>
      </c>
      <c r="E2871" s="19"/>
      <c r="F2871" s="15">
        <f t="shared" si="48"/>
        <v>9045581.9299999941</v>
      </c>
    </row>
    <row r="2872" spans="1:6" x14ac:dyDescent="0.2">
      <c r="A2872" s="3">
        <v>45784</v>
      </c>
      <c r="B2872" s="45"/>
      <c r="C2872" s="17" t="s">
        <v>156</v>
      </c>
      <c r="D2872" s="19"/>
      <c r="E2872" s="18">
        <v>35804.660000000003</v>
      </c>
      <c r="F2872" s="15">
        <f t="shared" si="48"/>
        <v>9081386.5899999943</v>
      </c>
    </row>
    <row r="2873" spans="1:6" x14ac:dyDescent="0.2">
      <c r="A2873" s="3">
        <v>45784</v>
      </c>
      <c r="B2873" s="45"/>
      <c r="C2873" s="17" t="s">
        <v>16</v>
      </c>
      <c r="D2873" s="18">
        <v>51839.22</v>
      </c>
      <c r="E2873" s="19"/>
      <c r="F2873" s="15">
        <f t="shared" si="48"/>
        <v>9029547.3699999936</v>
      </c>
    </row>
    <row r="2874" spans="1:6" x14ac:dyDescent="0.2">
      <c r="A2874" s="3">
        <v>45784</v>
      </c>
      <c r="B2874" s="45"/>
      <c r="C2874" s="17" t="s">
        <v>22</v>
      </c>
      <c r="D2874" s="18">
        <v>96</v>
      </c>
      <c r="E2874" s="19"/>
      <c r="F2874" s="15">
        <f t="shared" si="48"/>
        <v>9029451.3699999936</v>
      </c>
    </row>
    <row r="2875" spans="1:6" x14ac:dyDescent="0.2">
      <c r="A2875" s="3">
        <v>45784</v>
      </c>
      <c r="B2875" s="43">
        <v>12034</v>
      </c>
      <c r="C2875" s="20" t="s">
        <v>7</v>
      </c>
      <c r="D2875" s="18">
        <v>1485</v>
      </c>
      <c r="E2875" s="19"/>
      <c r="F2875" s="15">
        <f t="shared" si="48"/>
        <v>9027966.3699999936</v>
      </c>
    </row>
    <row r="2876" spans="1:6" x14ac:dyDescent="0.2">
      <c r="A2876" s="3">
        <v>45784</v>
      </c>
      <c r="B2876" s="43">
        <v>12034</v>
      </c>
      <c r="C2876" s="17" t="s">
        <v>227</v>
      </c>
      <c r="D2876" s="18">
        <v>311.85000000000002</v>
      </c>
      <c r="E2876" s="19"/>
      <c r="F2876" s="15">
        <f t="shared" si="48"/>
        <v>9027654.519999994</v>
      </c>
    </row>
    <row r="2877" spans="1:6" x14ac:dyDescent="0.2">
      <c r="A2877" s="3">
        <v>45784</v>
      </c>
      <c r="B2877" s="45"/>
      <c r="C2877" s="20" t="s">
        <v>387</v>
      </c>
      <c r="D2877" s="18">
        <v>32</v>
      </c>
      <c r="E2877" s="19"/>
      <c r="F2877" s="15">
        <f t="shared" si="48"/>
        <v>9027622.519999994</v>
      </c>
    </row>
    <row r="2878" spans="1:6" x14ac:dyDescent="0.2">
      <c r="A2878" s="3">
        <v>45785</v>
      </c>
      <c r="B2878" s="43">
        <v>32087</v>
      </c>
      <c r="C2878" s="17" t="s">
        <v>9</v>
      </c>
      <c r="D2878" s="18">
        <v>309674.44</v>
      </c>
      <c r="E2878" s="19"/>
      <c r="F2878" s="15">
        <f t="shared" si="48"/>
        <v>8717948.0799999945</v>
      </c>
    </row>
    <row r="2879" spans="1:6" x14ac:dyDescent="0.2">
      <c r="A2879" s="3">
        <v>45785</v>
      </c>
      <c r="B2879" s="43">
        <v>8638359</v>
      </c>
      <c r="C2879" s="20" t="s">
        <v>428</v>
      </c>
      <c r="D2879" s="19"/>
      <c r="E2879" s="18">
        <v>30259.98</v>
      </c>
      <c r="F2879" s="15">
        <f t="shared" si="48"/>
        <v>8748208.0599999949</v>
      </c>
    </row>
    <row r="2880" spans="1:6" x14ac:dyDescent="0.2">
      <c r="A2880" s="3">
        <v>45785</v>
      </c>
      <c r="B2880" s="43">
        <v>8788815</v>
      </c>
      <c r="C2880" s="20" t="s">
        <v>429</v>
      </c>
      <c r="D2880" s="19"/>
      <c r="E2880" s="18">
        <v>44724.62</v>
      </c>
      <c r="F2880" s="15">
        <f t="shared" si="48"/>
        <v>8792932.6799999941</v>
      </c>
    </row>
    <row r="2881" spans="1:6" x14ac:dyDescent="0.2">
      <c r="A2881" s="3">
        <v>45785</v>
      </c>
      <c r="B2881" s="43">
        <v>4073</v>
      </c>
      <c r="C2881" s="17" t="s">
        <v>150</v>
      </c>
      <c r="D2881" s="19"/>
      <c r="E2881" s="18">
        <v>248245.34</v>
      </c>
      <c r="F2881" s="15">
        <f t="shared" si="48"/>
        <v>9041178.019999994</v>
      </c>
    </row>
    <row r="2882" spans="1:6" x14ac:dyDescent="0.2">
      <c r="A2882" s="3">
        <v>45785</v>
      </c>
      <c r="B2882" s="45"/>
      <c r="C2882" s="17" t="s">
        <v>16</v>
      </c>
      <c r="D2882" s="18">
        <v>1869.02</v>
      </c>
      <c r="E2882" s="19"/>
      <c r="F2882" s="15">
        <f t="shared" si="48"/>
        <v>9039308.9999999944</v>
      </c>
    </row>
    <row r="2883" spans="1:6" x14ac:dyDescent="0.2">
      <c r="A2883" s="3">
        <v>45785</v>
      </c>
      <c r="B2883" s="45"/>
      <c r="C2883" s="17" t="s">
        <v>22</v>
      </c>
      <c r="D2883" s="18">
        <v>1939.38</v>
      </c>
      <c r="E2883" s="19"/>
      <c r="F2883" s="15">
        <f t="shared" si="48"/>
        <v>9037369.6199999936</v>
      </c>
    </row>
    <row r="2884" spans="1:6" x14ac:dyDescent="0.2">
      <c r="A2884" s="3">
        <v>45785</v>
      </c>
      <c r="B2884" s="45"/>
      <c r="C2884" s="20" t="s">
        <v>430</v>
      </c>
      <c r="D2884" s="18">
        <v>646.46</v>
      </c>
      <c r="E2884" s="19"/>
      <c r="F2884" s="15">
        <f t="shared" si="48"/>
        <v>9036723.1599999927</v>
      </c>
    </row>
    <row r="2885" spans="1:6" x14ac:dyDescent="0.2">
      <c r="A2885" s="3">
        <v>45786</v>
      </c>
      <c r="B2885" s="46">
        <v>4073</v>
      </c>
      <c r="C2885" s="47" t="s">
        <v>24</v>
      </c>
      <c r="D2885" s="62"/>
      <c r="E2885" s="63">
        <v>50000</v>
      </c>
      <c r="F2885" s="15">
        <f t="shared" si="48"/>
        <v>9086723.1599999927</v>
      </c>
    </row>
    <row r="2886" spans="1:6" x14ac:dyDescent="0.2">
      <c r="A2886" s="3">
        <v>45786</v>
      </c>
      <c r="B2886" s="44">
        <v>32209</v>
      </c>
      <c r="C2886" s="22" t="s">
        <v>9</v>
      </c>
      <c r="D2886" s="23">
        <v>80970.02</v>
      </c>
      <c r="E2886" s="24"/>
      <c r="F2886" s="15">
        <f t="shared" si="48"/>
        <v>9005753.1399999931</v>
      </c>
    </row>
    <row r="2887" spans="1:6" x14ac:dyDescent="0.2">
      <c r="A2887" s="3">
        <v>45786</v>
      </c>
      <c r="B2887" s="45"/>
      <c r="C2887" s="17" t="s">
        <v>113</v>
      </c>
      <c r="D2887" s="18">
        <v>18710.580000000002</v>
      </c>
      <c r="E2887" s="19"/>
      <c r="F2887" s="15">
        <f t="shared" si="48"/>
        <v>8987042.5599999931</v>
      </c>
    </row>
    <row r="2888" spans="1:6" x14ac:dyDescent="0.2">
      <c r="A2888" s="3">
        <v>45786</v>
      </c>
      <c r="B2888" s="45"/>
      <c r="C2888" s="17" t="s">
        <v>227</v>
      </c>
      <c r="D2888" s="18">
        <v>3929.22</v>
      </c>
      <c r="E2888" s="19"/>
      <c r="F2888" s="15">
        <f t="shared" si="48"/>
        <v>8983113.3399999924</v>
      </c>
    </row>
    <row r="2889" spans="1:6" x14ac:dyDescent="0.2">
      <c r="A2889" s="3">
        <v>45786</v>
      </c>
      <c r="B2889" s="45"/>
      <c r="C2889" s="17" t="s">
        <v>37</v>
      </c>
      <c r="D2889" s="18">
        <v>561.32000000000005</v>
      </c>
      <c r="E2889" s="19"/>
      <c r="F2889" s="15">
        <f t="shared" si="48"/>
        <v>8982552.0199999921</v>
      </c>
    </row>
    <row r="2890" spans="1:6" x14ac:dyDescent="0.2">
      <c r="A2890" s="3">
        <v>45786</v>
      </c>
      <c r="B2890" s="45"/>
      <c r="C2890" s="17" t="s">
        <v>36</v>
      </c>
      <c r="D2890" s="18">
        <v>280.66000000000003</v>
      </c>
      <c r="E2890" s="19"/>
      <c r="F2890" s="15">
        <f t="shared" ref="F2890:F2953" si="49">+F2889+E2890-D2890</f>
        <v>8982271.359999992</v>
      </c>
    </row>
    <row r="2891" spans="1:6" x14ac:dyDescent="0.2">
      <c r="A2891" s="3">
        <v>45786</v>
      </c>
      <c r="B2891" s="43">
        <v>819411</v>
      </c>
      <c r="C2891" s="20" t="s">
        <v>217</v>
      </c>
      <c r="D2891" s="25"/>
      <c r="E2891" s="25">
        <v>6000000</v>
      </c>
      <c r="F2891" s="15">
        <f t="shared" si="49"/>
        <v>14982271.359999992</v>
      </c>
    </row>
    <row r="2892" spans="1:6" x14ac:dyDescent="0.2">
      <c r="A2892" s="3">
        <v>45786</v>
      </c>
      <c r="B2892" s="43">
        <v>4223618</v>
      </c>
      <c r="C2892" s="20" t="s">
        <v>242</v>
      </c>
      <c r="D2892" s="18">
        <v>564707</v>
      </c>
      <c r="E2892" s="19"/>
      <c r="F2892" s="15">
        <f t="shared" si="49"/>
        <v>14417564.359999992</v>
      </c>
    </row>
    <row r="2893" spans="1:6" x14ac:dyDescent="0.2">
      <c r="A2893" s="3">
        <v>45786</v>
      </c>
      <c r="B2893" s="43">
        <v>4223620</v>
      </c>
      <c r="C2893" s="20" t="s">
        <v>431</v>
      </c>
      <c r="D2893" s="18">
        <v>1440000</v>
      </c>
      <c r="E2893" s="19"/>
      <c r="F2893" s="15">
        <f t="shared" si="49"/>
        <v>12977564.359999992</v>
      </c>
    </row>
    <row r="2894" spans="1:6" x14ac:dyDescent="0.2">
      <c r="A2894" s="3">
        <v>45786</v>
      </c>
      <c r="B2894" s="43">
        <v>4223621</v>
      </c>
      <c r="C2894" s="20" t="s">
        <v>432</v>
      </c>
      <c r="D2894" s="18">
        <v>265675</v>
      </c>
      <c r="E2894" s="19"/>
      <c r="F2894" s="15">
        <f t="shared" si="49"/>
        <v>12711889.359999992</v>
      </c>
    </row>
    <row r="2895" spans="1:6" x14ac:dyDescent="0.2">
      <c r="A2895" s="3">
        <v>45786</v>
      </c>
      <c r="B2895" s="43">
        <v>12715</v>
      </c>
      <c r="C2895" s="20" t="s">
        <v>433</v>
      </c>
      <c r="D2895" s="25"/>
      <c r="E2895" s="25">
        <v>28613939.800000001</v>
      </c>
      <c r="F2895" s="15">
        <f t="shared" si="49"/>
        <v>41325829.159999996</v>
      </c>
    </row>
    <row r="2896" spans="1:6" x14ac:dyDescent="0.2">
      <c r="A2896" s="3">
        <v>45786</v>
      </c>
      <c r="B2896" s="43">
        <v>32159</v>
      </c>
      <c r="C2896" s="17" t="s">
        <v>12</v>
      </c>
      <c r="D2896" s="18">
        <v>140448.6</v>
      </c>
      <c r="E2896" s="19"/>
      <c r="F2896" s="15">
        <f t="shared" si="49"/>
        <v>41185380.559999995</v>
      </c>
    </row>
    <row r="2897" spans="1:6" x14ac:dyDescent="0.2">
      <c r="A2897" s="3">
        <v>45786</v>
      </c>
      <c r="B2897" s="45"/>
      <c r="C2897" s="17" t="s">
        <v>16</v>
      </c>
      <c r="D2897" s="18">
        <v>15095.57</v>
      </c>
      <c r="E2897" s="19"/>
      <c r="F2897" s="15">
        <f t="shared" si="49"/>
        <v>41170284.989999995</v>
      </c>
    </row>
    <row r="2898" spans="1:6" x14ac:dyDescent="0.2">
      <c r="A2898" s="3">
        <v>45786</v>
      </c>
      <c r="B2898" s="45"/>
      <c r="C2898" s="17" t="s">
        <v>22</v>
      </c>
      <c r="D2898" s="18">
        <v>171983.64</v>
      </c>
      <c r="E2898" s="19"/>
      <c r="F2898" s="15">
        <f t="shared" si="49"/>
        <v>40998301.349999994</v>
      </c>
    </row>
    <row r="2899" spans="1:6" x14ac:dyDescent="0.2">
      <c r="A2899" s="3">
        <v>45786</v>
      </c>
      <c r="B2899" s="43">
        <v>17621</v>
      </c>
      <c r="C2899" s="20" t="s">
        <v>7</v>
      </c>
      <c r="D2899" s="18">
        <v>720</v>
      </c>
      <c r="E2899" s="19"/>
      <c r="F2899" s="15">
        <f t="shared" si="49"/>
        <v>40997581.349999994</v>
      </c>
    </row>
    <row r="2900" spans="1:6" x14ac:dyDescent="0.2">
      <c r="A2900" s="3">
        <v>45786</v>
      </c>
      <c r="B2900" s="43">
        <v>17621</v>
      </c>
      <c r="C2900" s="17" t="s">
        <v>227</v>
      </c>
      <c r="D2900" s="18">
        <v>151.19999999999999</v>
      </c>
      <c r="E2900" s="19"/>
      <c r="F2900" s="15">
        <f t="shared" si="49"/>
        <v>40997430.149999991</v>
      </c>
    </row>
    <row r="2901" spans="1:6" x14ac:dyDescent="0.2">
      <c r="A2901" s="3">
        <v>45786</v>
      </c>
      <c r="B2901" s="43">
        <v>17622</v>
      </c>
      <c r="C2901" s="20" t="s">
        <v>7</v>
      </c>
      <c r="D2901" s="18">
        <v>1485</v>
      </c>
      <c r="E2901" s="19"/>
      <c r="F2901" s="15">
        <f t="shared" si="49"/>
        <v>40995945.149999991</v>
      </c>
    </row>
    <row r="2902" spans="1:6" x14ac:dyDescent="0.2">
      <c r="A2902" s="3">
        <v>45786</v>
      </c>
      <c r="B2902" s="43">
        <v>17622</v>
      </c>
      <c r="C2902" s="17" t="s">
        <v>227</v>
      </c>
      <c r="D2902" s="18">
        <v>311.85000000000002</v>
      </c>
      <c r="E2902" s="19"/>
      <c r="F2902" s="15">
        <f t="shared" si="49"/>
        <v>40995633.29999999</v>
      </c>
    </row>
    <row r="2903" spans="1:6" x14ac:dyDescent="0.2">
      <c r="A2903" s="3">
        <v>45786</v>
      </c>
      <c r="B2903" s="43">
        <v>17623</v>
      </c>
      <c r="C2903" s="20" t="s">
        <v>7</v>
      </c>
      <c r="D2903" s="18">
        <v>1485</v>
      </c>
      <c r="E2903" s="19"/>
      <c r="F2903" s="15">
        <f t="shared" si="49"/>
        <v>40994148.29999999</v>
      </c>
    </row>
    <row r="2904" spans="1:6" x14ac:dyDescent="0.2">
      <c r="A2904" s="3">
        <v>45786</v>
      </c>
      <c r="B2904" s="43">
        <v>17623</v>
      </c>
      <c r="C2904" s="17" t="s">
        <v>227</v>
      </c>
      <c r="D2904" s="18">
        <v>311.85000000000002</v>
      </c>
      <c r="E2904" s="19"/>
      <c r="F2904" s="15">
        <f t="shared" si="49"/>
        <v>40993836.449999988</v>
      </c>
    </row>
    <row r="2905" spans="1:6" x14ac:dyDescent="0.2">
      <c r="A2905" s="3">
        <v>45786</v>
      </c>
      <c r="B2905" s="45"/>
      <c r="C2905" s="20" t="s">
        <v>434</v>
      </c>
      <c r="D2905" s="18">
        <v>57327.88</v>
      </c>
      <c r="E2905" s="19"/>
      <c r="F2905" s="15">
        <f t="shared" si="49"/>
        <v>40936508.569999985</v>
      </c>
    </row>
    <row r="2906" spans="1:6" x14ac:dyDescent="0.2">
      <c r="A2906" s="3">
        <v>45789</v>
      </c>
      <c r="B2906" s="43">
        <v>32211</v>
      </c>
      <c r="C2906" s="17" t="s">
        <v>9</v>
      </c>
      <c r="D2906" s="18">
        <v>426359.75</v>
      </c>
      <c r="E2906" s="19"/>
      <c r="F2906" s="15">
        <f t="shared" si="49"/>
        <v>40510148.819999985</v>
      </c>
    </row>
    <row r="2907" spans="1:6" x14ac:dyDescent="0.2">
      <c r="A2907" s="3">
        <v>45789</v>
      </c>
      <c r="B2907" s="43">
        <v>27339</v>
      </c>
      <c r="C2907" s="20" t="s">
        <v>76</v>
      </c>
      <c r="D2907" s="18">
        <v>159785</v>
      </c>
      <c r="E2907" s="19"/>
      <c r="F2907" s="15">
        <f t="shared" si="49"/>
        <v>40350363.819999985</v>
      </c>
    </row>
    <row r="2908" spans="1:6" x14ac:dyDescent="0.2">
      <c r="A2908" s="3">
        <v>45789</v>
      </c>
      <c r="B2908" s="43">
        <v>28424095</v>
      </c>
      <c r="C2908" s="20" t="s">
        <v>435</v>
      </c>
      <c r="D2908" s="19"/>
      <c r="E2908" s="18">
        <v>18000</v>
      </c>
      <c r="F2908" s="15">
        <f t="shared" si="49"/>
        <v>40368363.819999985</v>
      </c>
    </row>
    <row r="2909" spans="1:6" x14ac:dyDescent="0.2">
      <c r="A2909" s="3">
        <v>45789</v>
      </c>
      <c r="B2909" s="43">
        <v>891049</v>
      </c>
      <c r="C2909" s="20" t="s">
        <v>436</v>
      </c>
      <c r="D2909" s="19"/>
      <c r="E2909" s="18">
        <v>22600</v>
      </c>
      <c r="F2909" s="15">
        <f t="shared" si="49"/>
        <v>40390963.819999985</v>
      </c>
    </row>
    <row r="2910" spans="1:6" x14ac:dyDescent="0.2">
      <c r="A2910" s="3">
        <v>45789</v>
      </c>
      <c r="B2910" s="43">
        <v>11737</v>
      </c>
      <c r="C2910" s="20" t="s">
        <v>21</v>
      </c>
      <c r="D2910" s="19"/>
      <c r="E2910" s="18">
        <v>73276.639999999999</v>
      </c>
      <c r="F2910" s="15">
        <f t="shared" si="49"/>
        <v>40464240.459999986</v>
      </c>
    </row>
    <row r="2911" spans="1:6" x14ac:dyDescent="0.2">
      <c r="A2911" s="3">
        <v>45789</v>
      </c>
      <c r="B2911" s="51"/>
      <c r="C2911" s="47" t="s">
        <v>16</v>
      </c>
      <c r="D2911" s="48">
        <v>3887.63</v>
      </c>
      <c r="E2911" s="49"/>
      <c r="F2911" s="15">
        <f t="shared" si="49"/>
        <v>40460352.829999983</v>
      </c>
    </row>
    <row r="2912" spans="1:6" x14ac:dyDescent="0.2">
      <c r="A2912" s="3">
        <v>45789</v>
      </c>
      <c r="B2912" s="50"/>
      <c r="C2912" s="22" t="s">
        <v>22</v>
      </c>
      <c r="D2912" s="23">
        <v>683.26</v>
      </c>
      <c r="E2912" s="24"/>
      <c r="F2912" s="15">
        <f t="shared" si="49"/>
        <v>40459669.569999985</v>
      </c>
    </row>
    <row r="2913" spans="1:6" x14ac:dyDescent="0.2">
      <c r="A2913" s="3">
        <v>45789</v>
      </c>
      <c r="B2913" s="45"/>
      <c r="C2913" s="20" t="s">
        <v>437</v>
      </c>
      <c r="D2913" s="18">
        <v>227.75</v>
      </c>
      <c r="E2913" s="19"/>
      <c r="F2913" s="15">
        <f t="shared" si="49"/>
        <v>40459441.819999985</v>
      </c>
    </row>
    <row r="2914" spans="1:6" x14ac:dyDescent="0.2">
      <c r="A2914" s="3">
        <v>45790</v>
      </c>
      <c r="B2914" s="43">
        <v>32100</v>
      </c>
      <c r="C2914" s="17" t="s">
        <v>12</v>
      </c>
      <c r="D2914" s="18">
        <v>780450</v>
      </c>
      <c r="E2914" s="19"/>
      <c r="F2914" s="15">
        <f t="shared" si="49"/>
        <v>39678991.819999985</v>
      </c>
    </row>
    <row r="2915" spans="1:6" x14ac:dyDescent="0.2">
      <c r="A2915" s="3">
        <v>45790</v>
      </c>
      <c r="B2915" s="43">
        <v>32097</v>
      </c>
      <c r="C2915" s="17" t="s">
        <v>12</v>
      </c>
      <c r="D2915" s="18">
        <v>920400</v>
      </c>
      <c r="E2915" s="19"/>
      <c r="F2915" s="15">
        <f t="shared" si="49"/>
        <v>38758591.819999985</v>
      </c>
    </row>
    <row r="2916" spans="1:6" x14ac:dyDescent="0.2">
      <c r="A2916" s="3">
        <v>45790</v>
      </c>
      <c r="B2916" s="45"/>
      <c r="C2916" s="17" t="s">
        <v>16</v>
      </c>
      <c r="D2916" s="18">
        <v>10206.469999999999</v>
      </c>
      <c r="E2916" s="19"/>
      <c r="F2916" s="15">
        <f t="shared" si="49"/>
        <v>38748385.349999987</v>
      </c>
    </row>
    <row r="2917" spans="1:6" x14ac:dyDescent="0.2">
      <c r="A2917" s="3">
        <v>45791</v>
      </c>
      <c r="B2917" s="43">
        <v>32122</v>
      </c>
      <c r="C2917" s="17" t="s">
        <v>9</v>
      </c>
      <c r="D2917" s="18">
        <v>36546.839999999997</v>
      </c>
      <c r="E2917" s="19"/>
      <c r="F2917" s="15">
        <f t="shared" si="49"/>
        <v>38711838.509999983</v>
      </c>
    </row>
    <row r="2918" spans="1:6" x14ac:dyDescent="0.2">
      <c r="A2918" s="3">
        <v>45791</v>
      </c>
      <c r="B2918" s="43">
        <v>9563163</v>
      </c>
      <c r="C2918" s="20" t="s">
        <v>438</v>
      </c>
      <c r="D2918" s="19"/>
      <c r="E2918" s="18">
        <v>25085.3</v>
      </c>
      <c r="F2918" s="15">
        <f t="shared" si="49"/>
        <v>38736923.80999998</v>
      </c>
    </row>
    <row r="2919" spans="1:6" x14ac:dyDescent="0.2">
      <c r="A2919" s="3">
        <v>45791</v>
      </c>
      <c r="B2919" s="43">
        <v>32306</v>
      </c>
      <c r="C2919" s="20" t="s">
        <v>30</v>
      </c>
      <c r="D2919" s="18">
        <v>50000</v>
      </c>
      <c r="E2919" s="19"/>
      <c r="F2919" s="15">
        <f t="shared" si="49"/>
        <v>38686923.80999998</v>
      </c>
    </row>
    <row r="2920" spans="1:6" x14ac:dyDescent="0.2">
      <c r="A2920" s="3">
        <v>45791</v>
      </c>
      <c r="B2920" s="43">
        <v>32307</v>
      </c>
      <c r="C2920" s="20" t="s">
        <v>28</v>
      </c>
      <c r="D2920" s="18">
        <v>50000</v>
      </c>
      <c r="E2920" s="19"/>
      <c r="F2920" s="15">
        <f t="shared" si="49"/>
        <v>38636923.80999998</v>
      </c>
    </row>
    <row r="2921" spans="1:6" x14ac:dyDescent="0.2">
      <c r="A2921" s="3">
        <v>45791</v>
      </c>
      <c r="B2921" s="43">
        <v>32308</v>
      </c>
      <c r="C2921" s="20" t="s">
        <v>29</v>
      </c>
      <c r="D2921" s="18">
        <v>50000</v>
      </c>
      <c r="E2921" s="19"/>
      <c r="F2921" s="15">
        <f t="shared" si="49"/>
        <v>38586923.80999998</v>
      </c>
    </row>
    <row r="2922" spans="1:6" x14ac:dyDescent="0.2">
      <c r="A2922" s="3">
        <v>45791</v>
      </c>
      <c r="B2922" s="43">
        <v>32309</v>
      </c>
      <c r="C2922" s="20" t="s">
        <v>97</v>
      </c>
      <c r="D2922" s="18">
        <v>50000</v>
      </c>
      <c r="E2922" s="19"/>
      <c r="F2922" s="15">
        <f t="shared" si="49"/>
        <v>38536923.80999998</v>
      </c>
    </row>
    <row r="2923" spans="1:6" x14ac:dyDescent="0.2">
      <c r="A2923" s="3">
        <v>45791</v>
      </c>
      <c r="B2923" s="43">
        <v>9588404</v>
      </c>
      <c r="C2923" s="20" t="s">
        <v>439</v>
      </c>
      <c r="D2923" s="19"/>
      <c r="E2923" s="18">
        <v>45658.2</v>
      </c>
      <c r="F2923" s="15">
        <f t="shared" si="49"/>
        <v>38582582.009999983</v>
      </c>
    </row>
    <row r="2924" spans="1:6" x14ac:dyDescent="0.2">
      <c r="A2924" s="3">
        <v>45791</v>
      </c>
      <c r="B2924" s="43">
        <v>96263005</v>
      </c>
      <c r="C2924" s="20" t="s">
        <v>440</v>
      </c>
      <c r="D2924" s="19"/>
      <c r="E2924" s="18">
        <v>26200</v>
      </c>
      <c r="F2924" s="15">
        <f t="shared" si="49"/>
        <v>38608782.009999983</v>
      </c>
    </row>
    <row r="2925" spans="1:6" x14ac:dyDescent="0.2">
      <c r="A2925" s="3">
        <v>45791</v>
      </c>
      <c r="B2925" s="43">
        <v>32305</v>
      </c>
      <c r="C2925" s="17" t="s">
        <v>12</v>
      </c>
      <c r="D2925" s="18">
        <v>1600000</v>
      </c>
      <c r="E2925" s="19"/>
      <c r="F2925" s="15">
        <f t="shared" si="49"/>
        <v>37008782.009999983</v>
      </c>
    </row>
    <row r="2926" spans="1:6" x14ac:dyDescent="0.2">
      <c r="A2926" s="3">
        <v>45791</v>
      </c>
      <c r="B2926" s="45"/>
      <c r="C2926" s="17" t="s">
        <v>22</v>
      </c>
      <c r="D2926" s="18">
        <v>581.66</v>
      </c>
      <c r="E2926" s="19"/>
      <c r="F2926" s="15">
        <f t="shared" si="49"/>
        <v>37008200.349999987</v>
      </c>
    </row>
    <row r="2927" spans="1:6" x14ac:dyDescent="0.2">
      <c r="A2927" s="3">
        <v>45791</v>
      </c>
      <c r="B2927" s="45"/>
      <c r="C2927" s="17" t="s">
        <v>16</v>
      </c>
      <c r="D2927" s="18">
        <v>9819.2800000000007</v>
      </c>
      <c r="E2927" s="19"/>
      <c r="F2927" s="15">
        <f t="shared" si="49"/>
        <v>36998381.069999985</v>
      </c>
    </row>
    <row r="2928" spans="1:6" x14ac:dyDescent="0.2">
      <c r="A2928" s="3">
        <v>45791</v>
      </c>
      <c r="B2928" s="45"/>
      <c r="C2928" s="17" t="s">
        <v>34</v>
      </c>
      <c r="D2928" s="18">
        <v>2400</v>
      </c>
      <c r="E2928" s="19"/>
      <c r="F2928" s="15">
        <f t="shared" si="49"/>
        <v>36995981.069999985</v>
      </c>
    </row>
    <row r="2929" spans="1:6" x14ac:dyDescent="0.2">
      <c r="A2929" s="3">
        <v>45791</v>
      </c>
      <c r="B2929" s="45"/>
      <c r="C2929" s="20" t="s">
        <v>441</v>
      </c>
      <c r="D2929" s="18">
        <v>193.89</v>
      </c>
      <c r="E2929" s="19"/>
      <c r="F2929" s="15">
        <f t="shared" si="49"/>
        <v>36995787.179999985</v>
      </c>
    </row>
    <row r="2930" spans="1:6" x14ac:dyDescent="0.2">
      <c r="A2930" s="3">
        <v>45792</v>
      </c>
      <c r="B2930" s="45"/>
      <c r="C2930" s="20" t="s">
        <v>35</v>
      </c>
      <c r="D2930" s="18">
        <v>4000</v>
      </c>
      <c r="E2930" s="19"/>
      <c r="F2930" s="15">
        <f t="shared" si="49"/>
        <v>36991787.179999985</v>
      </c>
    </row>
    <row r="2931" spans="1:6" x14ac:dyDescent="0.2">
      <c r="A2931" s="3">
        <v>45792</v>
      </c>
      <c r="B2931" s="45"/>
      <c r="C2931" s="17" t="s">
        <v>36</v>
      </c>
      <c r="D2931" s="18">
        <v>60</v>
      </c>
      <c r="E2931" s="19"/>
      <c r="F2931" s="15">
        <f t="shared" si="49"/>
        <v>36991727.179999985</v>
      </c>
    </row>
    <row r="2932" spans="1:6" x14ac:dyDescent="0.2">
      <c r="A2932" s="3">
        <v>45792</v>
      </c>
      <c r="B2932" s="45"/>
      <c r="C2932" s="17" t="s">
        <v>227</v>
      </c>
      <c r="D2932" s="18">
        <v>840</v>
      </c>
      <c r="E2932" s="19"/>
      <c r="F2932" s="15">
        <f t="shared" si="49"/>
        <v>36990887.179999985</v>
      </c>
    </row>
    <row r="2933" spans="1:6" x14ac:dyDescent="0.2">
      <c r="A2933" s="3">
        <v>45792</v>
      </c>
      <c r="B2933" s="45"/>
      <c r="C2933" s="17" t="s">
        <v>37</v>
      </c>
      <c r="D2933" s="18">
        <v>120</v>
      </c>
      <c r="E2933" s="19"/>
      <c r="F2933" s="15">
        <f t="shared" si="49"/>
        <v>36990767.179999985</v>
      </c>
    </row>
    <row r="2934" spans="1:6" x14ac:dyDescent="0.2">
      <c r="A2934" s="3">
        <v>45792</v>
      </c>
      <c r="B2934" s="43">
        <v>3263311</v>
      </c>
      <c r="C2934" s="20" t="s">
        <v>442</v>
      </c>
      <c r="D2934" s="19"/>
      <c r="E2934" s="18">
        <v>15269</v>
      </c>
      <c r="F2934" s="15">
        <f t="shared" si="49"/>
        <v>37006036.179999985</v>
      </c>
    </row>
    <row r="2935" spans="1:6" x14ac:dyDescent="0.2">
      <c r="A2935" s="3">
        <v>45792</v>
      </c>
      <c r="B2935" s="43">
        <v>4214526</v>
      </c>
      <c r="C2935" s="20" t="s">
        <v>33</v>
      </c>
      <c r="D2935" s="18">
        <v>1567000</v>
      </c>
      <c r="E2935" s="19"/>
      <c r="F2935" s="15">
        <f t="shared" si="49"/>
        <v>35439036.179999985</v>
      </c>
    </row>
    <row r="2936" spans="1:6" x14ac:dyDescent="0.2">
      <c r="A2936" s="3">
        <v>45792</v>
      </c>
      <c r="B2936" s="45"/>
      <c r="C2936" s="17" t="s">
        <v>16</v>
      </c>
      <c r="D2936" s="18">
        <v>9433.2800000000007</v>
      </c>
      <c r="E2936" s="19"/>
      <c r="F2936" s="15">
        <f t="shared" si="49"/>
        <v>35429602.899999984</v>
      </c>
    </row>
    <row r="2937" spans="1:6" x14ac:dyDescent="0.2">
      <c r="A2937" s="3">
        <v>45792</v>
      </c>
      <c r="B2937" s="51"/>
      <c r="C2937" s="47" t="s">
        <v>22</v>
      </c>
      <c r="D2937" s="48">
        <v>91.61</v>
      </c>
      <c r="E2937" s="49"/>
      <c r="F2937" s="15">
        <f t="shared" si="49"/>
        <v>35429511.289999984</v>
      </c>
    </row>
    <row r="2938" spans="1:6" x14ac:dyDescent="0.2">
      <c r="A2938" s="3">
        <v>45792</v>
      </c>
      <c r="B2938" s="44">
        <v>13649</v>
      </c>
      <c r="C2938" s="28" t="s">
        <v>7</v>
      </c>
      <c r="D2938" s="23">
        <v>1485</v>
      </c>
      <c r="E2938" s="24"/>
      <c r="F2938" s="15">
        <f t="shared" si="49"/>
        <v>35428026.289999984</v>
      </c>
    </row>
    <row r="2939" spans="1:6" x14ac:dyDescent="0.2">
      <c r="A2939" s="3">
        <v>45792</v>
      </c>
      <c r="B2939" s="43">
        <v>13649</v>
      </c>
      <c r="C2939" s="17" t="s">
        <v>227</v>
      </c>
      <c r="D2939" s="18">
        <v>311.85000000000002</v>
      </c>
      <c r="E2939" s="19"/>
      <c r="F2939" s="15">
        <f t="shared" si="49"/>
        <v>35427714.439999983</v>
      </c>
    </row>
    <row r="2940" spans="1:6" x14ac:dyDescent="0.2">
      <c r="A2940" s="3">
        <v>45792</v>
      </c>
      <c r="B2940" s="45"/>
      <c r="C2940" s="20" t="s">
        <v>443</v>
      </c>
      <c r="D2940" s="18">
        <v>30.54</v>
      </c>
      <c r="E2940" s="19"/>
      <c r="F2940" s="15">
        <f t="shared" si="49"/>
        <v>35427683.899999984</v>
      </c>
    </row>
    <row r="2941" spans="1:6" x14ac:dyDescent="0.2">
      <c r="A2941" s="3">
        <v>45793</v>
      </c>
      <c r="B2941" s="43">
        <v>32216</v>
      </c>
      <c r="C2941" s="17" t="s">
        <v>9</v>
      </c>
      <c r="D2941" s="18">
        <v>353646.16</v>
      </c>
      <c r="E2941" s="19"/>
      <c r="F2941" s="15">
        <f t="shared" si="49"/>
        <v>35074037.739999987</v>
      </c>
    </row>
    <row r="2942" spans="1:6" x14ac:dyDescent="0.2">
      <c r="A2942" s="3">
        <v>45793</v>
      </c>
      <c r="B2942" s="43">
        <v>32005</v>
      </c>
      <c r="C2942" s="17" t="s">
        <v>9</v>
      </c>
      <c r="D2942" s="18">
        <v>5967444</v>
      </c>
      <c r="E2942" s="19"/>
      <c r="F2942" s="15">
        <f t="shared" si="49"/>
        <v>29106593.739999987</v>
      </c>
    </row>
    <row r="2943" spans="1:6" x14ac:dyDescent="0.2">
      <c r="A2943" s="3">
        <v>45793</v>
      </c>
      <c r="B2943" s="43">
        <v>87663</v>
      </c>
      <c r="C2943" s="20" t="s">
        <v>46</v>
      </c>
      <c r="D2943" s="18">
        <v>50142.79</v>
      </c>
      <c r="E2943" s="19"/>
      <c r="F2943" s="15">
        <f t="shared" si="49"/>
        <v>29056450.949999988</v>
      </c>
    </row>
    <row r="2944" spans="1:6" x14ac:dyDescent="0.2">
      <c r="A2944" s="3">
        <v>45793</v>
      </c>
      <c r="B2944" s="43">
        <v>87664</v>
      </c>
      <c r="C2944" s="20" t="s">
        <v>46</v>
      </c>
      <c r="D2944" s="18">
        <v>607976.68000000005</v>
      </c>
      <c r="E2944" s="19"/>
      <c r="F2944" s="15">
        <f t="shared" si="49"/>
        <v>28448474.269999988</v>
      </c>
    </row>
    <row r="2945" spans="1:6" x14ac:dyDescent="0.2">
      <c r="A2945" s="3">
        <v>45793</v>
      </c>
      <c r="B2945" s="43">
        <v>194997</v>
      </c>
      <c r="C2945" s="20" t="s">
        <v>46</v>
      </c>
      <c r="D2945" s="18">
        <v>2971286.58</v>
      </c>
      <c r="E2945" s="19"/>
      <c r="F2945" s="15">
        <f t="shared" si="49"/>
        <v>25477187.68999999</v>
      </c>
    </row>
    <row r="2946" spans="1:6" x14ac:dyDescent="0.2">
      <c r="A2946" s="3">
        <v>45793</v>
      </c>
      <c r="B2946" s="43">
        <v>194998</v>
      </c>
      <c r="C2946" s="20" t="s">
        <v>46</v>
      </c>
      <c r="D2946" s="18">
        <v>3068147.36</v>
      </c>
      <c r="E2946" s="19"/>
      <c r="F2946" s="15">
        <f t="shared" si="49"/>
        <v>22409040.329999991</v>
      </c>
    </row>
    <row r="2947" spans="1:6" x14ac:dyDescent="0.2">
      <c r="A2947" s="3">
        <v>45793</v>
      </c>
      <c r="B2947" s="43">
        <v>194999</v>
      </c>
      <c r="C2947" s="20" t="s">
        <v>46</v>
      </c>
      <c r="D2947" s="18">
        <v>4730355.55</v>
      </c>
      <c r="E2947" s="19"/>
      <c r="F2947" s="15">
        <f t="shared" si="49"/>
        <v>17678684.77999999</v>
      </c>
    </row>
    <row r="2948" spans="1:6" x14ac:dyDescent="0.2">
      <c r="A2948" s="3">
        <v>45793</v>
      </c>
      <c r="B2948" s="43">
        <v>195000</v>
      </c>
      <c r="C2948" s="20" t="s">
        <v>46</v>
      </c>
      <c r="D2948" s="18">
        <v>3123915.9</v>
      </c>
      <c r="E2948" s="19"/>
      <c r="F2948" s="15">
        <f t="shared" si="49"/>
        <v>14554768.87999999</v>
      </c>
    </row>
    <row r="2949" spans="1:6" x14ac:dyDescent="0.2">
      <c r="A2949" s="3">
        <v>45793</v>
      </c>
      <c r="B2949" s="43">
        <v>195001</v>
      </c>
      <c r="C2949" s="20" t="s">
        <v>46</v>
      </c>
      <c r="D2949" s="18">
        <v>3107492.81</v>
      </c>
      <c r="E2949" s="19"/>
      <c r="F2949" s="15">
        <f t="shared" si="49"/>
        <v>11447276.069999989</v>
      </c>
    </row>
    <row r="2950" spans="1:6" x14ac:dyDescent="0.2">
      <c r="A2950" s="3">
        <v>45793</v>
      </c>
      <c r="B2950" s="43">
        <v>252721</v>
      </c>
      <c r="C2950" s="20" t="s">
        <v>46</v>
      </c>
      <c r="D2950" s="18">
        <v>407774.25</v>
      </c>
      <c r="E2950" s="19"/>
      <c r="F2950" s="15">
        <f t="shared" si="49"/>
        <v>11039501.819999989</v>
      </c>
    </row>
    <row r="2951" spans="1:6" x14ac:dyDescent="0.2">
      <c r="A2951" s="3">
        <v>45793</v>
      </c>
      <c r="B2951" s="43">
        <v>46282</v>
      </c>
      <c r="C2951" s="20" t="s">
        <v>217</v>
      </c>
      <c r="D2951" s="25"/>
      <c r="E2951" s="25">
        <v>50000000</v>
      </c>
      <c r="F2951" s="15">
        <f t="shared" si="49"/>
        <v>61039501.819999993</v>
      </c>
    </row>
    <row r="2952" spans="1:6" x14ac:dyDescent="0.2">
      <c r="A2952" s="3">
        <v>45793</v>
      </c>
      <c r="B2952" s="43">
        <v>3408568</v>
      </c>
      <c r="C2952" s="20" t="s">
        <v>444</v>
      </c>
      <c r="D2952" s="19"/>
      <c r="E2952" s="18">
        <v>407288.73</v>
      </c>
      <c r="F2952" s="15">
        <f t="shared" si="49"/>
        <v>61446790.54999999</v>
      </c>
    </row>
    <row r="2953" spans="1:6" x14ac:dyDescent="0.2">
      <c r="A2953" s="3">
        <v>45793</v>
      </c>
      <c r="B2953" s="43">
        <v>51665</v>
      </c>
      <c r="C2953" s="20" t="s">
        <v>216</v>
      </c>
      <c r="D2953" s="19"/>
      <c r="E2953" s="18">
        <v>29900</v>
      </c>
      <c r="F2953" s="15">
        <f t="shared" si="49"/>
        <v>61476690.54999999</v>
      </c>
    </row>
    <row r="2954" spans="1:6" x14ac:dyDescent="0.2">
      <c r="A2954" s="3">
        <v>45793</v>
      </c>
      <c r="B2954" s="43">
        <v>65133</v>
      </c>
      <c r="C2954" s="20" t="s">
        <v>11</v>
      </c>
      <c r="D2954" s="18">
        <v>1600115</v>
      </c>
      <c r="E2954" s="19"/>
      <c r="F2954" s="15">
        <f t="shared" ref="F2954:F3017" si="50">+F2953+E2954-D2954</f>
        <v>59876575.54999999</v>
      </c>
    </row>
    <row r="2955" spans="1:6" x14ac:dyDescent="0.2">
      <c r="A2955" s="3">
        <v>45793</v>
      </c>
      <c r="B2955" s="45"/>
      <c r="C2955" s="17" t="s">
        <v>13</v>
      </c>
      <c r="D2955" s="18">
        <v>24459528</v>
      </c>
      <c r="E2955" s="19"/>
      <c r="F2955" s="15">
        <f t="shared" si="50"/>
        <v>35417047.54999999</v>
      </c>
    </row>
    <row r="2956" spans="1:6" x14ac:dyDescent="0.2">
      <c r="A2956" s="3">
        <v>45793</v>
      </c>
      <c r="B2956" s="45"/>
      <c r="C2956" s="17" t="s">
        <v>232</v>
      </c>
      <c r="D2956" s="18">
        <v>117.6</v>
      </c>
      <c r="E2956" s="19"/>
      <c r="F2956" s="15">
        <f t="shared" si="50"/>
        <v>35416929.949999988</v>
      </c>
    </row>
    <row r="2957" spans="1:6" x14ac:dyDescent="0.2">
      <c r="A2957" s="3">
        <v>45793</v>
      </c>
      <c r="B2957" s="45"/>
      <c r="C2957" s="17" t="s">
        <v>14</v>
      </c>
      <c r="D2957" s="18">
        <v>560.04</v>
      </c>
      <c r="E2957" s="19"/>
      <c r="F2957" s="15">
        <f t="shared" si="50"/>
        <v>35416369.909999989</v>
      </c>
    </row>
    <row r="2958" spans="1:6" x14ac:dyDescent="0.2">
      <c r="A2958" s="3">
        <v>45793</v>
      </c>
      <c r="B2958" s="45"/>
      <c r="C2958" s="17" t="s">
        <v>16</v>
      </c>
      <c r="D2958" s="18">
        <v>302701.99</v>
      </c>
      <c r="E2958" s="19"/>
      <c r="F2958" s="15">
        <f t="shared" si="50"/>
        <v>35113667.919999987</v>
      </c>
    </row>
    <row r="2959" spans="1:6" x14ac:dyDescent="0.2">
      <c r="A2959" s="3">
        <v>45793</v>
      </c>
      <c r="B2959" s="45"/>
      <c r="C2959" s="17" t="s">
        <v>22</v>
      </c>
      <c r="D2959" s="18">
        <v>2623.13</v>
      </c>
      <c r="E2959" s="19"/>
      <c r="F2959" s="15">
        <f t="shared" si="50"/>
        <v>35111044.789999984</v>
      </c>
    </row>
    <row r="2960" spans="1:6" x14ac:dyDescent="0.2">
      <c r="A2960" s="3">
        <v>45793</v>
      </c>
      <c r="B2960" s="45"/>
      <c r="C2960" s="20" t="s">
        <v>445</v>
      </c>
      <c r="D2960" s="18">
        <v>874.38</v>
      </c>
      <c r="E2960" s="19"/>
      <c r="F2960" s="15">
        <f t="shared" si="50"/>
        <v>35110170.409999982</v>
      </c>
    </row>
    <row r="2961" spans="1:6" x14ac:dyDescent="0.2">
      <c r="A2961" s="3">
        <v>45796</v>
      </c>
      <c r="B2961" s="43">
        <v>31975</v>
      </c>
      <c r="C2961" s="17" t="s">
        <v>9</v>
      </c>
      <c r="D2961" s="18">
        <v>2340231.5699999998</v>
      </c>
      <c r="E2961" s="19"/>
      <c r="F2961" s="15">
        <f t="shared" si="50"/>
        <v>32769938.839999981</v>
      </c>
    </row>
    <row r="2962" spans="1:6" x14ac:dyDescent="0.2">
      <c r="A2962" s="3">
        <v>45796</v>
      </c>
      <c r="B2962" s="46">
        <v>115148</v>
      </c>
      <c r="C2962" s="9" t="s">
        <v>446</v>
      </c>
      <c r="D2962" s="52"/>
      <c r="E2962" s="52">
        <v>1054704.24</v>
      </c>
      <c r="F2962" s="15">
        <f t="shared" si="50"/>
        <v>33824643.079999983</v>
      </c>
    </row>
    <row r="2963" spans="1:6" x14ac:dyDescent="0.2">
      <c r="A2963" s="3">
        <v>45796</v>
      </c>
      <c r="B2963" s="44">
        <v>102225</v>
      </c>
      <c r="C2963" s="28" t="s">
        <v>217</v>
      </c>
      <c r="D2963" s="53"/>
      <c r="E2963" s="53">
        <v>200000000</v>
      </c>
      <c r="F2963" s="15">
        <f t="shared" si="50"/>
        <v>233824643.07999998</v>
      </c>
    </row>
    <row r="2964" spans="1:6" x14ac:dyDescent="0.2">
      <c r="A2964" s="3">
        <v>45796</v>
      </c>
      <c r="B2964" s="43">
        <v>40943058</v>
      </c>
      <c r="C2964" s="17" t="s">
        <v>41</v>
      </c>
      <c r="D2964" s="18">
        <v>170000000</v>
      </c>
      <c r="E2964" s="19"/>
      <c r="F2964" s="15">
        <f t="shared" si="50"/>
        <v>63824643.079999983</v>
      </c>
    </row>
    <row r="2965" spans="1:6" x14ac:dyDescent="0.2">
      <c r="A2965" s="3">
        <v>45796</v>
      </c>
      <c r="B2965" s="43">
        <v>4118595</v>
      </c>
      <c r="C2965" s="20" t="s">
        <v>431</v>
      </c>
      <c r="D2965" s="18">
        <v>920000</v>
      </c>
      <c r="E2965" s="19"/>
      <c r="F2965" s="15">
        <f t="shared" si="50"/>
        <v>62904643.079999983</v>
      </c>
    </row>
    <row r="2966" spans="1:6" x14ac:dyDescent="0.2">
      <c r="A2966" s="3">
        <v>45796</v>
      </c>
      <c r="B2966" s="43">
        <v>4118596</v>
      </c>
      <c r="C2966" s="20" t="s">
        <v>123</v>
      </c>
      <c r="D2966" s="18">
        <v>160885.78</v>
      </c>
      <c r="E2966" s="19"/>
      <c r="F2966" s="15">
        <f t="shared" si="50"/>
        <v>62743757.299999982</v>
      </c>
    </row>
    <row r="2967" spans="1:6" x14ac:dyDescent="0.2">
      <c r="A2967" s="3">
        <v>45796</v>
      </c>
      <c r="B2967" s="43">
        <v>4118597</v>
      </c>
      <c r="C2967" s="20" t="s">
        <v>59</v>
      </c>
      <c r="D2967" s="18">
        <v>1383502.19</v>
      </c>
      <c r="E2967" s="19"/>
      <c r="F2967" s="15">
        <f t="shared" si="50"/>
        <v>61360255.109999985</v>
      </c>
    </row>
    <row r="2968" spans="1:6" x14ac:dyDescent="0.2">
      <c r="A2968" s="3">
        <v>45796</v>
      </c>
      <c r="B2968" s="43">
        <v>4118598</v>
      </c>
      <c r="C2968" s="20" t="s">
        <v>139</v>
      </c>
      <c r="D2968" s="18">
        <v>576823.44999999995</v>
      </c>
      <c r="E2968" s="19"/>
      <c r="F2968" s="15">
        <f t="shared" si="50"/>
        <v>60783431.659999982</v>
      </c>
    </row>
    <row r="2969" spans="1:6" x14ac:dyDescent="0.2">
      <c r="A2969" s="3">
        <v>45796</v>
      </c>
      <c r="B2969" s="43">
        <v>4118599</v>
      </c>
      <c r="C2969" s="20" t="s">
        <v>447</v>
      </c>
      <c r="D2969" s="18">
        <v>300000</v>
      </c>
      <c r="E2969" s="19"/>
      <c r="F2969" s="15">
        <f t="shared" si="50"/>
        <v>60483431.659999982</v>
      </c>
    </row>
    <row r="2970" spans="1:6" x14ac:dyDescent="0.2">
      <c r="A2970" s="3">
        <v>45796</v>
      </c>
      <c r="B2970" s="43">
        <v>4118600</v>
      </c>
      <c r="C2970" s="20" t="s">
        <v>51</v>
      </c>
      <c r="D2970" s="18">
        <v>240000</v>
      </c>
      <c r="E2970" s="19"/>
      <c r="F2970" s="15">
        <f t="shared" si="50"/>
        <v>60243431.659999982</v>
      </c>
    </row>
    <row r="2971" spans="1:6" x14ac:dyDescent="0.2">
      <c r="A2971" s="3">
        <v>45796</v>
      </c>
      <c r="B2971" s="43">
        <v>17132695</v>
      </c>
      <c r="C2971" s="20" t="s">
        <v>448</v>
      </c>
      <c r="D2971" s="18">
        <v>275000</v>
      </c>
      <c r="E2971" s="19"/>
      <c r="F2971" s="15">
        <f t="shared" si="50"/>
        <v>59968431.659999982</v>
      </c>
    </row>
    <row r="2972" spans="1:6" x14ac:dyDescent="0.2">
      <c r="A2972" s="3">
        <v>45796</v>
      </c>
      <c r="B2972" s="45"/>
      <c r="C2972" s="17" t="s">
        <v>16</v>
      </c>
      <c r="D2972" s="18">
        <v>37183.9</v>
      </c>
      <c r="E2972" s="19"/>
      <c r="F2972" s="15">
        <f t="shared" si="50"/>
        <v>59931247.759999983</v>
      </c>
    </row>
    <row r="2973" spans="1:6" x14ac:dyDescent="0.2">
      <c r="A2973" s="3">
        <v>45796</v>
      </c>
      <c r="B2973" s="45"/>
      <c r="C2973" s="17" t="s">
        <v>22</v>
      </c>
      <c r="D2973" s="18">
        <v>6328.23</v>
      </c>
      <c r="E2973" s="19"/>
      <c r="F2973" s="15">
        <f t="shared" si="50"/>
        <v>59924919.529999986</v>
      </c>
    </row>
    <row r="2974" spans="1:6" x14ac:dyDescent="0.2">
      <c r="A2974" s="3">
        <v>45796</v>
      </c>
      <c r="B2974" s="43">
        <v>13899</v>
      </c>
      <c r="C2974" s="20" t="s">
        <v>7</v>
      </c>
      <c r="D2974" s="18">
        <v>720</v>
      </c>
      <c r="E2974" s="19"/>
      <c r="F2974" s="15">
        <f t="shared" si="50"/>
        <v>59924199.529999986</v>
      </c>
    </row>
    <row r="2975" spans="1:6" x14ac:dyDescent="0.2">
      <c r="A2975" s="3">
        <v>45796</v>
      </c>
      <c r="B2975" s="43">
        <v>13899</v>
      </c>
      <c r="C2975" s="17" t="s">
        <v>227</v>
      </c>
      <c r="D2975" s="18">
        <v>151.19999999999999</v>
      </c>
      <c r="E2975" s="19"/>
      <c r="F2975" s="15">
        <f t="shared" si="50"/>
        <v>59924048.329999983</v>
      </c>
    </row>
    <row r="2976" spans="1:6" x14ac:dyDescent="0.2">
      <c r="A2976" s="3">
        <v>45796</v>
      </c>
      <c r="B2976" s="43">
        <v>13900</v>
      </c>
      <c r="C2976" s="20" t="s">
        <v>7</v>
      </c>
      <c r="D2976" s="18">
        <v>720</v>
      </c>
      <c r="E2976" s="19"/>
      <c r="F2976" s="15">
        <f t="shared" si="50"/>
        <v>59923328.329999983</v>
      </c>
    </row>
    <row r="2977" spans="1:6" x14ac:dyDescent="0.2">
      <c r="A2977" s="3">
        <v>45796</v>
      </c>
      <c r="B2977" s="43">
        <v>13900</v>
      </c>
      <c r="C2977" s="17" t="s">
        <v>227</v>
      </c>
      <c r="D2977" s="18">
        <v>151.19999999999999</v>
      </c>
      <c r="E2977" s="19"/>
      <c r="F2977" s="15">
        <f t="shared" si="50"/>
        <v>59923177.12999998</v>
      </c>
    </row>
    <row r="2978" spans="1:6" x14ac:dyDescent="0.2">
      <c r="A2978" s="3">
        <v>45796</v>
      </c>
      <c r="B2978" s="43">
        <v>13901</v>
      </c>
      <c r="C2978" s="20" t="s">
        <v>7</v>
      </c>
      <c r="D2978" s="18">
        <v>720</v>
      </c>
      <c r="E2978" s="19"/>
      <c r="F2978" s="15">
        <f t="shared" si="50"/>
        <v>59922457.12999998</v>
      </c>
    </row>
    <row r="2979" spans="1:6" x14ac:dyDescent="0.2">
      <c r="A2979" s="3">
        <v>45796</v>
      </c>
      <c r="B2979" s="43">
        <v>13901</v>
      </c>
      <c r="C2979" s="17" t="s">
        <v>227</v>
      </c>
      <c r="D2979" s="18">
        <v>151.19999999999999</v>
      </c>
      <c r="E2979" s="19"/>
      <c r="F2979" s="15">
        <f t="shared" si="50"/>
        <v>59922305.929999977</v>
      </c>
    </row>
    <row r="2980" spans="1:6" x14ac:dyDescent="0.2">
      <c r="A2980" s="3">
        <v>45796</v>
      </c>
      <c r="B2980" s="43">
        <v>13902</v>
      </c>
      <c r="C2980" s="20" t="s">
        <v>7</v>
      </c>
      <c r="D2980" s="18">
        <v>1485</v>
      </c>
      <c r="E2980" s="19"/>
      <c r="F2980" s="15">
        <f t="shared" si="50"/>
        <v>59920820.929999977</v>
      </c>
    </row>
    <row r="2981" spans="1:6" x14ac:dyDescent="0.2">
      <c r="A2981" s="3">
        <v>45796</v>
      </c>
      <c r="B2981" s="43">
        <v>13902</v>
      </c>
      <c r="C2981" s="17" t="s">
        <v>227</v>
      </c>
      <c r="D2981" s="18">
        <v>311.85000000000002</v>
      </c>
      <c r="E2981" s="19"/>
      <c r="F2981" s="15">
        <f t="shared" si="50"/>
        <v>59920509.079999976</v>
      </c>
    </row>
    <row r="2982" spans="1:6" x14ac:dyDescent="0.2">
      <c r="A2982" s="3">
        <v>45796</v>
      </c>
      <c r="B2982" s="43">
        <v>13903</v>
      </c>
      <c r="C2982" s="20" t="s">
        <v>7</v>
      </c>
      <c r="D2982" s="18">
        <v>1485</v>
      </c>
      <c r="E2982" s="19"/>
      <c r="F2982" s="15">
        <f t="shared" si="50"/>
        <v>59919024.079999976</v>
      </c>
    </row>
    <row r="2983" spans="1:6" x14ac:dyDescent="0.2">
      <c r="A2983" s="3">
        <v>45796</v>
      </c>
      <c r="B2983" s="43">
        <v>13903</v>
      </c>
      <c r="C2983" s="17" t="s">
        <v>227</v>
      </c>
      <c r="D2983" s="18">
        <v>311.85000000000002</v>
      </c>
      <c r="E2983" s="19"/>
      <c r="F2983" s="15">
        <f t="shared" si="50"/>
        <v>59918712.229999974</v>
      </c>
    </row>
    <row r="2984" spans="1:6" x14ac:dyDescent="0.2">
      <c r="A2984" s="3">
        <v>45796</v>
      </c>
      <c r="B2984" s="43">
        <v>13904</v>
      </c>
      <c r="C2984" s="20" t="s">
        <v>7</v>
      </c>
      <c r="D2984" s="18">
        <v>1485</v>
      </c>
      <c r="E2984" s="19"/>
      <c r="F2984" s="15">
        <f t="shared" si="50"/>
        <v>59917227.229999974</v>
      </c>
    </row>
    <row r="2985" spans="1:6" x14ac:dyDescent="0.2">
      <c r="A2985" s="3">
        <v>45796</v>
      </c>
      <c r="B2985" s="43">
        <v>13904</v>
      </c>
      <c r="C2985" s="17" t="s">
        <v>227</v>
      </c>
      <c r="D2985" s="18">
        <v>311.85000000000002</v>
      </c>
      <c r="E2985" s="19"/>
      <c r="F2985" s="15">
        <f t="shared" si="50"/>
        <v>59916915.379999973</v>
      </c>
    </row>
    <row r="2986" spans="1:6" x14ac:dyDescent="0.2">
      <c r="A2986" s="3">
        <v>45796</v>
      </c>
      <c r="B2986" s="45"/>
      <c r="C2986" s="20" t="s">
        <v>449</v>
      </c>
      <c r="D2986" s="18">
        <v>2109.41</v>
      </c>
      <c r="E2986" s="19"/>
      <c r="F2986" s="15">
        <f t="shared" si="50"/>
        <v>59914805.969999976</v>
      </c>
    </row>
    <row r="2987" spans="1:6" x14ac:dyDescent="0.2">
      <c r="A2987" s="3">
        <v>45797</v>
      </c>
      <c r="B2987" s="46">
        <v>50177641</v>
      </c>
      <c r="C2987" s="9" t="s">
        <v>64</v>
      </c>
      <c r="D2987" s="48">
        <v>274162.71999999997</v>
      </c>
      <c r="E2987" s="49"/>
      <c r="F2987" s="15">
        <f t="shared" si="50"/>
        <v>59640643.249999978</v>
      </c>
    </row>
    <row r="2988" spans="1:6" x14ac:dyDescent="0.2">
      <c r="A2988" s="3">
        <v>45797</v>
      </c>
      <c r="B2988" s="44">
        <v>51088794</v>
      </c>
      <c r="C2988" s="28" t="s">
        <v>65</v>
      </c>
      <c r="D2988" s="23">
        <v>185014.2</v>
      </c>
      <c r="E2988" s="24"/>
      <c r="F2988" s="15">
        <f t="shared" si="50"/>
        <v>59455629.049999975</v>
      </c>
    </row>
    <row r="2989" spans="1:6" x14ac:dyDescent="0.2">
      <c r="A2989" s="3">
        <v>45797</v>
      </c>
      <c r="B2989" s="43">
        <v>52086333</v>
      </c>
      <c r="C2989" s="20" t="s">
        <v>66</v>
      </c>
      <c r="D2989" s="18">
        <v>643860.84</v>
      </c>
      <c r="E2989" s="19"/>
      <c r="F2989" s="15">
        <f t="shared" si="50"/>
        <v>58811768.209999971</v>
      </c>
    </row>
    <row r="2990" spans="1:6" x14ac:dyDescent="0.2">
      <c r="A2990" s="3">
        <v>45797</v>
      </c>
      <c r="B2990" s="43">
        <v>52977205</v>
      </c>
      <c r="C2990" s="20" t="s">
        <v>54</v>
      </c>
      <c r="D2990" s="18">
        <v>81153.22</v>
      </c>
      <c r="E2990" s="19"/>
      <c r="F2990" s="15">
        <f t="shared" si="50"/>
        <v>58730614.989999972</v>
      </c>
    </row>
    <row r="2991" spans="1:6" x14ac:dyDescent="0.2">
      <c r="A2991" s="3">
        <v>45797</v>
      </c>
      <c r="B2991" s="43">
        <v>53903682</v>
      </c>
      <c r="C2991" s="20" t="s">
        <v>261</v>
      </c>
      <c r="D2991" s="18">
        <v>35429.83</v>
      </c>
      <c r="E2991" s="19"/>
      <c r="F2991" s="15">
        <f t="shared" si="50"/>
        <v>58695185.159999974</v>
      </c>
    </row>
    <row r="2992" spans="1:6" x14ac:dyDescent="0.2">
      <c r="A2992" s="3">
        <v>45797</v>
      </c>
      <c r="B2992" s="43">
        <v>54951553</v>
      </c>
      <c r="C2992" s="20" t="s">
        <v>262</v>
      </c>
      <c r="D2992" s="18">
        <v>14376.9</v>
      </c>
      <c r="E2992" s="19"/>
      <c r="F2992" s="15">
        <f t="shared" si="50"/>
        <v>58680808.259999976</v>
      </c>
    </row>
    <row r="2993" spans="1:6" x14ac:dyDescent="0.2">
      <c r="A2993" s="3">
        <v>45797</v>
      </c>
      <c r="B2993" s="43">
        <v>55907514</v>
      </c>
      <c r="C2993" s="20" t="s">
        <v>55</v>
      </c>
      <c r="D2993" s="18">
        <v>109223.61</v>
      </c>
      <c r="E2993" s="19"/>
      <c r="F2993" s="15">
        <f t="shared" si="50"/>
        <v>58571584.649999976</v>
      </c>
    </row>
    <row r="2994" spans="1:6" x14ac:dyDescent="0.2">
      <c r="A2994" s="3">
        <v>45797</v>
      </c>
      <c r="B2994" s="43">
        <v>56924047</v>
      </c>
      <c r="C2994" s="20" t="s">
        <v>57</v>
      </c>
      <c r="D2994" s="18">
        <v>154988.67000000001</v>
      </c>
      <c r="E2994" s="19"/>
      <c r="F2994" s="15">
        <f t="shared" si="50"/>
        <v>58416595.979999974</v>
      </c>
    </row>
    <row r="2995" spans="1:6" x14ac:dyDescent="0.2">
      <c r="A2995" s="3">
        <v>45797</v>
      </c>
      <c r="B2995" s="43">
        <v>76323666</v>
      </c>
      <c r="C2995" s="20" t="s">
        <v>56</v>
      </c>
      <c r="D2995" s="18">
        <v>132683.1</v>
      </c>
      <c r="E2995" s="19"/>
      <c r="F2995" s="15">
        <f t="shared" si="50"/>
        <v>58283912.879999973</v>
      </c>
    </row>
    <row r="2996" spans="1:6" x14ac:dyDescent="0.2">
      <c r="A2996" s="3">
        <v>45797</v>
      </c>
      <c r="B2996" s="43">
        <v>77263923</v>
      </c>
      <c r="C2996" s="20" t="s">
        <v>263</v>
      </c>
      <c r="D2996" s="18">
        <v>16796.72</v>
      </c>
      <c r="E2996" s="19"/>
      <c r="F2996" s="15">
        <f t="shared" si="50"/>
        <v>58267116.159999974</v>
      </c>
    </row>
    <row r="2997" spans="1:6" x14ac:dyDescent="0.2">
      <c r="A2997" s="3">
        <v>45797</v>
      </c>
      <c r="B2997" s="43">
        <v>78751270</v>
      </c>
      <c r="C2997" s="20" t="s">
        <v>70</v>
      </c>
      <c r="D2997" s="18">
        <v>22323.01</v>
      </c>
      <c r="E2997" s="19"/>
      <c r="F2997" s="15">
        <f t="shared" si="50"/>
        <v>58244793.149999976</v>
      </c>
    </row>
    <row r="2998" spans="1:6" x14ac:dyDescent="0.2">
      <c r="A2998" s="3">
        <v>45797</v>
      </c>
      <c r="B2998" s="43">
        <v>79683669</v>
      </c>
      <c r="C2998" s="20" t="s">
        <v>62</v>
      </c>
      <c r="D2998" s="18">
        <v>11871.6</v>
      </c>
      <c r="E2998" s="19"/>
      <c r="F2998" s="15">
        <f t="shared" si="50"/>
        <v>58232921.549999975</v>
      </c>
    </row>
    <row r="2999" spans="1:6" x14ac:dyDescent="0.2">
      <c r="A2999" s="3">
        <v>45797</v>
      </c>
      <c r="B2999" s="43">
        <v>80569415</v>
      </c>
      <c r="C2999" s="20" t="s">
        <v>167</v>
      </c>
      <c r="D2999" s="18">
        <v>842688.1</v>
      </c>
      <c r="E2999" s="19"/>
      <c r="F2999" s="15">
        <f t="shared" si="50"/>
        <v>57390233.449999973</v>
      </c>
    </row>
    <row r="3000" spans="1:6" x14ac:dyDescent="0.2">
      <c r="A3000" s="3">
        <v>45797</v>
      </c>
      <c r="B3000" s="43">
        <v>81785404</v>
      </c>
      <c r="C3000" s="20" t="s">
        <v>168</v>
      </c>
      <c r="D3000" s="18">
        <v>157572.1</v>
      </c>
      <c r="E3000" s="19"/>
      <c r="F3000" s="15">
        <f t="shared" si="50"/>
        <v>57232661.349999972</v>
      </c>
    </row>
    <row r="3001" spans="1:6" x14ac:dyDescent="0.2">
      <c r="A3001" s="3">
        <v>45797</v>
      </c>
      <c r="B3001" s="43">
        <v>82860295</v>
      </c>
      <c r="C3001" s="20" t="s">
        <v>169</v>
      </c>
      <c r="D3001" s="18">
        <v>127944.6</v>
      </c>
      <c r="E3001" s="19"/>
      <c r="F3001" s="15">
        <f t="shared" si="50"/>
        <v>57104716.74999997</v>
      </c>
    </row>
    <row r="3002" spans="1:6" x14ac:dyDescent="0.2">
      <c r="A3002" s="3">
        <v>45797</v>
      </c>
      <c r="B3002" s="43">
        <v>83848462</v>
      </c>
      <c r="C3002" s="20" t="s">
        <v>166</v>
      </c>
      <c r="D3002" s="18">
        <v>392776.3</v>
      </c>
      <c r="E3002" s="19"/>
      <c r="F3002" s="15">
        <f t="shared" si="50"/>
        <v>56711940.449999973</v>
      </c>
    </row>
    <row r="3003" spans="1:6" x14ac:dyDescent="0.2">
      <c r="A3003" s="3">
        <v>45797</v>
      </c>
      <c r="B3003" s="43">
        <v>2400828</v>
      </c>
      <c r="C3003" s="20" t="s">
        <v>165</v>
      </c>
      <c r="D3003" s="18">
        <v>262573.09999999998</v>
      </c>
      <c r="E3003" s="19"/>
      <c r="F3003" s="15">
        <f t="shared" si="50"/>
        <v>56449367.349999972</v>
      </c>
    </row>
    <row r="3004" spans="1:6" x14ac:dyDescent="0.2">
      <c r="A3004" s="3">
        <v>45797</v>
      </c>
      <c r="B3004" s="43">
        <v>3295351</v>
      </c>
      <c r="C3004" s="20" t="s">
        <v>67</v>
      </c>
      <c r="D3004" s="18">
        <v>24606.52</v>
      </c>
      <c r="E3004" s="19"/>
      <c r="F3004" s="15">
        <f t="shared" si="50"/>
        <v>56424760.829999968</v>
      </c>
    </row>
    <row r="3005" spans="1:6" x14ac:dyDescent="0.2">
      <c r="A3005" s="3">
        <v>45797</v>
      </c>
      <c r="B3005" s="43">
        <v>4881205</v>
      </c>
      <c r="C3005" s="20" t="s">
        <v>117</v>
      </c>
      <c r="D3005" s="18">
        <v>208747.02</v>
      </c>
      <c r="E3005" s="19"/>
      <c r="F3005" s="15">
        <f t="shared" si="50"/>
        <v>56216013.809999965</v>
      </c>
    </row>
    <row r="3006" spans="1:6" x14ac:dyDescent="0.2">
      <c r="A3006" s="3">
        <v>45797</v>
      </c>
      <c r="B3006" s="43">
        <v>5938285</v>
      </c>
      <c r="C3006" s="20" t="s">
        <v>177</v>
      </c>
      <c r="D3006" s="18">
        <v>2189864.67</v>
      </c>
      <c r="E3006" s="19"/>
      <c r="F3006" s="15">
        <f t="shared" si="50"/>
        <v>54026149.139999963</v>
      </c>
    </row>
    <row r="3007" spans="1:6" x14ac:dyDescent="0.2">
      <c r="A3007" s="3">
        <v>45797</v>
      </c>
      <c r="B3007" s="43">
        <v>6866085</v>
      </c>
      <c r="C3007" s="20" t="s">
        <v>61</v>
      </c>
      <c r="D3007" s="18">
        <v>108542.53</v>
      </c>
      <c r="E3007" s="19"/>
      <c r="F3007" s="15">
        <f t="shared" si="50"/>
        <v>53917606.609999962</v>
      </c>
    </row>
    <row r="3008" spans="1:6" x14ac:dyDescent="0.2">
      <c r="A3008" s="3">
        <v>45797</v>
      </c>
      <c r="B3008" s="45"/>
      <c r="C3008" s="17" t="s">
        <v>16</v>
      </c>
      <c r="D3008" s="18">
        <v>36043.910000000003</v>
      </c>
      <c r="E3008" s="19"/>
      <c r="F3008" s="15">
        <f t="shared" si="50"/>
        <v>53881562.699999966</v>
      </c>
    </row>
    <row r="3009" spans="1:6" x14ac:dyDescent="0.2">
      <c r="A3009" s="3">
        <v>45798</v>
      </c>
      <c r="B3009" s="43">
        <v>32173</v>
      </c>
      <c r="C3009" s="17" t="s">
        <v>9</v>
      </c>
      <c r="D3009" s="18">
        <v>339875</v>
      </c>
      <c r="E3009" s="19"/>
      <c r="F3009" s="15">
        <f t="shared" si="50"/>
        <v>53541687.699999966</v>
      </c>
    </row>
    <row r="3010" spans="1:6" x14ac:dyDescent="0.2">
      <c r="A3010" s="3">
        <v>45798</v>
      </c>
      <c r="B3010" s="43">
        <v>32227</v>
      </c>
      <c r="C3010" s="17" t="s">
        <v>9</v>
      </c>
      <c r="D3010" s="18">
        <v>1534016.72</v>
      </c>
      <c r="E3010" s="19"/>
      <c r="F3010" s="15">
        <f t="shared" si="50"/>
        <v>52007670.979999967</v>
      </c>
    </row>
    <row r="3011" spans="1:6" x14ac:dyDescent="0.2">
      <c r="A3011" s="3">
        <v>45798</v>
      </c>
      <c r="B3011" s="43">
        <v>32347</v>
      </c>
      <c r="C3011" s="20" t="s">
        <v>97</v>
      </c>
      <c r="D3011" s="18">
        <v>50000</v>
      </c>
      <c r="E3011" s="19"/>
      <c r="F3011" s="15">
        <f t="shared" si="50"/>
        <v>51957670.979999967</v>
      </c>
    </row>
    <row r="3012" spans="1:6" x14ac:dyDescent="0.2">
      <c r="A3012" s="3">
        <v>45798</v>
      </c>
      <c r="B3012" s="46">
        <v>170732</v>
      </c>
      <c r="C3012" s="9" t="s">
        <v>217</v>
      </c>
      <c r="D3012" s="52"/>
      <c r="E3012" s="52">
        <v>85000000</v>
      </c>
      <c r="F3012" s="15">
        <f t="shared" si="50"/>
        <v>136957670.97999996</v>
      </c>
    </row>
    <row r="3013" spans="1:6" x14ac:dyDescent="0.2">
      <c r="A3013" s="3">
        <v>45798</v>
      </c>
      <c r="B3013" s="50"/>
      <c r="C3013" s="22" t="s">
        <v>16</v>
      </c>
      <c r="D3013" s="23">
        <v>11243.35</v>
      </c>
      <c r="E3013" s="24"/>
      <c r="F3013" s="15">
        <f t="shared" si="50"/>
        <v>136946427.62999997</v>
      </c>
    </row>
    <row r="3014" spans="1:6" x14ac:dyDescent="0.2">
      <c r="A3014" s="3">
        <v>45798</v>
      </c>
      <c r="B3014" s="45"/>
      <c r="C3014" s="17" t="s">
        <v>34</v>
      </c>
      <c r="D3014" s="18">
        <v>600</v>
      </c>
      <c r="E3014" s="19"/>
      <c r="F3014" s="15">
        <f t="shared" si="50"/>
        <v>136945827.62999997</v>
      </c>
    </row>
    <row r="3015" spans="1:6" x14ac:dyDescent="0.2">
      <c r="A3015" s="3">
        <v>45799</v>
      </c>
      <c r="B3015" s="45"/>
      <c r="C3015" s="20" t="s">
        <v>207</v>
      </c>
      <c r="D3015" s="18">
        <v>1320</v>
      </c>
      <c r="E3015" s="19"/>
      <c r="F3015" s="15">
        <f t="shared" si="50"/>
        <v>136944507.62999997</v>
      </c>
    </row>
    <row r="3016" spans="1:6" x14ac:dyDescent="0.2">
      <c r="A3016" s="3">
        <v>45799</v>
      </c>
      <c r="B3016" s="45"/>
      <c r="C3016" s="17" t="s">
        <v>227</v>
      </c>
      <c r="D3016" s="18">
        <v>277.2</v>
      </c>
      <c r="E3016" s="19"/>
      <c r="F3016" s="15">
        <f t="shared" si="50"/>
        <v>136944230.42999998</v>
      </c>
    </row>
    <row r="3017" spans="1:6" x14ac:dyDescent="0.2">
      <c r="A3017" s="3">
        <v>45799</v>
      </c>
      <c r="B3017" s="43">
        <v>32348</v>
      </c>
      <c r="C3017" s="20" t="s">
        <v>97</v>
      </c>
      <c r="D3017" s="18">
        <v>40000</v>
      </c>
      <c r="E3017" s="19"/>
      <c r="F3017" s="15">
        <f t="shared" si="50"/>
        <v>136904230.42999998</v>
      </c>
    </row>
    <row r="3018" spans="1:6" x14ac:dyDescent="0.2">
      <c r="A3018" s="3">
        <v>45799</v>
      </c>
      <c r="B3018" s="43">
        <v>80188761</v>
      </c>
      <c r="C3018" s="20" t="s">
        <v>450</v>
      </c>
      <c r="D3018" s="19"/>
      <c r="E3018" s="18">
        <v>18500</v>
      </c>
      <c r="F3018" s="15">
        <f t="shared" ref="F3018:F3081" si="51">+F3017+E3018-D3018</f>
        <v>136922730.42999998</v>
      </c>
    </row>
    <row r="3019" spans="1:6" x14ac:dyDescent="0.2">
      <c r="A3019" s="3">
        <v>45799</v>
      </c>
      <c r="B3019" s="43">
        <v>4038901</v>
      </c>
      <c r="C3019" s="20" t="s">
        <v>451</v>
      </c>
      <c r="D3019" s="18">
        <v>20000000</v>
      </c>
      <c r="E3019" s="19"/>
      <c r="F3019" s="15">
        <f t="shared" si="51"/>
        <v>116922730.42999998</v>
      </c>
    </row>
    <row r="3020" spans="1:6" x14ac:dyDescent="0.2">
      <c r="A3020" s="3">
        <v>45799</v>
      </c>
      <c r="B3020" s="45"/>
      <c r="C3020" s="17" t="s">
        <v>16</v>
      </c>
      <c r="D3020" s="18">
        <v>9.58</v>
      </c>
      <c r="E3020" s="19"/>
      <c r="F3020" s="15">
        <f t="shared" si="51"/>
        <v>116922720.84999998</v>
      </c>
    </row>
    <row r="3021" spans="1:6" x14ac:dyDescent="0.2">
      <c r="A3021" s="3">
        <v>45799</v>
      </c>
      <c r="B3021" s="45"/>
      <c r="C3021" s="17" t="s">
        <v>22</v>
      </c>
      <c r="D3021" s="18">
        <v>111</v>
      </c>
      <c r="E3021" s="19"/>
      <c r="F3021" s="15">
        <f t="shared" si="51"/>
        <v>116922609.84999998</v>
      </c>
    </row>
    <row r="3022" spans="1:6" x14ac:dyDescent="0.2">
      <c r="A3022" s="3">
        <v>45799</v>
      </c>
      <c r="B3022" s="45"/>
      <c r="C3022" s="17" t="s">
        <v>34</v>
      </c>
      <c r="D3022" s="18">
        <v>480</v>
      </c>
      <c r="E3022" s="19"/>
      <c r="F3022" s="15">
        <f t="shared" si="51"/>
        <v>116922129.84999998</v>
      </c>
    </row>
    <row r="3023" spans="1:6" x14ac:dyDescent="0.2">
      <c r="A3023" s="3">
        <v>45799</v>
      </c>
      <c r="B3023" s="45"/>
      <c r="C3023" s="20" t="s">
        <v>452</v>
      </c>
      <c r="D3023" s="18">
        <v>37</v>
      </c>
      <c r="E3023" s="19"/>
      <c r="F3023" s="15">
        <f t="shared" si="51"/>
        <v>116922092.84999998</v>
      </c>
    </row>
    <row r="3024" spans="1:6" x14ac:dyDescent="0.2">
      <c r="A3024" s="3">
        <v>45800</v>
      </c>
      <c r="B3024" s="43">
        <v>32002</v>
      </c>
      <c r="C3024" s="17" t="s">
        <v>9</v>
      </c>
      <c r="D3024" s="18">
        <v>6946163.8099999996</v>
      </c>
      <c r="E3024" s="19"/>
      <c r="F3024" s="15">
        <f t="shared" si="51"/>
        <v>109975929.03999998</v>
      </c>
    </row>
    <row r="3025" spans="1:6" x14ac:dyDescent="0.2">
      <c r="A3025" s="3">
        <v>45800</v>
      </c>
      <c r="B3025" s="45"/>
      <c r="C3025" s="20" t="s">
        <v>453</v>
      </c>
      <c r="D3025" s="18">
        <v>1320</v>
      </c>
      <c r="E3025" s="19"/>
      <c r="F3025" s="15">
        <f t="shared" si="51"/>
        <v>109974609.03999998</v>
      </c>
    </row>
    <row r="3026" spans="1:6" x14ac:dyDescent="0.2">
      <c r="A3026" s="3">
        <v>45800</v>
      </c>
      <c r="B3026" s="45"/>
      <c r="C3026" s="17" t="s">
        <v>227</v>
      </c>
      <c r="D3026" s="18">
        <v>277.2</v>
      </c>
      <c r="E3026" s="19"/>
      <c r="F3026" s="15">
        <f t="shared" si="51"/>
        <v>109974331.83999997</v>
      </c>
    </row>
    <row r="3027" spans="1:6" x14ac:dyDescent="0.2">
      <c r="A3027" s="3">
        <v>45800</v>
      </c>
      <c r="B3027" s="43">
        <v>17773799</v>
      </c>
      <c r="C3027" s="20" t="s">
        <v>319</v>
      </c>
      <c r="D3027" s="18">
        <v>2928800</v>
      </c>
      <c r="E3027" s="19"/>
      <c r="F3027" s="15">
        <f t="shared" si="51"/>
        <v>107045531.83999997</v>
      </c>
    </row>
    <row r="3028" spans="1:6" x14ac:dyDescent="0.2">
      <c r="A3028" s="3">
        <v>45800</v>
      </c>
      <c r="B3028" s="43">
        <v>17773800</v>
      </c>
      <c r="C3028" s="20" t="s">
        <v>319</v>
      </c>
      <c r="D3028" s="18">
        <v>275240</v>
      </c>
      <c r="E3028" s="19"/>
      <c r="F3028" s="15">
        <f t="shared" si="51"/>
        <v>106770291.83999997</v>
      </c>
    </row>
    <row r="3029" spans="1:6" x14ac:dyDescent="0.2">
      <c r="A3029" s="3">
        <v>45800</v>
      </c>
      <c r="B3029" s="43">
        <v>17773801</v>
      </c>
      <c r="C3029" s="20" t="s">
        <v>319</v>
      </c>
      <c r="D3029" s="18">
        <v>1280000</v>
      </c>
      <c r="E3029" s="19"/>
      <c r="F3029" s="15">
        <f t="shared" si="51"/>
        <v>105490291.83999997</v>
      </c>
    </row>
    <row r="3030" spans="1:6" x14ac:dyDescent="0.2">
      <c r="A3030" s="3">
        <v>45800</v>
      </c>
      <c r="B3030" s="43">
        <v>17773802</v>
      </c>
      <c r="C3030" s="20" t="s">
        <v>319</v>
      </c>
      <c r="D3030" s="18">
        <v>1401154</v>
      </c>
      <c r="E3030" s="19"/>
      <c r="F3030" s="15">
        <f t="shared" si="51"/>
        <v>104089137.83999997</v>
      </c>
    </row>
    <row r="3031" spans="1:6" x14ac:dyDescent="0.2">
      <c r="A3031" s="3">
        <v>45800</v>
      </c>
      <c r="B3031" s="43">
        <v>17773803</v>
      </c>
      <c r="C3031" s="20" t="s">
        <v>319</v>
      </c>
      <c r="D3031" s="18">
        <v>968000</v>
      </c>
      <c r="E3031" s="19"/>
      <c r="F3031" s="15">
        <f t="shared" si="51"/>
        <v>103121137.83999997</v>
      </c>
    </row>
    <row r="3032" spans="1:6" x14ac:dyDescent="0.2">
      <c r="A3032" s="3">
        <v>45800</v>
      </c>
      <c r="B3032" s="43">
        <v>17773804</v>
      </c>
      <c r="C3032" s="20" t="s">
        <v>319</v>
      </c>
      <c r="D3032" s="18">
        <v>630050</v>
      </c>
      <c r="E3032" s="19"/>
      <c r="F3032" s="15">
        <f t="shared" si="51"/>
        <v>102491087.83999997</v>
      </c>
    </row>
    <row r="3033" spans="1:6" x14ac:dyDescent="0.2">
      <c r="A3033" s="3">
        <v>45800</v>
      </c>
      <c r="B3033" s="43">
        <v>17773805</v>
      </c>
      <c r="C3033" s="20" t="s">
        <v>319</v>
      </c>
      <c r="D3033" s="18">
        <v>200000</v>
      </c>
      <c r="E3033" s="19"/>
      <c r="F3033" s="15">
        <f t="shared" si="51"/>
        <v>102291087.83999997</v>
      </c>
    </row>
    <row r="3034" spans="1:6" x14ac:dyDescent="0.2">
      <c r="A3034" s="3">
        <v>45800</v>
      </c>
      <c r="B3034" s="43">
        <v>17773806</v>
      </c>
      <c r="C3034" s="20" t="s">
        <v>319</v>
      </c>
      <c r="D3034" s="18">
        <v>222000</v>
      </c>
      <c r="E3034" s="19"/>
      <c r="F3034" s="15">
        <f t="shared" si="51"/>
        <v>102069087.83999997</v>
      </c>
    </row>
    <row r="3035" spans="1:6" x14ac:dyDescent="0.2">
      <c r="A3035" s="3">
        <v>45800</v>
      </c>
      <c r="B3035" s="43">
        <v>17773807</v>
      </c>
      <c r="C3035" s="20" t="s">
        <v>319</v>
      </c>
      <c r="D3035" s="18">
        <v>741000</v>
      </c>
      <c r="E3035" s="19"/>
      <c r="F3035" s="15">
        <f t="shared" si="51"/>
        <v>101328087.83999997</v>
      </c>
    </row>
    <row r="3036" spans="1:6" x14ac:dyDescent="0.2">
      <c r="A3036" s="3">
        <v>45800</v>
      </c>
      <c r="B3036" s="46">
        <v>17773808</v>
      </c>
      <c r="C3036" s="9" t="s">
        <v>319</v>
      </c>
      <c r="D3036" s="48">
        <v>1345200</v>
      </c>
      <c r="E3036" s="49"/>
      <c r="F3036" s="15">
        <f t="shared" si="51"/>
        <v>99982887.839999974</v>
      </c>
    </row>
    <row r="3037" spans="1:6" x14ac:dyDescent="0.2">
      <c r="A3037" s="3">
        <v>45800</v>
      </c>
      <c r="B3037" s="44">
        <v>17773809</v>
      </c>
      <c r="C3037" s="28" t="s">
        <v>319</v>
      </c>
      <c r="D3037" s="23">
        <v>364800</v>
      </c>
      <c r="E3037" s="24"/>
      <c r="F3037" s="15">
        <f t="shared" si="51"/>
        <v>99618087.839999974</v>
      </c>
    </row>
    <row r="3038" spans="1:6" x14ac:dyDescent="0.2">
      <c r="A3038" s="3">
        <v>45800</v>
      </c>
      <c r="B3038" s="43">
        <v>17773810</v>
      </c>
      <c r="C3038" s="20" t="s">
        <v>319</v>
      </c>
      <c r="D3038" s="18">
        <v>2782500</v>
      </c>
      <c r="E3038" s="19"/>
      <c r="F3038" s="15">
        <f t="shared" si="51"/>
        <v>96835587.839999974</v>
      </c>
    </row>
    <row r="3039" spans="1:6" x14ac:dyDescent="0.2">
      <c r="A3039" s="3">
        <v>45800</v>
      </c>
      <c r="B3039" s="43">
        <v>17773811</v>
      </c>
      <c r="C3039" s="20" t="s">
        <v>319</v>
      </c>
      <c r="D3039" s="18">
        <v>380000</v>
      </c>
      <c r="E3039" s="19"/>
      <c r="F3039" s="15">
        <f t="shared" si="51"/>
        <v>96455587.839999974</v>
      </c>
    </row>
    <row r="3040" spans="1:6" x14ac:dyDescent="0.2">
      <c r="A3040" s="3">
        <v>45800</v>
      </c>
      <c r="B3040" s="43">
        <v>17773812</v>
      </c>
      <c r="C3040" s="20" t="s">
        <v>319</v>
      </c>
      <c r="D3040" s="18">
        <v>465310</v>
      </c>
      <c r="E3040" s="19"/>
      <c r="F3040" s="15">
        <f t="shared" si="51"/>
        <v>95990277.839999974</v>
      </c>
    </row>
    <row r="3041" spans="1:6" x14ac:dyDescent="0.2">
      <c r="A3041" s="3">
        <v>45800</v>
      </c>
      <c r="B3041" s="43">
        <v>17773813</v>
      </c>
      <c r="C3041" s="20" t="s">
        <v>319</v>
      </c>
      <c r="D3041" s="18">
        <v>134900</v>
      </c>
      <c r="E3041" s="19"/>
      <c r="F3041" s="15">
        <f t="shared" si="51"/>
        <v>95855377.839999974</v>
      </c>
    </row>
    <row r="3042" spans="1:6" x14ac:dyDescent="0.2">
      <c r="A3042" s="3">
        <v>45800</v>
      </c>
      <c r="B3042" s="43">
        <v>17773814</v>
      </c>
      <c r="C3042" s="20" t="s">
        <v>319</v>
      </c>
      <c r="D3042" s="18">
        <v>915690</v>
      </c>
      <c r="E3042" s="19"/>
      <c r="F3042" s="15">
        <f t="shared" si="51"/>
        <v>94939687.839999974</v>
      </c>
    </row>
    <row r="3043" spans="1:6" x14ac:dyDescent="0.2">
      <c r="A3043" s="3">
        <v>45800</v>
      </c>
      <c r="B3043" s="43">
        <v>17773815</v>
      </c>
      <c r="C3043" s="20" t="s">
        <v>319</v>
      </c>
      <c r="D3043" s="18">
        <v>851960</v>
      </c>
      <c r="E3043" s="19"/>
      <c r="F3043" s="15">
        <f t="shared" si="51"/>
        <v>94087727.839999974</v>
      </c>
    </row>
    <row r="3044" spans="1:6" x14ac:dyDescent="0.2">
      <c r="A3044" s="3">
        <v>45800</v>
      </c>
      <c r="B3044" s="43">
        <v>17773816</v>
      </c>
      <c r="C3044" s="20" t="s">
        <v>319</v>
      </c>
      <c r="D3044" s="18">
        <v>495080</v>
      </c>
      <c r="E3044" s="19"/>
      <c r="F3044" s="15">
        <f t="shared" si="51"/>
        <v>93592647.839999974</v>
      </c>
    </row>
    <row r="3045" spans="1:6" x14ac:dyDescent="0.2">
      <c r="A3045" s="3">
        <v>45800</v>
      </c>
      <c r="B3045" s="43">
        <v>17773817</v>
      </c>
      <c r="C3045" s="20" t="s">
        <v>319</v>
      </c>
      <c r="D3045" s="18">
        <v>469000</v>
      </c>
      <c r="E3045" s="19"/>
      <c r="F3045" s="15">
        <f t="shared" si="51"/>
        <v>93123647.839999974</v>
      </c>
    </row>
    <row r="3046" spans="1:6" x14ac:dyDescent="0.2">
      <c r="A3046" s="3">
        <v>45800</v>
      </c>
      <c r="B3046" s="43">
        <v>17773818</v>
      </c>
      <c r="C3046" s="20" t="s">
        <v>319</v>
      </c>
      <c r="D3046" s="18">
        <v>789710</v>
      </c>
      <c r="E3046" s="19"/>
      <c r="F3046" s="15">
        <f t="shared" si="51"/>
        <v>92333937.839999974</v>
      </c>
    </row>
    <row r="3047" spans="1:6" x14ac:dyDescent="0.2">
      <c r="A3047" s="3">
        <v>45800</v>
      </c>
      <c r="B3047" s="43">
        <v>17773819</v>
      </c>
      <c r="C3047" s="20" t="s">
        <v>319</v>
      </c>
      <c r="D3047" s="18">
        <v>1709525</v>
      </c>
      <c r="E3047" s="19"/>
      <c r="F3047" s="15">
        <f t="shared" si="51"/>
        <v>90624412.839999974</v>
      </c>
    </row>
    <row r="3048" spans="1:6" x14ac:dyDescent="0.2">
      <c r="A3048" s="3">
        <v>45800</v>
      </c>
      <c r="B3048" s="43">
        <v>17773820</v>
      </c>
      <c r="C3048" s="20" t="s">
        <v>319</v>
      </c>
      <c r="D3048" s="18">
        <v>231000</v>
      </c>
      <c r="E3048" s="19"/>
      <c r="F3048" s="15">
        <f t="shared" si="51"/>
        <v>90393412.839999974</v>
      </c>
    </row>
    <row r="3049" spans="1:6" x14ac:dyDescent="0.2">
      <c r="A3049" s="3">
        <v>45800</v>
      </c>
      <c r="B3049" s="43">
        <v>17773821</v>
      </c>
      <c r="C3049" s="20" t="s">
        <v>319</v>
      </c>
      <c r="D3049" s="18">
        <v>400800</v>
      </c>
      <c r="E3049" s="19"/>
      <c r="F3049" s="15">
        <f t="shared" si="51"/>
        <v>89992612.839999974</v>
      </c>
    </row>
    <row r="3050" spans="1:6" x14ac:dyDescent="0.2">
      <c r="A3050" s="3">
        <v>45800</v>
      </c>
      <c r="B3050" s="43">
        <v>17773822</v>
      </c>
      <c r="C3050" s="20" t="s">
        <v>319</v>
      </c>
      <c r="D3050" s="18">
        <v>1684000</v>
      </c>
      <c r="E3050" s="19"/>
      <c r="F3050" s="15">
        <f t="shared" si="51"/>
        <v>88308612.839999974</v>
      </c>
    </row>
    <row r="3051" spans="1:6" x14ac:dyDescent="0.2">
      <c r="A3051" s="3">
        <v>45800</v>
      </c>
      <c r="B3051" s="43">
        <v>17773823</v>
      </c>
      <c r="C3051" s="20" t="s">
        <v>319</v>
      </c>
      <c r="D3051" s="18">
        <v>1075000</v>
      </c>
      <c r="E3051" s="19"/>
      <c r="F3051" s="15">
        <f t="shared" si="51"/>
        <v>87233612.839999974</v>
      </c>
    </row>
    <row r="3052" spans="1:6" x14ac:dyDescent="0.2">
      <c r="A3052" s="3">
        <v>45800</v>
      </c>
      <c r="B3052" s="43">
        <v>17773824</v>
      </c>
      <c r="C3052" s="20" t="s">
        <v>319</v>
      </c>
      <c r="D3052" s="18">
        <v>2820000</v>
      </c>
      <c r="E3052" s="19"/>
      <c r="F3052" s="15">
        <f t="shared" si="51"/>
        <v>84413612.839999974</v>
      </c>
    </row>
    <row r="3053" spans="1:6" x14ac:dyDescent="0.2">
      <c r="A3053" s="3">
        <v>45800</v>
      </c>
      <c r="B3053" s="43">
        <v>17773825</v>
      </c>
      <c r="C3053" s="20" t="s">
        <v>319</v>
      </c>
      <c r="D3053" s="18">
        <v>500000</v>
      </c>
      <c r="E3053" s="19"/>
      <c r="F3053" s="15">
        <f t="shared" si="51"/>
        <v>83913612.839999974</v>
      </c>
    </row>
    <row r="3054" spans="1:6" x14ac:dyDescent="0.2">
      <c r="A3054" s="3">
        <v>45800</v>
      </c>
      <c r="B3054" s="43">
        <v>17773826</v>
      </c>
      <c r="C3054" s="20" t="s">
        <v>319</v>
      </c>
      <c r="D3054" s="18">
        <v>1466690</v>
      </c>
      <c r="E3054" s="19"/>
      <c r="F3054" s="15">
        <f t="shared" si="51"/>
        <v>82446922.839999974</v>
      </c>
    </row>
    <row r="3055" spans="1:6" x14ac:dyDescent="0.2">
      <c r="A3055" s="3">
        <v>45800</v>
      </c>
      <c r="B3055" s="43">
        <v>17773827</v>
      </c>
      <c r="C3055" s="20" t="s">
        <v>319</v>
      </c>
      <c r="D3055" s="18">
        <v>755000</v>
      </c>
      <c r="E3055" s="19"/>
      <c r="F3055" s="15">
        <f t="shared" si="51"/>
        <v>81691922.839999974</v>
      </c>
    </row>
    <row r="3056" spans="1:6" x14ac:dyDescent="0.2">
      <c r="A3056" s="3">
        <v>45800</v>
      </c>
      <c r="B3056" s="43">
        <v>17773828</v>
      </c>
      <c r="C3056" s="20" t="s">
        <v>319</v>
      </c>
      <c r="D3056" s="18">
        <v>2876800</v>
      </c>
      <c r="E3056" s="19"/>
      <c r="F3056" s="15">
        <f t="shared" si="51"/>
        <v>78815122.839999974</v>
      </c>
    </row>
    <row r="3057" spans="1:6" x14ac:dyDescent="0.2">
      <c r="A3057" s="3">
        <v>45800</v>
      </c>
      <c r="B3057" s="43">
        <v>17773829</v>
      </c>
      <c r="C3057" s="20" t="s">
        <v>319</v>
      </c>
      <c r="D3057" s="18">
        <v>1826500</v>
      </c>
      <c r="E3057" s="19"/>
      <c r="F3057" s="15">
        <f t="shared" si="51"/>
        <v>76988622.839999974</v>
      </c>
    </row>
    <row r="3058" spans="1:6" x14ac:dyDescent="0.2">
      <c r="A3058" s="3">
        <v>45800</v>
      </c>
      <c r="B3058" s="43">
        <v>17773830</v>
      </c>
      <c r="C3058" s="20" t="s">
        <v>319</v>
      </c>
      <c r="D3058" s="18">
        <v>2423925</v>
      </c>
      <c r="E3058" s="19"/>
      <c r="F3058" s="15">
        <f t="shared" si="51"/>
        <v>74564697.839999974</v>
      </c>
    </row>
    <row r="3059" spans="1:6" x14ac:dyDescent="0.2">
      <c r="A3059" s="3">
        <v>45800</v>
      </c>
      <c r="B3059" s="46">
        <v>17773831</v>
      </c>
      <c r="C3059" s="9" t="s">
        <v>319</v>
      </c>
      <c r="D3059" s="48">
        <v>1000000</v>
      </c>
      <c r="E3059" s="49"/>
      <c r="F3059" s="15">
        <f t="shared" si="51"/>
        <v>73564697.839999974</v>
      </c>
    </row>
    <row r="3060" spans="1:6" x14ac:dyDescent="0.2">
      <c r="A3060" s="3">
        <v>45800</v>
      </c>
      <c r="B3060" s="44">
        <v>17773832</v>
      </c>
      <c r="C3060" s="28" t="s">
        <v>319</v>
      </c>
      <c r="D3060" s="23">
        <v>592410</v>
      </c>
      <c r="E3060" s="24"/>
      <c r="F3060" s="15">
        <f t="shared" si="51"/>
        <v>72972287.839999974</v>
      </c>
    </row>
    <row r="3061" spans="1:6" x14ac:dyDescent="0.2">
      <c r="A3061" s="3">
        <v>45800</v>
      </c>
      <c r="B3061" s="43">
        <v>17773833</v>
      </c>
      <c r="C3061" s="20" t="s">
        <v>319</v>
      </c>
      <c r="D3061" s="18">
        <v>1088800</v>
      </c>
      <c r="E3061" s="19"/>
      <c r="F3061" s="15">
        <f t="shared" si="51"/>
        <v>71883487.839999974</v>
      </c>
    </row>
    <row r="3062" spans="1:6" x14ac:dyDescent="0.2">
      <c r="A3062" s="3">
        <v>45800</v>
      </c>
      <c r="B3062" s="43">
        <v>17773834</v>
      </c>
      <c r="C3062" s="20" t="s">
        <v>319</v>
      </c>
      <c r="D3062" s="18">
        <v>765700</v>
      </c>
      <c r="E3062" s="19"/>
      <c r="F3062" s="15">
        <f t="shared" si="51"/>
        <v>71117787.839999974</v>
      </c>
    </row>
    <row r="3063" spans="1:6" x14ac:dyDescent="0.2">
      <c r="A3063" s="3">
        <v>45800</v>
      </c>
      <c r="B3063" s="43">
        <v>17773835</v>
      </c>
      <c r="C3063" s="20" t="s">
        <v>319</v>
      </c>
      <c r="D3063" s="18">
        <v>2172000</v>
      </c>
      <c r="E3063" s="19"/>
      <c r="F3063" s="15">
        <f t="shared" si="51"/>
        <v>68945787.839999974</v>
      </c>
    </row>
    <row r="3064" spans="1:6" x14ac:dyDescent="0.2">
      <c r="A3064" s="3">
        <v>45800</v>
      </c>
      <c r="B3064" s="43">
        <v>17773836</v>
      </c>
      <c r="C3064" s="20" t="s">
        <v>319</v>
      </c>
      <c r="D3064" s="18">
        <v>300000</v>
      </c>
      <c r="E3064" s="19"/>
      <c r="F3064" s="15">
        <f t="shared" si="51"/>
        <v>68645787.839999974</v>
      </c>
    </row>
    <row r="3065" spans="1:6" x14ac:dyDescent="0.2">
      <c r="A3065" s="3">
        <v>45800</v>
      </c>
      <c r="B3065" s="43">
        <v>17773837</v>
      </c>
      <c r="C3065" s="20" t="s">
        <v>319</v>
      </c>
      <c r="D3065" s="18">
        <v>2349500</v>
      </c>
      <c r="E3065" s="19"/>
      <c r="F3065" s="15">
        <f t="shared" si="51"/>
        <v>66296287.839999974</v>
      </c>
    </row>
    <row r="3066" spans="1:6" x14ac:dyDescent="0.2">
      <c r="A3066" s="3">
        <v>45800</v>
      </c>
      <c r="B3066" s="43">
        <v>17773838</v>
      </c>
      <c r="C3066" s="20" t="s">
        <v>319</v>
      </c>
      <c r="D3066" s="18">
        <v>1078250</v>
      </c>
      <c r="E3066" s="19"/>
      <c r="F3066" s="15">
        <f t="shared" si="51"/>
        <v>65218037.839999974</v>
      </c>
    </row>
    <row r="3067" spans="1:6" x14ac:dyDescent="0.2">
      <c r="A3067" s="3">
        <v>45800</v>
      </c>
      <c r="B3067" s="43">
        <v>17773839</v>
      </c>
      <c r="C3067" s="20" t="s">
        <v>319</v>
      </c>
      <c r="D3067" s="18">
        <v>85500</v>
      </c>
      <c r="E3067" s="19"/>
      <c r="F3067" s="15">
        <f t="shared" si="51"/>
        <v>65132537.839999974</v>
      </c>
    </row>
    <row r="3068" spans="1:6" x14ac:dyDescent="0.2">
      <c r="A3068" s="3">
        <v>45800</v>
      </c>
      <c r="B3068" s="43">
        <v>17773840</v>
      </c>
      <c r="C3068" s="20" t="s">
        <v>319</v>
      </c>
      <c r="D3068" s="18">
        <v>242000</v>
      </c>
      <c r="E3068" s="19"/>
      <c r="F3068" s="15">
        <f t="shared" si="51"/>
        <v>64890537.839999974</v>
      </c>
    </row>
    <row r="3069" spans="1:6" x14ac:dyDescent="0.2">
      <c r="A3069" s="3">
        <v>45800</v>
      </c>
      <c r="B3069" s="43">
        <v>17773841</v>
      </c>
      <c r="C3069" s="20" t="s">
        <v>319</v>
      </c>
      <c r="D3069" s="18">
        <v>910100</v>
      </c>
      <c r="E3069" s="19"/>
      <c r="F3069" s="15">
        <f t="shared" si="51"/>
        <v>63980437.839999974</v>
      </c>
    </row>
    <row r="3070" spans="1:6" x14ac:dyDescent="0.2">
      <c r="A3070" s="3">
        <v>45800</v>
      </c>
      <c r="B3070" s="43">
        <v>17773842</v>
      </c>
      <c r="C3070" s="20" t="s">
        <v>319</v>
      </c>
      <c r="D3070" s="18">
        <v>440000</v>
      </c>
      <c r="E3070" s="19"/>
      <c r="F3070" s="15">
        <f t="shared" si="51"/>
        <v>63540437.839999974</v>
      </c>
    </row>
    <row r="3071" spans="1:6" x14ac:dyDescent="0.2">
      <c r="A3071" s="3">
        <v>45800</v>
      </c>
      <c r="B3071" s="43">
        <v>17773843</v>
      </c>
      <c r="C3071" s="20" t="s">
        <v>319</v>
      </c>
      <c r="D3071" s="18">
        <v>180000</v>
      </c>
      <c r="E3071" s="19"/>
      <c r="F3071" s="15">
        <f t="shared" si="51"/>
        <v>63360437.839999974</v>
      </c>
    </row>
    <row r="3072" spans="1:6" x14ac:dyDescent="0.2">
      <c r="A3072" s="3">
        <v>45800</v>
      </c>
      <c r="B3072" s="43">
        <v>17773844</v>
      </c>
      <c r="C3072" s="20" t="s">
        <v>319</v>
      </c>
      <c r="D3072" s="18">
        <v>1100000</v>
      </c>
      <c r="E3072" s="19"/>
      <c r="F3072" s="15">
        <f t="shared" si="51"/>
        <v>62260437.839999974</v>
      </c>
    </row>
    <row r="3073" spans="1:6" x14ac:dyDescent="0.2">
      <c r="A3073" s="3">
        <v>45800</v>
      </c>
      <c r="B3073" s="43">
        <v>17773845</v>
      </c>
      <c r="C3073" s="20" t="s">
        <v>319</v>
      </c>
      <c r="D3073" s="18">
        <v>558125</v>
      </c>
      <c r="E3073" s="19"/>
      <c r="F3073" s="15">
        <f t="shared" si="51"/>
        <v>61702312.839999974</v>
      </c>
    </row>
    <row r="3074" spans="1:6" x14ac:dyDescent="0.2">
      <c r="A3074" s="3">
        <v>45800</v>
      </c>
      <c r="B3074" s="43">
        <v>17773846</v>
      </c>
      <c r="C3074" s="20" t="s">
        <v>319</v>
      </c>
      <c r="D3074" s="18">
        <v>408000</v>
      </c>
      <c r="E3074" s="19"/>
      <c r="F3074" s="15">
        <f t="shared" si="51"/>
        <v>61294312.839999974</v>
      </c>
    </row>
    <row r="3075" spans="1:6" x14ac:dyDescent="0.2">
      <c r="A3075" s="3">
        <v>45800</v>
      </c>
      <c r="B3075" s="43">
        <v>17773847</v>
      </c>
      <c r="C3075" s="20" t="s">
        <v>319</v>
      </c>
      <c r="D3075" s="18">
        <v>1312000</v>
      </c>
      <c r="E3075" s="19"/>
      <c r="F3075" s="15">
        <f t="shared" si="51"/>
        <v>59982312.839999974</v>
      </c>
    </row>
    <row r="3076" spans="1:6" x14ac:dyDescent="0.2">
      <c r="A3076" s="3">
        <v>45800</v>
      </c>
      <c r="B3076" s="43">
        <v>17773848</v>
      </c>
      <c r="C3076" s="20" t="s">
        <v>319</v>
      </c>
      <c r="D3076" s="18">
        <v>1120000</v>
      </c>
      <c r="E3076" s="19"/>
      <c r="F3076" s="15">
        <f t="shared" si="51"/>
        <v>58862312.839999974</v>
      </c>
    </row>
    <row r="3077" spans="1:6" x14ac:dyDescent="0.2">
      <c r="A3077" s="3">
        <v>45800</v>
      </c>
      <c r="B3077" s="43">
        <v>17773849</v>
      </c>
      <c r="C3077" s="20" t="s">
        <v>319</v>
      </c>
      <c r="D3077" s="18">
        <v>366000</v>
      </c>
      <c r="E3077" s="19"/>
      <c r="F3077" s="15">
        <f t="shared" si="51"/>
        <v>58496312.839999974</v>
      </c>
    </row>
    <row r="3078" spans="1:6" x14ac:dyDescent="0.2">
      <c r="A3078" s="3">
        <v>45800</v>
      </c>
      <c r="B3078" s="43">
        <v>17773850</v>
      </c>
      <c r="C3078" s="20" t="s">
        <v>319</v>
      </c>
      <c r="D3078" s="18">
        <v>665000</v>
      </c>
      <c r="E3078" s="19"/>
      <c r="F3078" s="15">
        <f t="shared" si="51"/>
        <v>57831312.839999974</v>
      </c>
    </row>
    <row r="3079" spans="1:6" x14ac:dyDescent="0.2">
      <c r="A3079" s="3">
        <v>45800</v>
      </c>
      <c r="B3079" s="43">
        <v>17773851</v>
      </c>
      <c r="C3079" s="20" t="s">
        <v>319</v>
      </c>
      <c r="D3079" s="18">
        <v>2485800</v>
      </c>
      <c r="E3079" s="19"/>
      <c r="F3079" s="15">
        <f t="shared" si="51"/>
        <v>55345512.839999974</v>
      </c>
    </row>
    <row r="3080" spans="1:6" x14ac:dyDescent="0.2">
      <c r="A3080" s="3">
        <v>45800</v>
      </c>
      <c r="B3080" s="43">
        <v>17773852</v>
      </c>
      <c r="C3080" s="20" t="s">
        <v>319</v>
      </c>
      <c r="D3080" s="18">
        <v>243000</v>
      </c>
      <c r="E3080" s="19"/>
      <c r="F3080" s="15">
        <f t="shared" si="51"/>
        <v>55102512.839999974</v>
      </c>
    </row>
    <row r="3081" spans="1:6" x14ac:dyDescent="0.2">
      <c r="A3081" s="3">
        <v>45800</v>
      </c>
      <c r="B3081" s="43">
        <v>17773853</v>
      </c>
      <c r="C3081" s="20" t="s">
        <v>319</v>
      </c>
      <c r="D3081" s="18">
        <v>97850</v>
      </c>
      <c r="E3081" s="19"/>
      <c r="F3081" s="15">
        <f t="shared" si="51"/>
        <v>55004662.839999974</v>
      </c>
    </row>
    <row r="3082" spans="1:6" x14ac:dyDescent="0.2">
      <c r="A3082" s="3">
        <v>45800</v>
      </c>
      <c r="B3082" s="46">
        <v>17773854</v>
      </c>
      <c r="C3082" s="9" t="s">
        <v>319</v>
      </c>
      <c r="D3082" s="48">
        <v>1290000</v>
      </c>
      <c r="E3082" s="49"/>
      <c r="F3082" s="15">
        <f t="shared" ref="F3082:F3145" si="52">+F3081+E3082-D3082</f>
        <v>53714662.839999974</v>
      </c>
    </row>
    <row r="3083" spans="1:6" x14ac:dyDescent="0.2">
      <c r="A3083" s="3">
        <v>45800</v>
      </c>
      <c r="B3083" s="44">
        <v>17773855</v>
      </c>
      <c r="C3083" s="28" t="s">
        <v>319</v>
      </c>
      <c r="D3083" s="23">
        <v>1280000</v>
      </c>
      <c r="E3083" s="24"/>
      <c r="F3083" s="15">
        <f t="shared" si="52"/>
        <v>52434662.839999974</v>
      </c>
    </row>
    <row r="3084" spans="1:6" x14ac:dyDescent="0.2">
      <c r="A3084" s="3">
        <v>45800</v>
      </c>
      <c r="B3084" s="43">
        <v>92871886</v>
      </c>
      <c r="C3084" s="20" t="s">
        <v>318</v>
      </c>
      <c r="D3084" s="18">
        <v>222000</v>
      </c>
      <c r="E3084" s="19"/>
      <c r="F3084" s="15">
        <f t="shared" si="52"/>
        <v>52212662.839999974</v>
      </c>
    </row>
    <row r="3085" spans="1:6" x14ac:dyDescent="0.2">
      <c r="A3085" s="3">
        <v>45800</v>
      </c>
      <c r="B3085" s="43">
        <v>4135159</v>
      </c>
      <c r="C3085" s="20" t="s">
        <v>85</v>
      </c>
      <c r="D3085" s="18">
        <v>2000000</v>
      </c>
      <c r="E3085" s="19"/>
      <c r="F3085" s="15">
        <f t="shared" si="52"/>
        <v>50212662.839999974</v>
      </c>
    </row>
    <row r="3086" spans="1:6" x14ac:dyDescent="0.2">
      <c r="A3086" s="3">
        <v>45800</v>
      </c>
      <c r="B3086" s="43">
        <v>4135160</v>
      </c>
      <c r="C3086" s="20" t="s">
        <v>86</v>
      </c>
      <c r="D3086" s="18">
        <v>110000</v>
      </c>
      <c r="E3086" s="19"/>
      <c r="F3086" s="15">
        <f t="shared" si="52"/>
        <v>50102662.839999974</v>
      </c>
    </row>
    <row r="3087" spans="1:6" x14ac:dyDescent="0.2">
      <c r="A3087" s="3">
        <v>45800</v>
      </c>
      <c r="B3087" s="43">
        <v>4135161</v>
      </c>
      <c r="C3087" s="20" t="s">
        <v>123</v>
      </c>
      <c r="D3087" s="18">
        <v>1693131.3</v>
      </c>
      <c r="E3087" s="19"/>
      <c r="F3087" s="15">
        <f t="shared" si="52"/>
        <v>48409531.539999977</v>
      </c>
    </row>
    <row r="3088" spans="1:6" x14ac:dyDescent="0.2">
      <c r="A3088" s="3">
        <v>45800</v>
      </c>
      <c r="B3088" s="43">
        <v>4135162</v>
      </c>
      <c r="C3088" s="20" t="s">
        <v>454</v>
      </c>
      <c r="D3088" s="18">
        <v>263235.5</v>
      </c>
      <c r="E3088" s="19"/>
      <c r="F3088" s="15">
        <f t="shared" si="52"/>
        <v>48146296.039999977</v>
      </c>
    </row>
    <row r="3089" spans="1:6" x14ac:dyDescent="0.2">
      <c r="A3089" s="3">
        <v>45800</v>
      </c>
      <c r="B3089" s="43">
        <v>4135164</v>
      </c>
      <c r="C3089" s="20" t="s">
        <v>455</v>
      </c>
      <c r="D3089" s="18">
        <v>137500</v>
      </c>
      <c r="E3089" s="19"/>
      <c r="F3089" s="15">
        <f t="shared" si="52"/>
        <v>48008796.039999977</v>
      </c>
    </row>
    <row r="3090" spans="1:6" x14ac:dyDescent="0.2">
      <c r="A3090" s="3">
        <v>45800</v>
      </c>
      <c r="B3090" s="43">
        <v>18042074</v>
      </c>
      <c r="C3090" s="20" t="s">
        <v>456</v>
      </c>
      <c r="D3090" s="18">
        <v>600000</v>
      </c>
      <c r="E3090" s="19"/>
      <c r="F3090" s="15">
        <f t="shared" si="52"/>
        <v>47408796.039999977</v>
      </c>
    </row>
    <row r="3091" spans="1:6" x14ac:dyDescent="0.2">
      <c r="A3091" s="3">
        <v>45800</v>
      </c>
      <c r="B3091" s="43">
        <v>4135165</v>
      </c>
      <c r="C3091" s="20" t="s">
        <v>457</v>
      </c>
      <c r="D3091" s="18">
        <v>480000</v>
      </c>
      <c r="E3091" s="19"/>
      <c r="F3091" s="15">
        <f t="shared" si="52"/>
        <v>46928796.039999977</v>
      </c>
    </row>
    <row r="3092" spans="1:6" x14ac:dyDescent="0.2">
      <c r="A3092" s="3">
        <v>45800</v>
      </c>
      <c r="B3092" s="43">
        <v>4135166</v>
      </c>
      <c r="C3092" s="20" t="s">
        <v>139</v>
      </c>
      <c r="D3092" s="18">
        <v>1028762.67</v>
      </c>
      <c r="E3092" s="19"/>
      <c r="F3092" s="15">
        <f t="shared" si="52"/>
        <v>45900033.369999975</v>
      </c>
    </row>
    <row r="3093" spans="1:6" x14ac:dyDescent="0.2">
      <c r="A3093" s="3">
        <v>45800</v>
      </c>
      <c r="B3093" s="43">
        <v>4135167</v>
      </c>
      <c r="C3093" s="20" t="s">
        <v>139</v>
      </c>
      <c r="D3093" s="18">
        <v>4890</v>
      </c>
      <c r="E3093" s="19"/>
      <c r="F3093" s="15">
        <f t="shared" si="52"/>
        <v>45895143.369999975</v>
      </c>
    </row>
    <row r="3094" spans="1:6" x14ac:dyDescent="0.2">
      <c r="A3094" s="3">
        <v>45800</v>
      </c>
      <c r="B3094" s="43">
        <v>4135168</v>
      </c>
      <c r="C3094" s="20" t="s">
        <v>139</v>
      </c>
      <c r="D3094" s="18">
        <v>914603.21</v>
      </c>
      <c r="E3094" s="19"/>
      <c r="F3094" s="15">
        <f t="shared" si="52"/>
        <v>44980540.159999974</v>
      </c>
    </row>
    <row r="3095" spans="1:6" x14ac:dyDescent="0.2">
      <c r="A3095" s="3">
        <v>45800</v>
      </c>
      <c r="B3095" s="45"/>
      <c r="C3095" s="17" t="s">
        <v>88</v>
      </c>
      <c r="D3095" s="18">
        <v>31495415</v>
      </c>
      <c r="E3095" s="19"/>
      <c r="F3095" s="15">
        <f t="shared" si="52"/>
        <v>13485125.159999974</v>
      </c>
    </row>
    <row r="3096" spans="1:6" x14ac:dyDescent="0.2">
      <c r="A3096" s="3">
        <v>45800</v>
      </c>
      <c r="B3096" s="45"/>
      <c r="C3096" s="17" t="s">
        <v>16</v>
      </c>
      <c r="D3096" s="18">
        <v>620622.02</v>
      </c>
      <c r="E3096" s="19"/>
      <c r="F3096" s="15">
        <f t="shared" si="52"/>
        <v>12864503.139999975</v>
      </c>
    </row>
    <row r="3097" spans="1:6" x14ac:dyDescent="0.2">
      <c r="A3097" s="3">
        <v>45800</v>
      </c>
      <c r="B3097" s="43">
        <v>15753</v>
      </c>
      <c r="C3097" s="20" t="s">
        <v>7</v>
      </c>
      <c r="D3097" s="18">
        <v>120</v>
      </c>
      <c r="E3097" s="19"/>
      <c r="F3097" s="15">
        <f t="shared" si="52"/>
        <v>12864383.139999975</v>
      </c>
    </row>
    <row r="3098" spans="1:6" x14ac:dyDescent="0.2">
      <c r="A3098" s="3">
        <v>45800</v>
      </c>
      <c r="B3098" s="43">
        <v>15753</v>
      </c>
      <c r="C3098" s="17" t="s">
        <v>227</v>
      </c>
      <c r="D3098" s="18">
        <v>25.2</v>
      </c>
      <c r="E3098" s="19"/>
      <c r="F3098" s="15">
        <f t="shared" si="52"/>
        <v>12864357.939999975</v>
      </c>
    </row>
    <row r="3099" spans="1:6" x14ac:dyDescent="0.2">
      <c r="A3099" s="3">
        <v>45800</v>
      </c>
      <c r="B3099" s="43">
        <v>15754</v>
      </c>
      <c r="C3099" s="20" t="s">
        <v>7</v>
      </c>
      <c r="D3099" s="18">
        <v>720</v>
      </c>
      <c r="E3099" s="19"/>
      <c r="F3099" s="15">
        <f t="shared" si="52"/>
        <v>12863637.939999975</v>
      </c>
    </row>
    <row r="3100" spans="1:6" x14ac:dyDescent="0.2">
      <c r="A3100" s="3">
        <v>45800</v>
      </c>
      <c r="B3100" s="43">
        <v>15754</v>
      </c>
      <c r="C3100" s="17" t="s">
        <v>227</v>
      </c>
      <c r="D3100" s="18">
        <v>151.19999999999999</v>
      </c>
      <c r="E3100" s="19"/>
      <c r="F3100" s="15">
        <f t="shared" si="52"/>
        <v>12863486.739999976</v>
      </c>
    </row>
    <row r="3101" spans="1:6" x14ac:dyDescent="0.2">
      <c r="A3101" s="3">
        <v>45800</v>
      </c>
      <c r="B3101" s="43">
        <v>15755</v>
      </c>
      <c r="C3101" s="20" t="s">
        <v>7</v>
      </c>
      <c r="D3101" s="18">
        <v>720</v>
      </c>
      <c r="E3101" s="19"/>
      <c r="F3101" s="15">
        <f t="shared" si="52"/>
        <v>12862766.739999976</v>
      </c>
    </row>
    <row r="3102" spans="1:6" x14ac:dyDescent="0.2">
      <c r="A3102" s="3">
        <v>45800</v>
      </c>
      <c r="B3102" s="43">
        <v>15755</v>
      </c>
      <c r="C3102" s="17" t="s">
        <v>227</v>
      </c>
      <c r="D3102" s="18">
        <v>151.19999999999999</v>
      </c>
      <c r="E3102" s="19"/>
      <c r="F3102" s="15">
        <f t="shared" si="52"/>
        <v>12862615.539999977</v>
      </c>
    </row>
    <row r="3103" spans="1:6" x14ac:dyDescent="0.2">
      <c r="A3103" s="3">
        <v>45800</v>
      </c>
      <c r="B3103" s="43">
        <v>15756</v>
      </c>
      <c r="C3103" s="20" t="s">
        <v>7</v>
      </c>
      <c r="D3103" s="18">
        <v>720</v>
      </c>
      <c r="E3103" s="19"/>
      <c r="F3103" s="15">
        <f t="shared" si="52"/>
        <v>12861895.539999977</v>
      </c>
    </row>
    <row r="3104" spans="1:6" x14ac:dyDescent="0.2">
      <c r="A3104" s="3">
        <v>45800</v>
      </c>
      <c r="B3104" s="43">
        <v>15756</v>
      </c>
      <c r="C3104" s="17" t="s">
        <v>227</v>
      </c>
      <c r="D3104" s="18">
        <v>151.19999999999999</v>
      </c>
      <c r="E3104" s="19"/>
      <c r="F3104" s="15">
        <f t="shared" si="52"/>
        <v>12861744.339999977</v>
      </c>
    </row>
    <row r="3105" spans="1:6" x14ac:dyDescent="0.2">
      <c r="A3105" s="3">
        <v>45800</v>
      </c>
      <c r="B3105" s="43">
        <v>15757</v>
      </c>
      <c r="C3105" s="20" t="s">
        <v>7</v>
      </c>
      <c r="D3105" s="18">
        <v>1485</v>
      </c>
      <c r="E3105" s="19"/>
      <c r="F3105" s="15">
        <f t="shared" si="52"/>
        <v>12860259.339999977</v>
      </c>
    </row>
    <row r="3106" spans="1:6" x14ac:dyDescent="0.2">
      <c r="A3106" s="3">
        <v>45800</v>
      </c>
      <c r="B3106" s="43">
        <v>15757</v>
      </c>
      <c r="C3106" s="17" t="s">
        <v>227</v>
      </c>
      <c r="D3106" s="18">
        <v>311.85000000000002</v>
      </c>
      <c r="E3106" s="19"/>
      <c r="F3106" s="15">
        <f t="shared" si="52"/>
        <v>12859947.489999978</v>
      </c>
    </row>
    <row r="3107" spans="1:6" x14ac:dyDescent="0.2">
      <c r="A3107" s="3">
        <v>45800</v>
      </c>
      <c r="B3107" s="46">
        <v>15758</v>
      </c>
      <c r="C3107" s="9" t="s">
        <v>7</v>
      </c>
      <c r="D3107" s="48">
        <v>1485</v>
      </c>
      <c r="E3107" s="49"/>
      <c r="F3107" s="15">
        <f t="shared" si="52"/>
        <v>12858462.489999978</v>
      </c>
    </row>
    <row r="3108" spans="1:6" x14ac:dyDescent="0.2">
      <c r="A3108" s="3">
        <v>45800</v>
      </c>
      <c r="B3108" s="44">
        <v>15758</v>
      </c>
      <c r="C3108" s="22" t="s">
        <v>227</v>
      </c>
      <c r="D3108" s="23">
        <v>311.85000000000002</v>
      </c>
      <c r="E3108" s="24"/>
      <c r="F3108" s="15">
        <f t="shared" si="52"/>
        <v>12858150.639999978</v>
      </c>
    </row>
    <row r="3109" spans="1:6" x14ac:dyDescent="0.2">
      <c r="A3109" s="3">
        <v>45800</v>
      </c>
      <c r="B3109" s="43">
        <v>15759</v>
      </c>
      <c r="C3109" s="20" t="s">
        <v>7</v>
      </c>
      <c r="D3109" s="18">
        <v>1485</v>
      </c>
      <c r="E3109" s="19"/>
      <c r="F3109" s="15">
        <f t="shared" si="52"/>
        <v>12856665.639999978</v>
      </c>
    </row>
    <row r="3110" spans="1:6" x14ac:dyDescent="0.2">
      <c r="A3110" s="3">
        <v>45800</v>
      </c>
      <c r="B3110" s="43">
        <v>15759</v>
      </c>
      <c r="C3110" s="17" t="s">
        <v>227</v>
      </c>
      <c r="D3110" s="18">
        <v>311.85000000000002</v>
      </c>
      <c r="E3110" s="19"/>
      <c r="F3110" s="15">
        <f t="shared" si="52"/>
        <v>12856353.789999979</v>
      </c>
    </row>
    <row r="3111" spans="1:6" x14ac:dyDescent="0.2">
      <c r="A3111" s="3">
        <v>45800</v>
      </c>
      <c r="B3111" s="43">
        <v>15760</v>
      </c>
      <c r="C3111" s="20" t="s">
        <v>7</v>
      </c>
      <c r="D3111" s="18">
        <v>1485</v>
      </c>
      <c r="E3111" s="19"/>
      <c r="F3111" s="15">
        <f t="shared" si="52"/>
        <v>12854868.789999979</v>
      </c>
    </row>
    <row r="3112" spans="1:6" x14ac:dyDescent="0.2">
      <c r="A3112" s="3">
        <v>45800</v>
      </c>
      <c r="B3112" s="43">
        <v>15760</v>
      </c>
      <c r="C3112" s="17" t="s">
        <v>227</v>
      </c>
      <c r="D3112" s="18">
        <v>311.85000000000002</v>
      </c>
      <c r="E3112" s="19"/>
      <c r="F3112" s="15">
        <f t="shared" si="52"/>
        <v>12854556.939999979</v>
      </c>
    </row>
    <row r="3113" spans="1:6" x14ac:dyDescent="0.2">
      <c r="A3113" s="3">
        <v>45800</v>
      </c>
      <c r="B3113" s="43">
        <v>15761</v>
      </c>
      <c r="C3113" s="20" t="s">
        <v>7</v>
      </c>
      <c r="D3113" s="18">
        <v>1485</v>
      </c>
      <c r="E3113" s="19"/>
      <c r="F3113" s="15">
        <f t="shared" si="52"/>
        <v>12853071.939999979</v>
      </c>
    </row>
    <row r="3114" spans="1:6" x14ac:dyDescent="0.2">
      <c r="A3114" s="3">
        <v>45800</v>
      </c>
      <c r="B3114" s="43">
        <v>15761</v>
      </c>
      <c r="C3114" s="17" t="s">
        <v>227</v>
      </c>
      <c r="D3114" s="18">
        <v>311.85000000000002</v>
      </c>
      <c r="E3114" s="19"/>
      <c r="F3114" s="15">
        <f t="shared" si="52"/>
        <v>12852760.089999979</v>
      </c>
    </row>
    <row r="3115" spans="1:6" x14ac:dyDescent="0.2">
      <c r="A3115" s="3">
        <v>45801</v>
      </c>
      <c r="B3115" s="43">
        <v>43489716</v>
      </c>
      <c r="C3115" s="20" t="s">
        <v>458</v>
      </c>
      <c r="D3115" s="19"/>
      <c r="E3115" s="18">
        <v>16000</v>
      </c>
      <c r="F3115" s="15">
        <f t="shared" si="52"/>
        <v>12868760.089999979</v>
      </c>
    </row>
    <row r="3116" spans="1:6" x14ac:dyDescent="0.2">
      <c r="A3116" s="3">
        <v>45803</v>
      </c>
      <c r="B3116" s="43">
        <v>32345</v>
      </c>
      <c r="C3116" s="17" t="s">
        <v>9</v>
      </c>
      <c r="D3116" s="18">
        <v>344635.67</v>
      </c>
      <c r="E3116" s="19"/>
      <c r="F3116" s="15">
        <f t="shared" si="52"/>
        <v>12524124.419999979</v>
      </c>
    </row>
    <row r="3117" spans="1:6" x14ac:dyDescent="0.2">
      <c r="A3117" s="3">
        <v>45803</v>
      </c>
      <c r="B3117" s="43">
        <v>2367</v>
      </c>
      <c r="C3117" s="20" t="s">
        <v>76</v>
      </c>
      <c r="D3117" s="18">
        <v>600701</v>
      </c>
      <c r="E3117" s="19"/>
      <c r="F3117" s="15">
        <f t="shared" si="52"/>
        <v>11923423.419999979</v>
      </c>
    </row>
    <row r="3118" spans="1:6" x14ac:dyDescent="0.2">
      <c r="A3118" s="3">
        <v>45803</v>
      </c>
      <c r="B3118" s="43">
        <v>32231</v>
      </c>
      <c r="C3118" s="17" t="s">
        <v>12</v>
      </c>
      <c r="D3118" s="18">
        <v>2151191</v>
      </c>
      <c r="E3118" s="19"/>
      <c r="F3118" s="15">
        <f t="shared" si="52"/>
        <v>9772232.4199999794</v>
      </c>
    </row>
    <row r="3119" spans="1:6" x14ac:dyDescent="0.2">
      <c r="A3119" s="3">
        <v>45803</v>
      </c>
      <c r="B3119" s="45"/>
      <c r="C3119" s="17" t="s">
        <v>16</v>
      </c>
      <c r="D3119" s="18">
        <v>18649.63</v>
      </c>
      <c r="E3119" s="19"/>
      <c r="F3119" s="15">
        <f t="shared" si="52"/>
        <v>9753582.7899999786</v>
      </c>
    </row>
    <row r="3120" spans="1:6" x14ac:dyDescent="0.2">
      <c r="A3120" s="3">
        <v>45803</v>
      </c>
      <c r="B3120" s="45"/>
      <c r="C3120" s="17" t="s">
        <v>22</v>
      </c>
      <c r="D3120" s="18">
        <v>96</v>
      </c>
      <c r="E3120" s="19"/>
      <c r="F3120" s="15">
        <f t="shared" si="52"/>
        <v>9753486.7899999786</v>
      </c>
    </row>
    <row r="3121" spans="1:6" x14ac:dyDescent="0.2">
      <c r="A3121" s="3">
        <v>45803</v>
      </c>
      <c r="B3121" s="45"/>
      <c r="C3121" s="20" t="s">
        <v>387</v>
      </c>
      <c r="D3121" s="18">
        <v>32</v>
      </c>
      <c r="E3121" s="19"/>
      <c r="F3121" s="15">
        <f t="shared" si="52"/>
        <v>9753454.7899999786</v>
      </c>
    </row>
    <row r="3122" spans="1:6" x14ac:dyDescent="0.2">
      <c r="A3122" s="3">
        <v>45804</v>
      </c>
      <c r="B3122" s="43">
        <v>32210</v>
      </c>
      <c r="C3122" s="17" t="s">
        <v>9</v>
      </c>
      <c r="D3122" s="18">
        <v>108443.4</v>
      </c>
      <c r="E3122" s="19"/>
      <c r="F3122" s="15">
        <f t="shared" si="52"/>
        <v>9645011.3899999782</v>
      </c>
    </row>
    <row r="3123" spans="1:6" x14ac:dyDescent="0.2">
      <c r="A3123" s="3">
        <v>45804</v>
      </c>
      <c r="B3123" s="43">
        <v>32254</v>
      </c>
      <c r="C3123" s="17" t="s">
        <v>9</v>
      </c>
      <c r="D3123" s="18">
        <v>213969.14</v>
      </c>
      <c r="E3123" s="19"/>
      <c r="F3123" s="15">
        <f t="shared" si="52"/>
        <v>9431042.2499999776</v>
      </c>
    </row>
    <row r="3124" spans="1:6" x14ac:dyDescent="0.2">
      <c r="A3124" s="3">
        <v>45804</v>
      </c>
      <c r="B3124" s="43">
        <v>82182</v>
      </c>
      <c r="C3124" s="17" t="s">
        <v>9</v>
      </c>
      <c r="D3124" s="18">
        <v>280570.21000000002</v>
      </c>
      <c r="E3124" s="19"/>
      <c r="F3124" s="15">
        <f t="shared" si="52"/>
        <v>9150472.0399999768</v>
      </c>
    </row>
    <row r="3125" spans="1:6" x14ac:dyDescent="0.2">
      <c r="A3125" s="3">
        <v>45804</v>
      </c>
      <c r="B3125" s="43">
        <v>32228</v>
      </c>
      <c r="C3125" s="17" t="s">
        <v>9</v>
      </c>
      <c r="D3125" s="18">
        <v>338509.75</v>
      </c>
      <c r="E3125" s="19"/>
      <c r="F3125" s="15">
        <f t="shared" si="52"/>
        <v>8811962.2899999768</v>
      </c>
    </row>
    <row r="3126" spans="1:6" x14ac:dyDescent="0.2">
      <c r="A3126" s="3">
        <v>45804</v>
      </c>
      <c r="B3126" s="43">
        <v>32275</v>
      </c>
      <c r="C3126" s="17" t="s">
        <v>9</v>
      </c>
      <c r="D3126" s="18">
        <v>345000</v>
      </c>
      <c r="E3126" s="19"/>
      <c r="F3126" s="15">
        <f t="shared" si="52"/>
        <v>8466962.2899999768</v>
      </c>
    </row>
    <row r="3127" spans="1:6" x14ac:dyDescent="0.2">
      <c r="A3127" s="3">
        <v>45804</v>
      </c>
      <c r="B3127" s="43">
        <v>32192</v>
      </c>
      <c r="C3127" s="17" t="s">
        <v>9</v>
      </c>
      <c r="D3127" s="18">
        <v>982898</v>
      </c>
      <c r="E3127" s="19"/>
      <c r="F3127" s="15">
        <f t="shared" si="52"/>
        <v>7484064.2899999768</v>
      </c>
    </row>
    <row r="3128" spans="1:6" x14ac:dyDescent="0.2">
      <c r="A3128" s="3">
        <v>45804</v>
      </c>
      <c r="B3128" s="43">
        <v>32238</v>
      </c>
      <c r="C3128" s="17" t="s">
        <v>9</v>
      </c>
      <c r="D3128" s="18">
        <v>2652200</v>
      </c>
      <c r="E3128" s="19"/>
      <c r="F3128" s="15">
        <f t="shared" si="52"/>
        <v>4831864.2899999768</v>
      </c>
    </row>
    <row r="3129" spans="1:6" x14ac:dyDescent="0.2">
      <c r="A3129" s="3">
        <v>45804</v>
      </c>
      <c r="B3129" s="43">
        <v>343653</v>
      </c>
      <c r="C3129" s="20" t="s">
        <v>217</v>
      </c>
      <c r="D3129" s="25"/>
      <c r="E3129" s="25">
        <v>3000000</v>
      </c>
      <c r="F3129" s="15">
        <f t="shared" si="52"/>
        <v>7831864.2899999768</v>
      </c>
    </row>
    <row r="3130" spans="1:6" x14ac:dyDescent="0.2">
      <c r="A3130" s="3">
        <v>45804</v>
      </c>
      <c r="B3130" s="43">
        <v>82182</v>
      </c>
      <c r="C3130" s="20" t="s">
        <v>459</v>
      </c>
      <c r="D3130" s="19"/>
      <c r="E3130" s="18">
        <v>280570.21000000002</v>
      </c>
      <c r="F3130" s="15">
        <f t="shared" si="52"/>
        <v>8112434.4999999767</v>
      </c>
    </row>
    <row r="3131" spans="1:6" x14ac:dyDescent="0.2">
      <c r="A3131" s="3">
        <v>45804</v>
      </c>
      <c r="B3131" s="45"/>
      <c r="C3131" s="17" t="s">
        <v>156</v>
      </c>
      <c r="D3131" s="19"/>
      <c r="E3131" s="18">
        <v>1683.42</v>
      </c>
      <c r="F3131" s="15">
        <f t="shared" si="52"/>
        <v>8114117.9199999766</v>
      </c>
    </row>
    <row r="3132" spans="1:6" x14ac:dyDescent="0.2">
      <c r="A3132" s="3">
        <v>45804</v>
      </c>
      <c r="B3132" s="45"/>
      <c r="C3132" s="17" t="s">
        <v>16</v>
      </c>
      <c r="D3132" s="18">
        <v>29529.73</v>
      </c>
      <c r="E3132" s="19"/>
      <c r="F3132" s="15">
        <f t="shared" si="52"/>
        <v>8084588.1899999762</v>
      </c>
    </row>
    <row r="3133" spans="1:6" x14ac:dyDescent="0.2">
      <c r="A3133" s="3">
        <v>45805</v>
      </c>
      <c r="B3133" s="43">
        <v>32274</v>
      </c>
      <c r="C3133" s="17" t="s">
        <v>9</v>
      </c>
      <c r="D3133" s="18">
        <v>306629.53000000003</v>
      </c>
      <c r="E3133" s="19"/>
      <c r="F3133" s="15">
        <f t="shared" si="52"/>
        <v>7777958.6599999759</v>
      </c>
    </row>
    <row r="3134" spans="1:6" x14ac:dyDescent="0.2">
      <c r="A3134" s="3">
        <v>45805</v>
      </c>
      <c r="B3134" s="43">
        <v>32281</v>
      </c>
      <c r="C3134" s="17" t="s">
        <v>9</v>
      </c>
      <c r="D3134" s="18">
        <v>4604583.4000000004</v>
      </c>
      <c r="E3134" s="19"/>
      <c r="F3134" s="15">
        <f t="shared" si="52"/>
        <v>3173375.2599999756</v>
      </c>
    </row>
    <row r="3135" spans="1:6" x14ac:dyDescent="0.2">
      <c r="A3135" s="3">
        <v>45805</v>
      </c>
      <c r="B3135" s="46">
        <v>32128</v>
      </c>
      <c r="C3135" s="47" t="s">
        <v>12</v>
      </c>
      <c r="D3135" s="48">
        <v>1551335.83</v>
      </c>
      <c r="E3135" s="49"/>
      <c r="F3135" s="15">
        <f t="shared" si="52"/>
        <v>1622039.4299999755</v>
      </c>
    </row>
    <row r="3136" spans="1:6" x14ac:dyDescent="0.2">
      <c r="A3136" s="3">
        <v>45805</v>
      </c>
      <c r="B3136" s="44">
        <v>32051</v>
      </c>
      <c r="C3136" s="22" t="s">
        <v>12</v>
      </c>
      <c r="D3136" s="23">
        <v>4471505.24</v>
      </c>
      <c r="E3136" s="24"/>
      <c r="F3136" s="15">
        <f t="shared" si="52"/>
        <v>-2849465.8100000247</v>
      </c>
    </row>
    <row r="3137" spans="1:6" x14ac:dyDescent="0.2">
      <c r="A3137" s="3">
        <v>45805</v>
      </c>
      <c r="B3137" s="45"/>
      <c r="C3137" s="17" t="s">
        <v>16</v>
      </c>
      <c r="D3137" s="18">
        <v>65604.320000000007</v>
      </c>
      <c r="E3137" s="19"/>
      <c r="F3137" s="15">
        <f t="shared" si="52"/>
        <v>-2915070.1300000246</v>
      </c>
    </row>
    <row r="3138" spans="1:6" x14ac:dyDescent="0.2">
      <c r="A3138" s="3">
        <v>45806</v>
      </c>
      <c r="B3138" s="43">
        <v>32132</v>
      </c>
      <c r="C3138" s="17" t="s">
        <v>9</v>
      </c>
      <c r="D3138" s="18">
        <v>280570.21000000002</v>
      </c>
      <c r="E3138" s="19"/>
      <c r="F3138" s="15">
        <f t="shared" si="52"/>
        <v>-3195640.3400000245</v>
      </c>
    </row>
    <row r="3139" spans="1:6" x14ac:dyDescent="0.2">
      <c r="A3139" s="3">
        <v>45806</v>
      </c>
      <c r="B3139" s="43">
        <v>32344</v>
      </c>
      <c r="C3139" s="17" t="s">
        <v>9</v>
      </c>
      <c r="D3139" s="18">
        <v>524943.4</v>
      </c>
      <c r="E3139" s="19"/>
      <c r="F3139" s="15">
        <f t="shared" si="52"/>
        <v>-3720583.7400000244</v>
      </c>
    </row>
    <row r="3140" spans="1:6" x14ac:dyDescent="0.2">
      <c r="A3140" s="3">
        <v>45806</v>
      </c>
      <c r="B3140" s="43">
        <v>32237</v>
      </c>
      <c r="C3140" s="17" t="s">
        <v>9</v>
      </c>
      <c r="D3140" s="18">
        <v>2501200</v>
      </c>
      <c r="E3140" s="19"/>
      <c r="F3140" s="15">
        <f t="shared" si="52"/>
        <v>-6221783.7400000244</v>
      </c>
    </row>
    <row r="3141" spans="1:6" x14ac:dyDescent="0.2">
      <c r="A3141" s="3">
        <v>45806</v>
      </c>
      <c r="B3141" s="43">
        <v>32099</v>
      </c>
      <c r="C3141" s="17" t="s">
        <v>9</v>
      </c>
      <c r="D3141" s="18">
        <v>2748674.87</v>
      </c>
      <c r="E3141" s="19"/>
      <c r="F3141" s="15">
        <f t="shared" si="52"/>
        <v>-8970458.6100000255</v>
      </c>
    </row>
    <row r="3142" spans="1:6" x14ac:dyDescent="0.2">
      <c r="A3142" s="3">
        <v>45806</v>
      </c>
      <c r="B3142" s="43">
        <v>32062</v>
      </c>
      <c r="C3142" s="17" t="s">
        <v>9</v>
      </c>
      <c r="D3142" s="18">
        <v>9900955.2200000007</v>
      </c>
      <c r="E3142" s="19"/>
      <c r="F3142" s="15">
        <f t="shared" si="52"/>
        <v>-18871413.830000028</v>
      </c>
    </row>
    <row r="3143" spans="1:6" x14ac:dyDescent="0.2">
      <c r="A3143" s="3">
        <v>45806</v>
      </c>
      <c r="B3143" s="45"/>
      <c r="C3143" s="17" t="s">
        <v>92</v>
      </c>
      <c r="D3143" s="18">
        <v>53300</v>
      </c>
      <c r="E3143" s="19"/>
      <c r="F3143" s="15">
        <f t="shared" si="52"/>
        <v>-18924713.830000028</v>
      </c>
    </row>
    <row r="3144" spans="1:6" x14ac:dyDescent="0.2">
      <c r="A3144" s="3">
        <v>45806</v>
      </c>
      <c r="B3144" s="45"/>
      <c r="C3144" s="17" t="s">
        <v>36</v>
      </c>
      <c r="D3144" s="18">
        <v>799.5</v>
      </c>
      <c r="E3144" s="19"/>
      <c r="F3144" s="15">
        <f t="shared" si="52"/>
        <v>-18925513.330000028</v>
      </c>
    </row>
    <row r="3145" spans="1:6" x14ac:dyDescent="0.2">
      <c r="A3145" s="3">
        <v>45806</v>
      </c>
      <c r="B3145" s="45"/>
      <c r="C3145" s="17" t="s">
        <v>227</v>
      </c>
      <c r="D3145" s="18">
        <v>11193</v>
      </c>
      <c r="E3145" s="19"/>
      <c r="F3145" s="15">
        <f t="shared" si="52"/>
        <v>-18936706.330000028</v>
      </c>
    </row>
    <row r="3146" spans="1:6" x14ac:dyDescent="0.2">
      <c r="A3146" s="3">
        <v>45806</v>
      </c>
      <c r="B3146" s="45"/>
      <c r="C3146" s="17" t="s">
        <v>37</v>
      </c>
      <c r="D3146" s="18">
        <v>1599</v>
      </c>
      <c r="E3146" s="19"/>
      <c r="F3146" s="15">
        <f t="shared" ref="F3146:F3181" si="53">+F3145+E3146-D3146</f>
        <v>-18938305.330000028</v>
      </c>
    </row>
    <row r="3147" spans="1:6" x14ac:dyDescent="0.2">
      <c r="A3147" s="3">
        <v>45806</v>
      </c>
      <c r="B3147" s="45"/>
      <c r="C3147" s="17" t="s">
        <v>93</v>
      </c>
      <c r="D3147" s="18">
        <v>58115</v>
      </c>
      <c r="E3147" s="19"/>
      <c r="F3147" s="15">
        <f t="shared" si="53"/>
        <v>-18996420.330000028</v>
      </c>
    </row>
    <row r="3148" spans="1:6" x14ac:dyDescent="0.2">
      <c r="A3148" s="3">
        <v>45806</v>
      </c>
      <c r="B3148" s="45"/>
      <c r="C3148" s="17" t="s">
        <v>36</v>
      </c>
      <c r="D3148" s="18">
        <v>871.73</v>
      </c>
      <c r="E3148" s="19"/>
      <c r="F3148" s="15">
        <f t="shared" si="53"/>
        <v>-18997292.060000028</v>
      </c>
    </row>
    <row r="3149" spans="1:6" x14ac:dyDescent="0.2">
      <c r="A3149" s="3">
        <v>45806</v>
      </c>
      <c r="B3149" s="45"/>
      <c r="C3149" s="17" t="s">
        <v>227</v>
      </c>
      <c r="D3149" s="18">
        <v>12204.15</v>
      </c>
      <c r="E3149" s="19"/>
      <c r="F3149" s="15">
        <f t="shared" si="53"/>
        <v>-19009496.210000027</v>
      </c>
    </row>
    <row r="3150" spans="1:6" x14ac:dyDescent="0.2">
      <c r="A3150" s="3">
        <v>45806</v>
      </c>
      <c r="B3150" s="45"/>
      <c r="C3150" s="17" t="s">
        <v>37</v>
      </c>
      <c r="D3150" s="18">
        <v>1743.45</v>
      </c>
      <c r="E3150" s="19"/>
      <c r="F3150" s="15">
        <f t="shared" si="53"/>
        <v>-19011239.660000026</v>
      </c>
    </row>
    <row r="3151" spans="1:6" x14ac:dyDescent="0.2">
      <c r="A3151" s="3">
        <v>45806</v>
      </c>
      <c r="B3151" s="43">
        <v>3117502</v>
      </c>
      <c r="C3151" s="20" t="s">
        <v>460</v>
      </c>
      <c r="D3151" s="19"/>
      <c r="E3151" s="18">
        <v>20262.72</v>
      </c>
      <c r="F3151" s="15">
        <f t="shared" si="53"/>
        <v>-18990976.940000027</v>
      </c>
    </row>
    <row r="3152" spans="1:6" x14ac:dyDescent="0.2">
      <c r="A3152" s="3">
        <v>45806</v>
      </c>
      <c r="B3152" s="43">
        <v>37154</v>
      </c>
      <c r="C3152" s="20" t="s">
        <v>461</v>
      </c>
      <c r="D3152" s="19"/>
      <c r="E3152" s="18">
        <v>26200</v>
      </c>
      <c r="F3152" s="15">
        <f t="shared" si="53"/>
        <v>-18964776.940000027</v>
      </c>
    </row>
    <row r="3153" spans="1:6" x14ac:dyDescent="0.2">
      <c r="A3153" s="3">
        <v>45806</v>
      </c>
      <c r="B3153" s="43">
        <v>7111989</v>
      </c>
      <c r="C3153" s="17" t="s">
        <v>106</v>
      </c>
      <c r="D3153" s="25"/>
      <c r="E3153" s="25">
        <v>30021004.960000001</v>
      </c>
      <c r="F3153" s="15">
        <f t="shared" si="53"/>
        <v>11056228.019999973</v>
      </c>
    </row>
    <row r="3154" spans="1:6" x14ac:dyDescent="0.2">
      <c r="A3154" s="3">
        <v>45806</v>
      </c>
      <c r="B3154" s="43">
        <v>32092</v>
      </c>
      <c r="C3154" s="17" t="s">
        <v>12</v>
      </c>
      <c r="D3154" s="18">
        <v>1163509.81</v>
      </c>
      <c r="E3154" s="19"/>
      <c r="F3154" s="15">
        <f t="shared" si="53"/>
        <v>9892718.209999973</v>
      </c>
    </row>
    <row r="3155" spans="1:6" x14ac:dyDescent="0.2">
      <c r="A3155" s="3">
        <v>45806</v>
      </c>
      <c r="B3155" s="43">
        <v>32165</v>
      </c>
      <c r="C3155" s="17" t="s">
        <v>12</v>
      </c>
      <c r="D3155" s="18">
        <v>2077536</v>
      </c>
      <c r="E3155" s="19"/>
      <c r="F3155" s="15">
        <f t="shared" si="53"/>
        <v>7815182.209999973</v>
      </c>
    </row>
    <row r="3156" spans="1:6" x14ac:dyDescent="0.2">
      <c r="A3156" s="3">
        <v>45806</v>
      </c>
      <c r="B3156" s="43">
        <v>32009</v>
      </c>
      <c r="C3156" s="17" t="s">
        <v>12</v>
      </c>
      <c r="D3156" s="18">
        <v>4033370.03</v>
      </c>
      <c r="E3156" s="19"/>
      <c r="F3156" s="15">
        <f t="shared" si="53"/>
        <v>3781812.1799999732</v>
      </c>
    </row>
    <row r="3157" spans="1:6" x14ac:dyDescent="0.2">
      <c r="A3157" s="3">
        <v>45806</v>
      </c>
      <c r="B3157" s="43">
        <v>32102</v>
      </c>
      <c r="C3157" s="17" t="s">
        <v>12</v>
      </c>
      <c r="D3157" s="18">
        <v>8000000</v>
      </c>
      <c r="E3157" s="19"/>
      <c r="F3157" s="15">
        <f t="shared" si="53"/>
        <v>-4218187.8200000264</v>
      </c>
    </row>
    <row r="3158" spans="1:6" x14ac:dyDescent="0.2">
      <c r="A3158" s="3">
        <v>45806</v>
      </c>
      <c r="B3158" s="45"/>
      <c r="C3158" s="17" t="s">
        <v>16</v>
      </c>
      <c r="D3158" s="18">
        <v>188223.51</v>
      </c>
      <c r="E3158" s="19"/>
      <c r="F3158" s="15">
        <f t="shared" si="53"/>
        <v>-4406411.3300000262</v>
      </c>
    </row>
    <row r="3159" spans="1:6" x14ac:dyDescent="0.2">
      <c r="A3159" s="3">
        <v>45806</v>
      </c>
      <c r="B3159" s="45"/>
      <c r="C3159" s="17" t="s">
        <v>22</v>
      </c>
      <c r="D3159" s="18">
        <v>278.77999999999997</v>
      </c>
      <c r="E3159" s="19"/>
      <c r="F3159" s="15">
        <f t="shared" si="53"/>
        <v>-4406690.1100000264</v>
      </c>
    </row>
    <row r="3160" spans="1:6" x14ac:dyDescent="0.2">
      <c r="A3160" s="3">
        <v>45806</v>
      </c>
      <c r="B3160" s="45"/>
      <c r="C3160" s="20" t="s">
        <v>462</v>
      </c>
      <c r="D3160" s="18">
        <v>92.93</v>
      </c>
      <c r="E3160" s="19"/>
      <c r="F3160" s="15">
        <f t="shared" si="53"/>
        <v>-4406783.0400000261</v>
      </c>
    </row>
    <row r="3161" spans="1:6" x14ac:dyDescent="0.2">
      <c r="A3161" s="3">
        <v>45807</v>
      </c>
      <c r="B3161" s="43">
        <v>32310</v>
      </c>
      <c r="C3161" s="17" t="s">
        <v>9</v>
      </c>
      <c r="D3161" s="18">
        <v>85496.4</v>
      </c>
      <c r="E3161" s="19"/>
      <c r="F3161" s="15">
        <f t="shared" si="53"/>
        <v>-4492279.4400000265</v>
      </c>
    </row>
    <row r="3162" spans="1:6" x14ac:dyDescent="0.2">
      <c r="A3162" s="3">
        <v>45807</v>
      </c>
      <c r="B3162" s="43">
        <v>32215</v>
      </c>
      <c r="C3162" s="17" t="s">
        <v>9</v>
      </c>
      <c r="D3162" s="18">
        <v>206850</v>
      </c>
      <c r="E3162" s="19"/>
      <c r="F3162" s="15">
        <f t="shared" si="53"/>
        <v>-4699129.4400000265</v>
      </c>
    </row>
    <row r="3163" spans="1:6" x14ac:dyDescent="0.2">
      <c r="A3163" s="3">
        <v>45807</v>
      </c>
      <c r="B3163" s="43">
        <v>32182</v>
      </c>
      <c r="C3163" s="17" t="s">
        <v>9</v>
      </c>
      <c r="D3163" s="18">
        <v>223850</v>
      </c>
      <c r="E3163" s="19"/>
      <c r="F3163" s="15">
        <f t="shared" si="53"/>
        <v>-4922979.4400000265</v>
      </c>
    </row>
    <row r="3164" spans="1:6" x14ac:dyDescent="0.2">
      <c r="A3164" s="3">
        <v>45807</v>
      </c>
      <c r="B3164" s="43">
        <v>32203</v>
      </c>
      <c r="C3164" s="17" t="s">
        <v>9</v>
      </c>
      <c r="D3164" s="18">
        <v>333880.7</v>
      </c>
      <c r="E3164" s="19"/>
      <c r="F3164" s="15">
        <f t="shared" si="53"/>
        <v>-5256860.1400000267</v>
      </c>
    </row>
    <row r="3165" spans="1:6" x14ac:dyDescent="0.2">
      <c r="A3165" s="3">
        <v>45807</v>
      </c>
      <c r="B3165" s="46">
        <v>32331</v>
      </c>
      <c r="C3165" s="47" t="s">
        <v>9</v>
      </c>
      <c r="D3165" s="48">
        <v>724747.65</v>
      </c>
      <c r="E3165" s="49"/>
      <c r="F3165" s="15">
        <f t="shared" si="53"/>
        <v>-5981607.790000027</v>
      </c>
    </row>
    <row r="3166" spans="1:6" x14ac:dyDescent="0.2">
      <c r="A3166" s="3">
        <v>45807</v>
      </c>
      <c r="B3166" s="44">
        <v>32169</v>
      </c>
      <c r="C3166" s="22" t="s">
        <v>9</v>
      </c>
      <c r="D3166" s="53">
        <v>983804.76</v>
      </c>
      <c r="E3166" s="24"/>
      <c r="F3166" s="15">
        <f t="shared" si="53"/>
        <v>-6965412.5500000268</v>
      </c>
    </row>
    <row r="3167" spans="1:6" x14ac:dyDescent="0.2">
      <c r="A3167" s="3">
        <v>45807</v>
      </c>
      <c r="B3167" s="43">
        <v>32167</v>
      </c>
      <c r="C3167" s="17" t="s">
        <v>9</v>
      </c>
      <c r="D3167" s="25">
        <v>1056037.1499999999</v>
      </c>
      <c r="E3167" s="19"/>
      <c r="F3167" s="15">
        <f t="shared" si="53"/>
        <v>-8021449.7000000272</v>
      </c>
    </row>
    <row r="3168" spans="1:6" x14ac:dyDescent="0.2">
      <c r="A3168" s="3">
        <v>45807</v>
      </c>
      <c r="B3168" s="43">
        <v>32218</v>
      </c>
      <c r="C3168" s="17" t="s">
        <v>9</v>
      </c>
      <c r="D3168" s="25">
        <v>1081847</v>
      </c>
      <c r="E3168" s="19"/>
      <c r="F3168" s="15">
        <f t="shared" si="53"/>
        <v>-9103296.7000000272</v>
      </c>
    </row>
    <row r="3169" spans="1:6" x14ac:dyDescent="0.2">
      <c r="A3169" s="3">
        <v>45807</v>
      </c>
      <c r="B3169" s="43">
        <v>32131</v>
      </c>
      <c r="C3169" s="17" t="s">
        <v>9</v>
      </c>
      <c r="D3169" s="25">
        <v>1324922.27</v>
      </c>
      <c r="E3169" s="19"/>
      <c r="F3169" s="15">
        <f t="shared" si="53"/>
        <v>-10428218.970000027</v>
      </c>
    </row>
    <row r="3170" spans="1:6" x14ac:dyDescent="0.2">
      <c r="A3170" s="3">
        <v>45807</v>
      </c>
      <c r="B3170" s="43">
        <v>32236</v>
      </c>
      <c r="C3170" s="17" t="s">
        <v>9</v>
      </c>
      <c r="D3170" s="25">
        <v>3136277.16</v>
      </c>
      <c r="E3170" s="19"/>
      <c r="F3170" s="15">
        <f t="shared" si="53"/>
        <v>-13564496.130000027</v>
      </c>
    </row>
    <row r="3171" spans="1:6" x14ac:dyDescent="0.2">
      <c r="A3171" s="3">
        <v>45807</v>
      </c>
      <c r="B3171" s="43">
        <v>32180</v>
      </c>
      <c r="C3171" s="17" t="s">
        <v>9</v>
      </c>
      <c r="D3171" s="25">
        <v>3619510</v>
      </c>
      <c r="E3171" s="19"/>
      <c r="F3171" s="15">
        <f t="shared" si="53"/>
        <v>-17184006.130000025</v>
      </c>
    </row>
    <row r="3172" spans="1:6" x14ac:dyDescent="0.2">
      <c r="A3172" s="3">
        <v>45807</v>
      </c>
      <c r="B3172" s="43">
        <v>32287</v>
      </c>
      <c r="C3172" s="17" t="s">
        <v>9</v>
      </c>
      <c r="D3172" s="25">
        <v>5623838</v>
      </c>
      <c r="E3172" s="19"/>
      <c r="F3172" s="15">
        <f t="shared" si="53"/>
        <v>-22807844.130000025</v>
      </c>
    </row>
    <row r="3173" spans="1:6" x14ac:dyDescent="0.2">
      <c r="A3173" s="3">
        <v>45807</v>
      </c>
      <c r="B3173" s="43">
        <v>32090</v>
      </c>
      <c r="C3173" s="17" t="s">
        <v>9</v>
      </c>
      <c r="D3173" s="25">
        <v>6647287.9000000004</v>
      </c>
      <c r="E3173" s="19"/>
      <c r="F3173" s="15">
        <f t="shared" si="53"/>
        <v>-29455132.030000024</v>
      </c>
    </row>
    <row r="3174" spans="1:6" x14ac:dyDescent="0.2">
      <c r="A3174" s="3">
        <v>45807</v>
      </c>
      <c r="B3174" s="43">
        <v>32176</v>
      </c>
      <c r="C3174" s="17" t="s">
        <v>9</v>
      </c>
      <c r="D3174" s="25">
        <v>7121419</v>
      </c>
      <c r="E3174" s="19"/>
      <c r="F3174" s="15">
        <f t="shared" si="53"/>
        <v>-36576551.030000024</v>
      </c>
    </row>
    <row r="3175" spans="1:6" x14ac:dyDescent="0.2">
      <c r="A3175" s="3">
        <v>45807</v>
      </c>
      <c r="B3175" s="43">
        <v>652418</v>
      </c>
      <c r="C3175" s="20" t="s">
        <v>89</v>
      </c>
      <c r="D3175" s="25"/>
      <c r="E3175" s="25">
        <v>2686138.76</v>
      </c>
      <c r="F3175" s="15">
        <f t="shared" si="53"/>
        <v>-33890412.270000026</v>
      </c>
    </row>
    <row r="3176" spans="1:6" x14ac:dyDescent="0.2">
      <c r="A3176" s="3">
        <v>45807</v>
      </c>
      <c r="B3176" s="43">
        <v>96698082</v>
      </c>
      <c r="C3176" s="20" t="s">
        <v>90</v>
      </c>
      <c r="D3176" s="25"/>
      <c r="E3176" s="25">
        <v>50000000</v>
      </c>
      <c r="F3176" s="15">
        <f t="shared" si="53"/>
        <v>16109587.729999974</v>
      </c>
    </row>
    <row r="3177" spans="1:6" x14ac:dyDescent="0.2">
      <c r="A3177" s="3">
        <v>45807</v>
      </c>
      <c r="B3177" s="43">
        <v>17912650</v>
      </c>
      <c r="C3177" s="20" t="s">
        <v>463</v>
      </c>
      <c r="D3177" s="19"/>
      <c r="E3177" s="18">
        <v>227047.38</v>
      </c>
      <c r="F3177" s="15">
        <f t="shared" si="53"/>
        <v>16336635.109999975</v>
      </c>
    </row>
    <row r="3178" spans="1:6" x14ac:dyDescent="0.2">
      <c r="A3178" s="3">
        <v>45807</v>
      </c>
      <c r="B3178" s="45"/>
      <c r="C3178" s="17" t="s">
        <v>95</v>
      </c>
      <c r="D3178" s="25">
        <v>2223</v>
      </c>
      <c r="E3178" s="19"/>
      <c r="F3178" s="15">
        <f t="shared" si="53"/>
        <v>16334412.109999975</v>
      </c>
    </row>
    <row r="3179" spans="1:6" x14ac:dyDescent="0.2">
      <c r="A3179" s="3">
        <v>45807</v>
      </c>
      <c r="B3179" s="45"/>
      <c r="C3179" s="17" t="s">
        <v>232</v>
      </c>
      <c r="D3179" s="25">
        <v>466.83</v>
      </c>
      <c r="E3179" s="19"/>
      <c r="F3179" s="15">
        <f t="shared" si="53"/>
        <v>16333945.279999975</v>
      </c>
    </row>
    <row r="3180" spans="1:6" x14ac:dyDescent="0.2">
      <c r="A3180" s="3">
        <v>45807</v>
      </c>
      <c r="B3180" s="45"/>
      <c r="C3180" s="17" t="s">
        <v>22</v>
      </c>
      <c r="D3180" s="25">
        <v>317479.11</v>
      </c>
      <c r="E3180" s="19"/>
      <c r="F3180" s="15">
        <f t="shared" si="53"/>
        <v>16016466.169999976</v>
      </c>
    </row>
    <row r="3181" spans="1:6" x14ac:dyDescent="0.2">
      <c r="A3181" s="3">
        <v>45807</v>
      </c>
      <c r="B3181" s="54"/>
      <c r="C3181" s="33" t="s">
        <v>16</v>
      </c>
      <c r="D3181" s="34">
        <v>193035.3</v>
      </c>
      <c r="E3181" s="35"/>
      <c r="F3181" s="15">
        <f t="shared" si="53"/>
        <v>15823430.869999975</v>
      </c>
    </row>
    <row r="3184" spans="1:6" x14ac:dyDescent="0.2">
      <c r="A3184" s="1" t="s">
        <v>0</v>
      </c>
      <c r="B3184" s="1" t="s">
        <v>1</v>
      </c>
      <c r="C3184" s="1" t="s">
        <v>2</v>
      </c>
      <c r="D3184" s="1" t="s">
        <v>3</v>
      </c>
      <c r="E3184" s="1" t="s">
        <v>4</v>
      </c>
      <c r="F3184" s="1" t="s">
        <v>5</v>
      </c>
    </row>
    <row r="3185" spans="1:6" x14ac:dyDescent="0.2">
      <c r="A3185" s="3">
        <v>45808</v>
      </c>
      <c r="B3185" s="41"/>
      <c r="C3185" s="55" t="s">
        <v>6</v>
      </c>
      <c r="D3185" s="6"/>
      <c r="E3185" s="7"/>
      <c r="F3185" s="8">
        <v>15823430.869999999</v>
      </c>
    </row>
    <row r="3186" spans="1:6" x14ac:dyDescent="0.2">
      <c r="A3186" s="3">
        <v>45807</v>
      </c>
      <c r="B3186" s="42"/>
      <c r="C3186" s="12" t="s">
        <v>464</v>
      </c>
      <c r="D3186" s="13">
        <v>105826.37</v>
      </c>
      <c r="E3186" s="14"/>
      <c r="F3186" s="15">
        <f t="shared" ref="F3186:F3249" si="54">+F3185+E3186-D3186</f>
        <v>15717604.5</v>
      </c>
    </row>
    <row r="3187" spans="1:6" x14ac:dyDescent="0.2">
      <c r="A3187" s="3">
        <v>45810</v>
      </c>
      <c r="B3187" s="43">
        <v>32276</v>
      </c>
      <c r="C3187" s="17" t="s">
        <v>9</v>
      </c>
      <c r="D3187" s="18">
        <v>113915.8</v>
      </c>
      <c r="E3187" s="19"/>
      <c r="F3187" s="15">
        <f t="shared" si="54"/>
        <v>15603688.699999999</v>
      </c>
    </row>
    <row r="3188" spans="1:6" x14ac:dyDescent="0.2">
      <c r="A3188" s="3">
        <v>45810</v>
      </c>
      <c r="B3188" s="43">
        <v>32297</v>
      </c>
      <c r="C3188" s="17" t="s">
        <v>9</v>
      </c>
      <c r="D3188" s="18">
        <v>326849.59999999998</v>
      </c>
      <c r="E3188" s="19"/>
      <c r="F3188" s="15">
        <f t="shared" si="54"/>
        <v>15276839.1</v>
      </c>
    </row>
    <row r="3189" spans="1:6" x14ac:dyDescent="0.2">
      <c r="A3189" s="3">
        <v>45810</v>
      </c>
      <c r="B3189" s="43">
        <v>32235</v>
      </c>
      <c r="C3189" s="17" t="s">
        <v>9</v>
      </c>
      <c r="D3189" s="18">
        <v>1050609</v>
      </c>
      <c r="E3189" s="19"/>
      <c r="F3189" s="15">
        <f t="shared" si="54"/>
        <v>14226230.1</v>
      </c>
    </row>
    <row r="3190" spans="1:6" x14ac:dyDescent="0.2">
      <c r="A3190" s="3">
        <v>45810</v>
      </c>
      <c r="B3190" s="43">
        <v>32162</v>
      </c>
      <c r="C3190" s="17" t="s">
        <v>9</v>
      </c>
      <c r="D3190" s="18">
        <v>2835735.28</v>
      </c>
      <c r="E3190" s="19"/>
      <c r="F3190" s="15">
        <f t="shared" si="54"/>
        <v>11390494.82</v>
      </c>
    </row>
    <row r="3191" spans="1:6" x14ac:dyDescent="0.2">
      <c r="A3191" s="3">
        <v>45810</v>
      </c>
      <c r="B3191" s="43">
        <v>32295</v>
      </c>
      <c r="C3191" s="17" t="s">
        <v>9</v>
      </c>
      <c r="D3191" s="18">
        <v>3268318</v>
      </c>
      <c r="E3191" s="19"/>
      <c r="F3191" s="15">
        <f t="shared" si="54"/>
        <v>8122176.8200000003</v>
      </c>
    </row>
    <row r="3192" spans="1:6" x14ac:dyDescent="0.2">
      <c r="A3192" s="3">
        <v>45810</v>
      </c>
      <c r="B3192" s="43">
        <v>32240</v>
      </c>
      <c r="C3192" s="17" t="s">
        <v>9</v>
      </c>
      <c r="D3192" s="18">
        <v>3268318.8</v>
      </c>
      <c r="E3192" s="19"/>
      <c r="F3192" s="15">
        <f t="shared" si="54"/>
        <v>4853858.0200000005</v>
      </c>
    </row>
    <row r="3193" spans="1:6" x14ac:dyDescent="0.2">
      <c r="A3193" s="3">
        <v>45810</v>
      </c>
      <c r="B3193" s="43">
        <v>32293</v>
      </c>
      <c r="C3193" s="17" t="s">
        <v>9</v>
      </c>
      <c r="D3193" s="18">
        <v>6000000</v>
      </c>
      <c r="E3193" s="19"/>
      <c r="F3193" s="15">
        <f t="shared" si="54"/>
        <v>-1146141.9799999995</v>
      </c>
    </row>
    <row r="3194" spans="1:6" x14ac:dyDescent="0.2">
      <c r="A3194" s="3">
        <v>45810</v>
      </c>
      <c r="B3194" s="43">
        <v>32289</v>
      </c>
      <c r="C3194" s="17" t="s">
        <v>9</v>
      </c>
      <c r="D3194" s="18">
        <v>6125972</v>
      </c>
      <c r="E3194" s="19"/>
      <c r="F3194" s="15">
        <f t="shared" si="54"/>
        <v>-7272113.9799999995</v>
      </c>
    </row>
    <row r="3195" spans="1:6" x14ac:dyDescent="0.2">
      <c r="A3195" s="3">
        <v>45810</v>
      </c>
      <c r="B3195" s="43">
        <v>32221</v>
      </c>
      <c r="C3195" s="17" t="s">
        <v>9</v>
      </c>
      <c r="D3195" s="18">
        <v>6784783.8600000003</v>
      </c>
      <c r="E3195" s="19"/>
      <c r="F3195" s="15">
        <f t="shared" si="54"/>
        <v>-14056897.84</v>
      </c>
    </row>
    <row r="3196" spans="1:6" x14ac:dyDescent="0.2">
      <c r="A3196" s="3">
        <v>45810</v>
      </c>
      <c r="B3196" s="43">
        <v>32174</v>
      </c>
      <c r="C3196" s="17" t="s">
        <v>9</v>
      </c>
      <c r="D3196" s="18">
        <v>10139336</v>
      </c>
      <c r="E3196" s="19"/>
      <c r="F3196" s="15">
        <f t="shared" si="54"/>
        <v>-24196233.84</v>
      </c>
    </row>
    <row r="3197" spans="1:6" x14ac:dyDescent="0.2">
      <c r="A3197" s="3">
        <v>45810</v>
      </c>
      <c r="B3197" s="45"/>
      <c r="C3197" s="17" t="s">
        <v>465</v>
      </c>
      <c r="D3197" s="18">
        <v>1280</v>
      </c>
      <c r="E3197" s="19"/>
      <c r="F3197" s="15">
        <f t="shared" si="54"/>
        <v>-24197513.84</v>
      </c>
    </row>
    <row r="3198" spans="1:6" x14ac:dyDescent="0.2">
      <c r="A3198" s="3">
        <v>45810</v>
      </c>
      <c r="B3198" s="45"/>
      <c r="C3198" s="17" t="s">
        <v>227</v>
      </c>
      <c r="D3198" s="18">
        <v>268.8</v>
      </c>
      <c r="E3198" s="19"/>
      <c r="F3198" s="15">
        <f t="shared" si="54"/>
        <v>-24197782.640000001</v>
      </c>
    </row>
    <row r="3199" spans="1:6" x14ac:dyDescent="0.2">
      <c r="A3199" s="3">
        <v>45810</v>
      </c>
      <c r="B3199" s="43">
        <v>10099363</v>
      </c>
      <c r="C3199" s="20" t="s">
        <v>466</v>
      </c>
      <c r="D3199" s="19"/>
      <c r="E3199" s="18">
        <v>18800</v>
      </c>
      <c r="F3199" s="15">
        <f t="shared" si="54"/>
        <v>-24178982.640000001</v>
      </c>
    </row>
    <row r="3200" spans="1:6" x14ac:dyDescent="0.2">
      <c r="A3200" s="3">
        <v>45810</v>
      </c>
      <c r="B3200" s="43">
        <v>981725</v>
      </c>
      <c r="C3200" s="20" t="s">
        <v>94</v>
      </c>
      <c r="D3200" s="19"/>
      <c r="E3200" s="18">
        <v>605934.11</v>
      </c>
      <c r="F3200" s="15">
        <f t="shared" si="54"/>
        <v>-23573048.530000001</v>
      </c>
    </row>
    <row r="3201" spans="1:6" x14ac:dyDescent="0.2">
      <c r="A3201" s="3">
        <v>45810</v>
      </c>
      <c r="B3201" s="43">
        <v>7135076</v>
      </c>
      <c r="C3201" s="17" t="s">
        <v>106</v>
      </c>
      <c r="D3201" s="25"/>
      <c r="E3201" s="25">
        <v>30060452.260000002</v>
      </c>
      <c r="F3201" s="15">
        <f t="shared" si="54"/>
        <v>6487403.7300000004</v>
      </c>
    </row>
    <row r="3202" spans="1:6" x14ac:dyDescent="0.2">
      <c r="A3202" s="3">
        <v>45810</v>
      </c>
      <c r="B3202" s="43">
        <v>7140110</v>
      </c>
      <c r="C3202" s="17" t="s">
        <v>106</v>
      </c>
      <c r="D3202" s="25"/>
      <c r="E3202" s="25">
        <v>111510069.39</v>
      </c>
      <c r="F3202" s="15">
        <f t="shared" si="54"/>
        <v>117997473.12</v>
      </c>
    </row>
    <row r="3203" spans="1:6" x14ac:dyDescent="0.2">
      <c r="A3203" s="3">
        <v>45810</v>
      </c>
      <c r="B3203" s="43">
        <v>32213</v>
      </c>
      <c r="C3203" s="17" t="s">
        <v>12</v>
      </c>
      <c r="D3203" s="18">
        <v>19965</v>
      </c>
      <c r="E3203" s="19"/>
      <c r="F3203" s="15">
        <f t="shared" si="54"/>
        <v>117977508.12</v>
      </c>
    </row>
    <row r="3204" spans="1:6" x14ac:dyDescent="0.2">
      <c r="A3204" s="3">
        <v>45810</v>
      </c>
      <c r="B3204" s="43">
        <v>32202</v>
      </c>
      <c r="C3204" s="17" t="s">
        <v>12</v>
      </c>
      <c r="D3204" s="18">
        <v>4402572</v>
      </c>
      <c r="E3204" s="19"/>
      <c r="F3204" s="15">
        <f t="shared" si="54"/>
        <v>113574936.12</v>
      </c>
    </row>
    <row r="3205" spans="1:6" x14ac:dyDescent="0.2">
      <c r="A3205" s="3">
        <v>45810</v>
      </c>
      <c r="B3205" s="51"/>
      <c r="C3205" s="58" t="s">
        <v>22</v>
      </c>
      <c r="D3205" s="48">
        <v>3748.4</v>
      </c>
      <c r="E3205" s="49"/>
      <c r="F3205" s="15">
        <f t="shared" si="54"/>
        <v>113571187.72</v>
      </c>
    </row>
    <row r="3206" spans="1:6" x14ac:dyDescent="0.2">
      <c r="A3206" s="3">
        <v>45810</v>
      </c>
      <c r="B3206" s="50"/>
      <c r="C3206" s="59" t="s">
        <v>16</v>
      </c>
      <c r="D3206" s="23">
        <v>266662.49</v>
      </c>
      <c r="E3206" s="24"/>
      <c r="F3206" s="15">
        <f t="shared" si="54"/>
        <v>113304525.23</v>
      </c>
    </row>
    <row r="3207" spans="1:6" x14ac:dyDescent="0.2">
      <c r="A3207" s="3">
        <v>45810</v>
      </c>
      <c r="B3207" s="45"/>
      <c r="C3207" s="20" t="s">
        <v>467</v>
      </c>
      <c r="D3207" s="18">
        <v>1249.47</v>
      </c>
      <c r="E3207" s="19"/>
      <c r="F3207" s="15">
        <f t="shared" si="54"/>
        <v>113303275.76000001</v>
      </c>
    </row>
    <row r="3208" spans="1:6" x14ac:dyDescent="0.2">
      <c r="A3208" s="3">
        <v>45811</v>
      </c>
      <c r="B3208" s="43">
        <v>32264</v>
      </c>
      <c r="C3208" s="17" t="s">
        <v>9</v>
      </c>
      <c r="D3208" s="18">
        <v>8364</v>
      </c>
      <c r="E3208" s="19"/>
      <c r="F3208" s="15">
        <f t="shared" si="54"/>
        <v>113294911.76000001</v>
      </c>
    </row>
    <row r="3209" spans="1:6" x14ac:dyDescent="0.2">
      <c r="A3209" s="3">
        <v>45811</v>
      </c>
      <c r="B3209" s="43">
        <v>32317</v>
      </c>
      <c r="C3209" s="17" t="s">
        <v>9</v>
      </c>
      <c r="D3209" s="18">
        <v>152654.28</v>
      </c>
      <c r="E3209" s="19"/>
      <c r="F3209" s="15">
        <f t="shared" si="54"/>
        <v>113142257.48</v>
      </c>
    </row>
    <row r="3210" spans="1:6" x14ac:dyDescent="0.2">
      <c r="A3210" s="3">
        <v>45811</v>
      </c>
      <c r="B3210" s="43">
        <v>32285</v>
      </c>
      <c r="C3210" s="17" t="s">
        <v>9</v>
      </c>
      <c r="D3210" s="18">
        <v>373508.35</v>
      </c>
      <c r="E3210" s="19"/>
      <c r="F3210" s="15">
        <f t="shared" si="54"/>
        <v>112768749.13000001</v>
      </c>
    </row>
    <row r="3211" spans="1:6" x14ac:dyDescent="0.2">
      <c r="A3211" s="3">
        <v>45811</v>
      </c>
      <c r="B3211" s="43">
        <v>32284</v>
      </c>
      <c r="C3211" s="17" t="s">
        <v>9</v>
      </c>
      <c r="D3211" s="18">
        <v>607730.72</v>
      </c>
      <c r="E3211" s="19"/>
      <c r="F3211" s="15">
        <f t="shared" si="54"/>
        <v>112161018.41000001</v>
      </c>
    </row>
    <row r="3212" spans="1:6" x14ac:dyDescent="0.2">
      <c r="A3212" s="3">
        <v>45811</v>
      </c>
      <c r="B3212" s="43">
        <v>32298</v>
      </c>
      <c r="C3212" s="17" t="s">
        <v>9</v>
      </c>
      <c r="D3212" s="18">
        <v>945021.85</v>
      </c>
      <c r="E3212" s="19"/>
      <c r="F3212" s="15">
        <f t="shared" si="54"/>
        <v>111215996.56000002</v>
      </c>
    </row>
    <row r="3213" spans="1:6" x14ac:dyDescent="0.2">
      <c r="A3213" s="3">
        <v>45811</v>
      </c>
      <c r="B3213" s="43">
        <v>32185</v>
      </c>
      <c r="C3213" s="17" t="s">
        <v>9</v>
      </c>
      <c r="D3213" s="18">
        <v>1420434.4</v>
      </c>
      <c r="E3213" s="19"/>
      <c r="F3213" s="15">
        <f t="shared" si="54"/>
        <v>109795562.16000001</v>
      </c>
    </row>
    <row r="3214" spans="1:6" x14ac:dyDescent="0.2">
      <c r="A3214" s="3">
        <v>45811</v>
      </c>
      <c r="B3214" s="43">
        <v>32171</v>
      </c>
      <c r="C3214" s="17" t="s">
        <v>9</v>
      </c>
      <c r="D3214" s="18">
        <v>1585514</v>
      </c>
      <c r="E3214" s="19"/>
      <c r="F3214" s="15">
        <f t="shared" si="54"/>
        <v>108210048.16000001</v>
      </c>
    </row>
    <row r="3215" spans="1:6" x14ac:dyDescent="0.2">
      <c r="A3215" s="3">
        <v>45811</v>
      </c>
      <c r="B3215" s="43">
        <v>32155</v>
      </c>
      <c r="C3215" s="17" t="s">
        <v>9</v>
      </c>
      <c r="D3215" s="18">
        <v>3150574</v>
      </c>
      <c r="E3215" s="19"/>
      <c r="F3215" s="15">
        <f t="shared" si="54"/>
        <v>105059474.16000001</v>
      </c>
    </row>
    <row r="3216" spans="1:6" x14ac:dyDescent="0.2">
      <c r="A3216" s="3">
        <v>45811</v>
      </c>
      <c r="B3216" s="45"/>
      <c r="C3216" s="17" t="s">
        <v>468</v>
      </c>
      <c r="D3216" s="18">
        <v>121.58</v>
      </c>
      <c r="E3216" s="19"/>
      <c r="F3216" s="15">
        <f t="shared" si="54"/>
        <v>105059352.58000001</v>
      </c>
    </row>
    <row r="3217" spans="1:6" x14ac:dyDescent="0.2">
      <c r="A3217" s="3">
        <v>45811</v>
      </c>
      <c r="B3217" s="45"/>
      <c r="C3217" s="17" t="s">
        <v>227</v>
      </c>
      <c r="D3217" s="18">
        <v>25.53</v>
      </c>
      <c r="E3217" s="19"/>
      <c r="F3217" s="15">
        <f t="shared" si="54"/>
        <v>105059327.05000001</v>
      </c>
    </row>
    <row r="3218" spans="1:6" x14ac:dyDescent="0.2">
      <c r="A3218" s="3">
        <v>45811</v>
      </c>
      <c r="B3218" s="43">
        <v>41354424</v>
      </c>
      <c r="C3218" s="17" t="s">
        <v>469</v>
      </c>
      <c r="D3218" s="18">
        <v>52078.76</v>
      </c>
      <c r="E3218" s="19"/>
      <c r="F3218" s="15">
        <f t="shared" si="54"/>
        <v>105007248.29000001</v>
      </c>
    </row>
    <row r="3219" spans="1:6" x14ac:dyDescent="0.2">
      <c r="A3219" s="3">
        <v>45811</v>
      </c>
      <c r="B3219" s="43">
        <v>4093816</v>
      </c>
      <c r="C3219" s="20" t="s">
        <v>228</v>
      </c>
      <c r="D3219" s="18">
        <v>2185370</v>
      </c>
      <c r="E3219" s="19"/>
      <c r="F3219" s="15">
        <f t="shared" si="54"/>
        <v>102821878.29000001</v>
      </c>
    </row>
    <row r="3220" spans="1:6" x14ac:dyDescent="0.2">
      <c r="A3220" s="3">
        <v>45811</v>
      </c>
      <c r="B3220" s="44">
        <v>10290032</v>
      </c>
      <c r="C3220" s="57" t="s">
        <v>470</v>
      </c>
      <c r="D3220" s="23">
        <v>250000</v>
      </c>
      <c r="E3220" s="24"/>
      <c r="F3220" s="15">
        <f t="shared" si="54"/>
        <v>102571878.29000001</v>
      </c>
    </row>
    <row r="3221" spans="1:6" x14ac:dyDescent="0.2">
      <c r="A3221" s="3">
        <v>45811</v>
      </c>
      <c r="B3221" s="43">
        <v>4093826</v>
      </c>
      <c r="C3221" s="20" t="s">
        <v>471</v>
      </c>
      <c r="D3221" s="18">
        <v>61000</v>
      </c>
      <c r="E3221" s="19"/>
      <c r="F3221" s="15">
        <f t="shared" si="54"/>
        <v>102510878.29000001</v>
      </c>
    </row>
    <row r="3222" spans="1:6" x14ac:dyDescent="0.2">
      <c r="A3222" s="3">
        <v>45811</v>
      </c>
      <c r="B3222" s="43">
        <v>27085</v>
      </c>
      <c r="C3222" s="20" t="s">
        <v>11</v>
      </c>
      <c r="D3222" s="18">
        <v>13442689</v>
      </c>
      <c r="E3222" s="19"/>
      <c r="F3222" s="15">
        <f t="shared" si="54"/>
        <v>89068189.290000007</v>
      </c>
    </row>
    <row r="3223" spans="1:6" x14ac:dyDescent="0.2">
      <c r="A3223" s="3">
        <v>45811</v>
      </c>
      <c r="B3223" s="43">
        <v>98973003</v>
      </c>
      <c r="C3223" s="20" t="s">
        <v>472</v>
      </c>
      <c r="D3223" s="19"/>
      <c r="E3223" s="18">
        <v>19000</v>
      </c>
      <c r="F3223" s="15">
        <f t="shared" si="54"/>
        <v>89087189.290000007</v>
      </c>
    </row>
    <row r="3224" spans="1:6" x14ac:dyDescent="0.2">
      <c r="A3224" s="3">
        <v>45811</v>
      </c>
      <c r="B3224" s="43">
        <v>5385</v>
      </c>
      <c r="C3224" s="17" t="s">
        <v>150</v>
      </c>
      <c r="D3224" s="19"/>
      <c r="E3224" s="18">
        <v>272600</v>
      </c>
      <c r="F3224" s="15">
        <f t="shared" si="54"/>
        <v>89359789.290000007</v>
      </c>
    </row>
    <row r="3225" spans="1:6" x14ac:dyDescent="0.2">
      <c r="A3225" s="3">
        <v>45811</v>
      </c>
      <c r="B3225" s="43">
        <v>32183</v>
      </c>
      <c r="C3225" s="17" t="s">
        <v>12</v>
      </c>
      <c r="D3225" s="18">
        <v>532187.04</v>
      </c>
      <c r="E3225" s="19"/>
      <c r="F3225" s="15">
        <f t="shared" si="54"/>
        <v>88827602.25</v>
      </c>
    </row>
    <row r="3226" spans="1:6" x14ac:dyDescent="0.2">
      <c r="A3226" s="3">
        <v>45811</v>
      </c>
      <c r="B3226" s="43">
        <v>32106</v>
      </c>
      <c r="C3226" s="17" t="s">
        <v>12</v>
      </c>
      <c r="D3226" s="18">
        <v>8000000</v>
      </c>
      <c r="E3226" s="19"/>
      <c r="F3226" s="15">
        <f t="shared" si="54"/>
        <v>80827602.25</v>
      </c>
    </row>
    <row r="3227" spans="1:6" x14ac:dyDescent="0.2">
      <c r="A3227" s="3">
        <v>45811</v>
      </c>
      <c r="B3227" s="45"/>
      <c r="C3227" s="17" t="s">
        <v>13</v>
      </c>
      <c r="D3227" s="18">
        <v>70556427</v>
      </c>
      <c r="E3227" s="19"/>
      <c r="F3227" s="15">
        <f t="shared" si="54"/>
        <v>10271175.25</v>
      </c>
    </row>
    <row r="3228" spans="1:6" x14ac:dyDescent="0.2">
      <c r="A3228" s="3">
        <v>45811</v>
      </c>
      <c r="B3228" s="45"/>
      <c r="C3228" s="17" t="s">
        <v>232</v>
      </c>
      <c r="D3228" s="18">
        <v>988.06</v>
      </c>
      <c r="E3228" s="19"/>
      <c r="F3228" s="15">
        <f t="shared" si="54"/>
        <v>10270187.189999999</v>
      </c>
    </row>
    <row r="3229" spans="1:6" x14ac:dyDescent="0.2">
      <c r="A3229" s="3">
        <v>45811</v>
      </c>
      <c r="B3229" s="45"/>
      <c r="C3229" s="17" t="s">
        <v>14</v>
      </c>
      <c r="D3229" s="18">
        <v>4704.93</v>
      </c>
      <c r="E3229" s="19"/>
      <c r="F3229" s="15">
        <f t="shared" si="54"/>
        <v>10265482.26</v>
      </c>
    </row>
    <row r="3230" spans="1:6" x14ac:dyDescent="0.2">
      <c r="A3230" s="3">
        <v>45811</v>
      </c>
      <c r="B3230" s="45"/>
      <c r="C3230" s="17" t="s">
        <v>16</v>
      </c>
      <c r="D3230" s="18">
        <v>619983.84</v>
      </c>
      <c r="E3230" s="19"/>
      <c r="F3230" s="15">
        <f t="shared" si="54"/>
        <v>9645498.4199999999</v>
      </c>
    </row>
    <row r="3231" spans="1:6" x14ac:dyDescent="0.2">
      <c r="A3231" s="3">
        <v>45811</v>
      </c>
      <c r="B3231" s="45"/>
      <c r="C3231" s="17" t="s">
        <v>22</v>
      </c>
      <c r="D3231" s="18">
        <v>1749.6</v>
      </c>
      <c r="E3231" s="19"/>
      <c r="F3231" s="15">
        <f t="shared" si="54"/>
        <v>9643748.8200000003</v>
      </c>
    </row>
    <row r="3232" spans="1:6" x14ac:dyDescent="0.2">
      <c r="A3232" s="3">
        <v>45811</v>
      </c>
      <c r="B3232" s="45"/>
      <c r="C3232" s="20" t="s">
        <v>473</v>
      </c>
      <c r="D3232" s="18">
        <v>583.20000000000005</v>
      </c>
      <c r="E3232" s="19"/>
      <c r="F3232" s="15">
        <f t="shared" si="54"/>
        <v>9643165.620000001</v>
      </c>
    </row>
    <row r="3233" spans="1:6" x14ac:dyDescent="0.2">
      <c r="A3233" s="3">
        <v>45812</v>
      </c>
      <c r="B3233" s="43">
        <v>5385</v>
      </c>
      <c r="C3233" s="17" t="s">
        <v>24</v>
      </c>
      <c r="D3233" s="19"/>
      <c r="E3233" s="18">
        <v>49742.6</v>
      </c>
      <c r="F3233" s="15">
        <f t="shared" si="54"/>
        <v>9692908.2200000007</v>
      </c>
    </row>
    <row r="3234" spans="1:6" x14ac:dyDescent="0.2">
      <c r="A3234" s="3">
        <v>45812</v>
      </c>
      <c r="B3234" s="43">
        <v>32277</v>
      </c>
      <c r="C3234" s="17" t="s">
        <v>9</v>
      </c>
      <c r="D3234" s="18">
        <v>350000</v>
      </c>
      <c r="E3234" s="19"/>
      <c r="F3234" s="15">
        <f t="shared" si="54"/>
        <v>9342908.2200000007</v>
      </c>
    </row>
    <row r="3235" spans="1:6" x14ac:dyDescent="0.2">
      <c r="A3235" s="3">
        <v>45812</v>
      </c>
      <c r="B3235" s="43">
        <v>32272</v>
      </c>
      <c r="C3235" s="17" t="s">
        <v>9</v>
      </c>
      <c r="D3235" s="18">
        <v>431967.95</v>
      </c>
      <c r="E3235" s="19"/>
      <c r="F3235" s="15">
        <f t="shared" si="54"/>
        <v>8910940.2700000014</v>
      </c>
    </row>
    <row r="3236" spans="1:6" x14ac:dyDescent="0.2">
      <c r="A3236" s="3">
        <v>45812</v>
      </c>
      <c r="B3236" s="43">
        <v>32259</v>
      </c>
      <c r="C3236" s="17" t="s">
        <v>9</v>
      </c>
      <c r="D3236" s="18">
        <v>924214.58</v>
      </c>
      <c r="E3236" s="19"/>
      <c r="F3236" s="15">
        <f t="shared" si="54"/>
        <v>7986725.6900000013</v>
      </c>
    </row>
    <row r="3237" spans="1:6" x14ac:dyDescent="0.2">
      <c r="A3237" s="3">
        <v>45812</v>
      </c>
      <c r="B3237" s="45"/>
      <c r="C3237" s="17" t="s">
        <v>468</v>
      </c>
      <c r="D3237" s="18">
        <v>24000</v>
      </c>
      <c r="E3237" s="19"/>
      <c r="F3237" s="15">
        <f t="shared" si="54"/>
        <v>7962725.6900000013</v>
      </c>
    </row>
    <row r="3238" spans="1:6" x14ac:dyDescent="0.2">
      <c r="A3238" s="3">
        <v>45812</v>
      </c>
      <c r="B3238" s="45"/>
      <c r="C3238" s="17" t="s">
        <v>36</v>
      </c>
      <c r="D3238" s="18">
        <v>360</v>
      </c>
      <c r="E3238" s="19"/>
      <c r="F3238" s="15">
        <f t="shared" si="54"/>
        <v>7962365.6900000013</v>
      </c>
    </row>
    <row r="3239" spans="1:6" x14ac:dyDescent="0.2">
      <c r="A3239" s="3">
        <v>45812</v>
      </c>
      <c r="B3239" s="45"/>
      <c r="C3239" s="17" t="s">
        <v>227</v>
      </c>
      <c r="D3239" s="18">
        <v>5040</v>
      </c>
      <c r="E3239" s="19"/>
      <c r="F3239" s="15">
        <f t="shared" si="54"/>
        <v>7957325.6900000013</v>
      </c>
    </row>
    <row r="3240" spans="1:6" x14ac:dyDescent="0.2">
      <c r="A3240" s="3">
        <v>45812</v>
      </c>
      <c r="B3240" s="45"/>
      <c r="C3240" s="17" t="s">
        <v>37</v>
      </c>
      <c r="D3240" s="18">
        <v>720</v>
      </c>
      <c r="E3240" s="19"/>
      <c r="F3240" s="15">
        <f t="shared" si="54"/>
        <v>7956605.6900000013</v>
      </c>
    </row>
    <row r="3241" spans="1:6" x14ac:dyDescent="0.2">
      <c r="A3241" s="3">
        <v>45812</v>
      </c>
      <c r="B3241" s="45"/>
      <c r="C3241" s="17" t="s">
        <v>474</v>
      </c>
      <c r="D3241" s="18">
        <v>1589.33</v>
      </c>
      <c r="E3241" s="19"/>
      <c r="F3241" s="15">
        <f t="shared" si="54"/>
        <v>7955016.3600000013</v>
      </c>
    </row>
    <row r="3242" spans="1:6" x14ac:dyDescent="0.2">
      <c r="A3242" s="3">
        <v>45812</v>
      </c>
      <c r="B3242" s="45"/>
      <c r="C3242" s="17" t="s">
        <v>227</v>
      </c>
      <c r="D3242" s="18">
        <v>333.76</v>
      </c>
      <c r="E3242" s="19"/>
      <c r="F3242" s="15">
        <f t="shared" si="54"/>
        <v>7954682.6000000015</v>
      </c>
    </row>
    <row r="3243" spans="1:6" x14ac:dyDescent="0.2">
      <c r="A3243" s="3">
        <v>45812</v>
      </c>
      <c r="B3243" s="43">
        <v>76206233</v>
      </c>
      <c r="C3243" s="20" t="s">
        <v>475</v>
      </c>
      <c r="D3243" s="19"/>
      <c r="E3243" s="18">
        <v>24300</v>
      </c>
      <c r="F3243" s="15">
        <f t="shared" si="54"/>
        <v>7978982.6000000015</v>
      </c>
    </row>
    <row r="3244" spans="1:6" x14ac:dyDescent="0.2">
      <c r="A3244" s="3">
        <v>45812</v>
      </c>
      <c r="B3244" s="45"/>
      <c r="C3244" s="17" t="s">
        <v>22</v>
      </c>
      <c r="D3244" s="18">
        <v>444.26</v>
      </c>
      <c r="E3244" s="19"/>
      <c r="F3244" s="15">
        <f t="shared" si="54"/>
        <v>7978538.3400000017</v>
      </c>
    </row>
    <row r="3245" spans="1:6" x14ac:dyDescent="0.2">
      <c r="A3245" s="3">
        <v>45812</v>
      </c>
      <c r="B3245" s="45"/>
      <c r="C3245" s="17" t="s">
        <v>16</v>
      </c>
      <c r="D3245" s="18">
        <v>10432.86</v>
      </c>
      <c r="E3245" s="19"/>
      <c r="F3245" s="15">
        <f t="shared" si="54"/>
        <v>7968105.4800000014</v>
      </c>
    </row>
    <row r="3246" spans="1:6" x14ac:dyDescent="0.2">
      <c r="A3246" s="3">
        <v>45812</v>
      </c>
      <c r="B3246" s="45"/>
      <c r="C3246" s="20" t="s">
        <v>476</v>
      </c>
      <c r="D3246" s="18">
        <v>148.09</v>
      </c>
      <c r="E3246" s="19"/>
      <c r="F3246" s="15">
        <f t="shared" si="54"/>
        <v>7967957.3900000015</v>
      </c>
    </row>
    <row r="3247" spans="1:6" x14ac:dyDescent="0.2">
      <c r="A3247" s="3">
        <v>45813</v>
      </c>
      <c r="B3247" s="51"/>
      <c r="C3247" s="58" t="s">
        <v>468</v>
      </c>
      <c r="D3247" s="48">
        <v>3635.6</v>
      </c>
      <c r="E3247" s="49"/>
      <c r="F3247" s="15">
        <f t="shared" si="54"/>
        <v>7964321.7900000019</v>
      </c>
    </row>
    <row r="3248" spans="1:6" x14ac:dyDescent="0.2">
      <c r="A3248" s="3">
        <v>45813</v>
      </c>
      <c r="B3248" s="50"/>
      <c r="C3248" s="59" t="s">
        <v>36</v>
      </c>
      <c r="D3248" s="23">
        <v>54.53</v>
      </c>
      <c r="E3248" s="24"/>
      <c r="F3248" s="15">
        <f t="shared" si="54"/>
        <v>7964267.2600000016</v>
      </c>
    </row>
    <row r="3249" spans="1:6" x14ac:dyDescent="0.2">
      <c r="A3249" s="3">
        <v>45813</v>
      </c>
      <c r="B3249" s="45"/>
      <c r="C3249" s="17" t="s">
        <v>227</v>
      </c>
      <c r="D3249" s="18">
        <v>763.48</v>
      </c>
      <c r="E3249" s="19"/>
      <c r="F3249" s="15">
        <f t="shared" si="54"/>
        <v>7963503.7800000012</v>
      </c>
    </row>
    <row r="3250" spans="1:6" x14ac:dyDescent="0.2">
      <c r="A3250" s="3">
        <v>45813</v>
      </c>
      <c r="B3250" s="45"/>
      <c r="C3250" s="17" t="s">
        <v>37</v>
      </c>
      <c r="D3250" s="18">
        <v>109.07</v>
      </c>
      <c r="E3250" s="19"/>
      <c r="F3250" s="15">
        <f t="shared" ref="F3250:F3313" si="55">+F3249+E3250-D3250</f>
        <v>7963394.7100000009</v>
      </c>
    </row>
    <row r="3251" spans="1:6" x14ac:dyDescent="0.2">
      <c r="A3251" s="3">
        <v>45813</v>
      </c>
      <c r="B3251" s="43">
        <v>4007663</v>
      </c>
      <c r="C3251" s="20" t="s">
        <v>19</v>
      </c>
      <c r="D3251" s="18">
        <v>4132637.28</v>
      </c>
      <c r="E3251" s="19"/>
      <c r="F3251" s="15">
        <f t="shared" si="55"/>
        <v>3830757.4300000011</v>
      </c>
    </row>
    <row r="3252" spans="1:6" x14ac:dyDescent="0.2">
      <c r="A3252" s="3">
        <v>45813</v>
      </c>
      <c r="B3252" s="43">
        <v>4007665</v>
      </c>
      <c r="C3252" s="20" t="s">
        <v>115</v>
      </c>
      <c r="D3252" s="18">
        <v>1379630</v>
      </c>
      <c r="E3252" s="19"/>
      <c r="F3252" s="15">
        <f t="shared" si="55"/>
        <v>2451127.4300000011</v>
      </c>
    </row>
    <row r="3253" spans="1:6" x14ac:dyDescent="0.2">
      <c r="A3253" s="3">
        <v>45813</v>
      </c>
      <c r="B3253" s="45"/>
      <c r="C3253" s="17" t="s">
        <v>16</v>
      </c>
      <c r="D3253" s="18">
        <v>33101.86</v>
      </c>
      <c r="E3253" s="19"/>
      <c r="F3253" s="15">
        <f t="shared" si="55"/>
        <v>2418025.5700000012</v>
      </c>
    </row>
    <row r="3254" spans="1:6" x14ac:dyDescent="0.2">
      <c r="A3254" s="3">
        <v>45813</v>
      </c>
      <c r="B3254" s="43">
        <v>13071</v>
      </c>
      <c r="C3254" s="20" t="s">
        <v>477</v>
      </c>
      <c r="D3254" s="18">
        <v>1485</v>
      </c>
      <c r="E3254" s="19"/>
      <c r="F3254" s="15">
        <f t="shared" si="55"/>
        <v>2416540.5700000012</v>
      </c>
    </row>
    <row r="3255" spans="1:6" x14ac:dyDescent="0.2">
      <c r="A3255" s="3">
        <v>45813</v>
      </c>
      <c r="B3255" s="43">
        <v>13071</v>
      </c>
      <c r="C3255" s="17" t="s">
        <v>227</v>
      </c>
      <c r="D3255" s="18">
        <v>311.85000000000002</v>
      </c>
      <c r="E3255" s="19"/>
      <c r="F3255" s="15">
        <f t="shared" si="55"/>
        <v>2416228.7200000011</v>
      </c>
    </row>
    <row r="3256" spans="1:6" x14ac:dyDescent="0.2">
      <c r="A3256" s="3">
        <v>45814</v>
      </c>
      <c r="B3256" s="43">
        <v>32273</v>
      </c>
      <c r="C3256" s="17" t="s">
        <v>9</v>
      </c>
      <c r="D3256" s="18">
        <v>416524.86</v>
      </c>
      <c r="E3256" s="19"/>
      <c r="F3256" s="15">
        <f t="shared" si="55"/>
        <v>1999703.8600000013</v>
      </c>
    </row>
    <row r="3257" spans="1:6" x14ac:dyDescent="0.2">
      <c r="A3257" s="3">
        <v>45814</v>
      </c>
      <c r="B3257" s="43">
        <v>2523</v>
      </c>
      <c r="C3257" s="20" t="s">
        <v>76</v>
      </c>
      <c r="D3257" s="18">
        <v>159785</v>
      </c>
      <c r="E3257" s="19"/>
      <c r="F3257" s="15">
        <f t="shared" si="55"/>
        <v>1839918.8600000013</v>
      </c>
    </row>
    <row r="3258" spans="1:6" x14ac:dyDescent="0.2">
      <c r="A3258" s="3">
        <v>45814</v>
      </c>
      <c r="B3258" s="43">
        <v>750358</v>
      </c>
      <c r="C3258" s="20" t="s">
        <v>478</v>
      </c>
      <c r="D3258" s="19"/>
      <c r="E3258" s="18">
        <v>36042.730000000003</v>
      </c>
      <c r="F3258" s="15">
        <f t="shared" si="55"/>
        <v>1875961.5900000012</v>
      </c>
    </row>
    <row r="3259" spans="1:6" x14ac:dyDescent="0.2">
      <c r="A3259" s="3">
        <v>45814</v>
      </c>
      <c r="B3259" s="45"/>
      <c r="C3259" s="17" t="s">
        <v>22</v>
      </c>
      <c r="D3259" s="18">
        <v>216.26</v>
      </c>
      <c r="E3259" s="19"/>
      <c r="F3259" s="15">
        <f t="shared" si="55"/>
        <v>1875745.3300000012</v>
      </c>
    </row>
    <row r="3260" spans="1:6" x14ac:dyDescent="0.2">
      <c r="A3260" s="3">
        <v>45814</v>
      </c>
      <c r="B3260" s="45"/>
      <c r="C3260" s="17" t="s">
        <v>16</v>
      </c>
      <c r="D3260" s="18">
        <v>3468.64</v>
      </c>
      <c r="E3260" s="19"/>
      <c r="F3260" s="15">
        <f t="shared" si="55"/>
        <v>1872276.6900000013</v>
      </c>
    </row>
    <row r="3261" spans="1:6" x14ac:dyDescent="0.2">
      <c r="A3261" s="3">
        <v>45814</v>
      </c>
      <c r="B3261" s="45"/>
      <c r="C3261" s="20" t="s">
        <v>479</v>
      </c>
      <c r="D3261" s="18">
        <v>72.09</v>
      </c>
      <c r="E3261" s="19"/>
      <c r="F3261" s="15">
        <f t="shared" si="55"/>
        <v>1872204.6000000013</v>
      </c>
    </row>
    <row r="3262" spans="1:6" x14ac:dyDescent="0.2">
      <c r="A3262" s="3">
        <v>45815</v>
      </c>
      <c r="B3262" s="43">
        <v>23085544</v>
      </c>
      <c r="C3262" s="20" t="s">
        <v>480</v>
      </c>
      <c r="D3262" s="19"/>
      <c r="E3262" s="18">
        <v>16000</v>
      </c>
      <c r="F3262" s="15">
        <f t="shared" si="55"/>
        <v>1888204.6000000013</v>
      </c>
    </row>
    <row r="3263" spans="1:6" x14ac:dyDescent="0.2">
      <c r="A3263" s="3">
        <v>45817</v>
      </c>
      <c r="B3263" s="43">
        <v>32304</v>
      </c>
      <c r="C3263" s="17" t="s">
        <v>9</v>
      </c>
      <c r="D3263" s="18">
        <v>295912.24</v>
      </c>
      <c r="E3263" s="19"/>
      <c r="F3263" s="15">
        <f t="shared" si="55"/>
        <v>1592292.3600000013</v>
      </c>
    </row>
    <row r="3264" spans="1:6" x14ac:dyDescent="0.2">
      <c r="A3264" s="3">
        <v>45817</v>
      </c>
      <c r="B3264" s="43">
        <v>32157</v>
      </c>
      <c r="C3264" s="17" t="s">
        <v>9</v>
      </c>
      <c r="D3264" s="18">
        <v>4593589</v>
      </c>
      <c r="E3264" s="19"/>
      <c r="F3264" s="15">
        <f t="shared" si="55"/>
        <v>-3001296.6399999987</v>
      </c>
    </row>
    <row r="3265" spans="1:6" x14ac:dyDescent="0.2">
      <c r="A3265" s="3">
        <v>45817</v>
      </c>
      <c r="B3265" s="45"/>
      <c r="C3265" s="20" t="s">
        <v>481</v>
      </c>
      <c r="D3265" s="18">
        <v>17050.89</v>
      </c>
      <c r="E3265" s="19"/>
      <c r="F3265" s="15">
        <f t="shared" si="55"/>
        <v>-3018347.5299999989</v>
      </c>
    </row>
    <row r="3266" spans="1:6" x14ac:dyDescent="0.2">
      <c r="A3266" s="3">
        <v>45817</v>
      </c>
      <c r="B3266" s="45"/>
      <c r="C3266" s="17" t="s">
        <v>36</v>
      </c>
      <c r="D3266" s="18">
        <v>255.76</v>
      </c>
      <c r="E3266" s="19"/>
      <c r="F3266" s="15">
        <f t="shared" si="55"/>
        <v>-3018603.2899999986</v>
      </c>
    </row>
    <row r="3267" spans="1:6" x14ac:dyDescent="0.2">
      <c r="A3267" s="3">
        <v>45817</v>
      </c>
      <c r="B3267" s="45"/>
      <c r="C3267" s="17" t="s">
        <v>339</v>
      </c>
      <c r="D3267" s="18">
        <v>1790.34</v>
      </c>
      <c r="E3267" s="19"/>
      <c r="F3267" s="15">
        <f t="shared" si="55"/>
        <v>-3020393.6299999985</v>
      </c>
    </row>
    <row r="3268" spans="1:6" x14ac:dyDescent="0.2">
      <c r="A3268" s="3">
        <v>45817</v>
      </c>
      <c r="B3268" s="45"/>
      <c r="C3268" s="17" t="s">
        <v>153</v>
      </c>
      <c r="D3268" s="18">
        <v>255.76</v>
      </c>
      <c r="E3268" s="19"/>
      <c r="F3268" s="15">
        <f t="shared" si="55"/>
        <v>-3020649.3899999983</v>
      </c>
    </row>
    <row r="3269" spans="1:6" x14ac:dyDescent="0.2">
      <c r="A3269" s="3">
        <v>45817</v>
      </c>
      <c r="B3269" s="45"/>
      <c r="C3269" s="17" t="s">
        <v>154</v>
      </c>
      <c r="D3269" s="18">
        <v>240.72</v>
      </c>
      <c r="E3269" s="19"/>
      <c r="F3269" s="15">
        <f t="shared" si="55"/>
        <v>-3020890.1099999985</v>
      </c>
    </row>
    <row r="3270" spans="1:6" x14ac:dyDescent="0.2">
      <c r="A3270" s="3">
        <v>45817</v>
      </c>
      <c r="B3270" s="43">
        <v>955486</v>
      </c>
      <c r="C3270" s="20" t="s">
        <v>90</v>
      </c>
      <c r="D3270" s="25"/>
      <c r="E3270" s="25">
        <v>5000000</v>
      </c>
      <c r="F3270" s="15">
        <f t="shared" si="55"/>
        <v>1979109.8900000015</v>
      </c>
    </row>
    <row r="3271" spans="1:6" x14ac:dyDescent="0.2">
      <c r="A3271" s="3">
        <v>45817</v>
      </c>
      <c r="B3271" s="43">
        <v>8350769</v>
      </c>
      <c r="C3271" s="20" t="s">
        <v>482</v>
      </c>
      <c r="D3271" s="19"/>
      <c r="E3271" s="18">
        <v>27532.48</v>
      </c>
      <c r="F3271" s="15">
        <f t="shared" si="55"/>
        <v>2006642.3700000015</v>
      </c>
    </row>
    <row r="3272" spans="1:6" x14ac:dyDescent="0.2">
      <c r="A3272" s="3">
        <v>45817</v>
      </c>
      <c r="B3272" s="43">
        <v>93132053</v>
      </c>
      <c r="C3272" s="20" t="s">
        <v>483</v>
      </c>
      <c r="D3272" s="19"/>
      <c r="E3272" s="18">
        <v>16900</v>
      </c>
      <c r="F3272" s="15">
        <f t="shared" si="55"/>
        <v>2023542.3700000015</v>
      </c>
    </row>
    <row r="3273" spans="1:6" x14ac:dyDescent="0.2">
      <c r="A3273" s="3">
        <v>45817</v>
      </c>
      <c r="B3273" s="45"/>
      <c r="C3273" s="17" t="s">
        <v>22</v>
      </c>
      <c r="D3273" s="18">
        <v>30362.59</v>
      </c>
      <c r="E3273" s="19"/>
      <c r="F3273" s="15">
        <f t="shared" si="55"/>
        <v>1993179.7800000014</v>
      </c>
    </row>
    <row r="3274" spans="1:6" x14ac:dyDescent="0.2">
      <c r="A3274" s="3">
        <v>45817</v>
      </c>
      <c r="B3274" s="51"/>
      <c r="C3274" s="58" t="s">
        <v>16</v>
      </c>
      <c r="D3274" s="48">
        <v>29454.98</v>
      </c>
      <c r="E3274" s="49"/>
      <c r="F3274" s="15">
        <f t="shared" si="55"/>
        <v>1963724.8000000014</v>
      </c>
    </row>
    <row r="3275" spans="1:6" x14ac:dyDescent="0.2">
      <c r="A3275" s="3">
        <v>45817</v>
      </c>
      <c r="B3275" s="50"/>
      <c r="C3275" s="57" t="s">
        <v>484</v>
      </c>
      <c r="D3275" s="23">
        <v>10120.86</v>
      </c>
      <c r="E3275" s="24"/>
      <c r="F3275" s="15">
        <f t="shared" si="55"/>
        <v>1953603.9400000013</v>
      </c>
    </row>
    <row r="3276" spans="1:6" x14ac:dyDescent="0.2">
      <c r="A3276" s="3">
        <v>45818</v>
      </c>
      <c r="B3276" s="43">
        <v>32363</v>
      </c>
      <c r="C3276" s="17" t="s">
        <v>9</v>
      </c>
      <c r="D3276" s="18">
        <v>887637.02</v>
      </c>
      <c r="E3276" s="19"/>
      <c r="F3276" s="15">
        <f t="shared" si="55"/>
        <v>1065966.9200000013</v>
      </c>
    </row>
    <row r="3277" spans="1:6" x14ac:dyDescent="0.2">
      <c r="A3277" s="3">
        <v>45818</v>
      </c>
      <c r="B3277" s="43">
        <v>844182</v>
      </c>
      <c r="C3277" s="20" t="s">
        <v>485</v>
      </c>
      <c r="D3277" s="19"/>
      <c r="E3277" s="18">
        <v>20694.37</v>
      </c>
      <c r="F3277" s="15">
        <f t="shared" si="55"/>
        <v>1086661.2900000014</v>
      </c>
    </row>
    <row r="3278" spans="1:6" x14ac:dyDescent="0.2">
      <c r="A3278" s="3">
        <v>45818</v>
      </c>
      <c r="B3278" s="45"/>
      <c r="C3278" s="17" t="s">
        <v>16</v>
      </c>
      <c r="D3278" s="18">
        <v>5386.55</v>
      </c>
      <c r="E3278" s="19"/>
      <c r="F3278" s="15">
        <f t="shared" si="55"/>
        <v>1081274.7400000014</v>
      </c>
    </row>
    <row r="3279" spans="1:6" x14ac:dyDescent="0.2">
      <c r="A3279" s="3">
        <v>45818</v>
      </c>
      <c r="B3279" s="45"/>
      <c r="C3279" s="17" t="s">
        <v>22</v>
      </c>
      <c r="D3279" s="18">
        <v>124.17</v>
      </c>
      <c r="E3279" s="19"/>
      <c r="F3279" s="15">
        <f t="shared" si="55"/>
        <v>1081150.5700000015</v>
      </c>
    </row>
    <row r="3280" spans="1:6" x14ac:dyDescent="0.2">
      <c r="A3280" s="3">
        <v>45818</v>
      </c>
      <c r="B3280" s="45"/>
      <c r="C3280" s="20" t="s">
        <v>486</v>
      </c>
      <c r="D3280" s="18">
        <v>41.39</v>
      </c>
      <c r="E3280" s="19"/>
      <c r="F3280" s="15">
        <f t="shared" si="55"/>
        <v>1081109.1800000016</v>
      </c>
    </row>
    <row r="3281" spans="1:6" x14ac:dyDescent="0.2">
      <c r="A3281" s="3">
        <v>45819</v>
      </c>
      <c r="B3281" s="43">
        <v>32006</v>
      </c>
      <c r="C3281" s="17" t="s">
        <v>9</v>
      </c>
      <c r="D3281" s="18">
        <v>5967444.8300000001</v>
      </c>
      <c r="E3281" s="19"/>
      <c r="F3281" s="15">
        <f t="shared" si="55"/>
        <v>-4886335.6499999985</v>
      </c>
    </row>
    <row r="3282" spans="1:6" x14ac:dyDescent="0.2">
      <c r="A3282" s="3">
        <v>45819</v>
      </c>
      <c r="B3282" s="43">
        <v>761415</v>
      </c>
      <c r="C3282" s="20" t="s">
        <v>90</v>
      </c>
      <c r="D3282" s="25"/>
      <c r="E3282" s="25">
        <v>6000000</v>
      </c>
      <c r="F3282" s="15">
        <f t="shared" si="55"/>
        <v>1113664.3500000015</v>
      </c>
    </row>
    <row r="3283" spans="1:6" x14ac:dyDescent="0.2">
      <c r="A3283" s="3">
        <v>45819</v>
      </c>
      <c r="B3283" s="43">
        <v>11140</v>
      </c>
      <c r="C3283" s="20" t="s">
        <v>21</v>
      </c>
      <c r="D3283" s="19"/>
      <c r="E3283" s="18">
        <v>104055.73</v>
      </c>
      <c r="F3283" s="15">
        <f t="shared" si="55"/>
        <v>1217720.0800000015</v>
      </c>
    </row>
    <row r="3284" spans="1:6" x14ac:dyDescent="0.2">
      <c r="A3284" s="3">
        <v>45819</v>
      </c>
      <c r="B3284" s="45"/>
      <c r="C3284" s="17" t="s">
        <v>16</v>
      </c>
      <c r="D3284" s="18">
        <v>35804.92</v>
      </c>
      <c r="E3284" s="19"/>
      <c r="F3284" s="15">
        <f t="shared" si="55"/>
        <v>1181915.1600000015</v>
      </c>
    </row>
    <row r="3285" spans="1:6" x14ac:dyDescent="0.2">
      <c r="A3285" s="3">
        <v>45819</v>
      </c>
      <c r="B3285" s="45"/>
      <c r="C3285" s="17" t="s">
        <v>22</v>
      </c>
      <c r="D3285" s="18">
        <v>36624.33</v>
      </c>
      <c r="E3285" s="19"/>
      <c r="F3285" s="15">
        <f t="shared" si="55"/>
        <v>1145290.8300000015</v>
      </c>
    </row>
    <row r="3286" spans="1:6" x14ac:dyDescent="0.2">
      <c r="A3286" s="3">
        <v>45819</v>
      </c>
      <c r="B3286" s="45"/>
      <c r="C3286" s="20" t="s">
        <v>487</v>
      </c>
      <c r="D3286" s="18">
        <v>12208.11</v>
      </c>
      <c r="E3286" s="19"/>
      <c r="F3286" s="15">
        <f t="shared" si="55"/>
        <v>1133082.7200000014</v>
      </c>
    </row>
    <row r="3287" spans="1:6" x14ac:dyDescent="0.2">
      <c r="A3287" s="3">
        <v>45820</v>
      </c>
      <c r="B3287" s="43">
        <v>32214</v>
      </c>
      <c r="C3287" s="17" t="s">
        <v>9</v>
      </c>
      <c r="D3287" s="18">
        <v>274100</v>
      </c>
      <c r="E3287" s="19"/>
      <c r="F3287" s="15">
        <f t="shared" si="55"/>
        <v>858982.72000000137</v>
      </c>
    </row>
    <row r="3288" spans="1:6" x14ac:dyDescent="0.2">
      <c r="A3288" s="3">
        <v>45820</v>
      </c>
      <c r="B3288" s="45"/>
      <c r="C3288" s="17" t="s">
        <v>468</v>
      </c>
      <c r="D3288" s="18">
        <v>18103.78</v>
      </c>
      <c r="E3288" s="19"/>
      <c r="F3288" s="15">
        <f t="shared" si="55"/>
        <v>840878.94000000134</v>
      </c>
    </row>
    <row r="3289" spans="1:6" x14ac:dyDescent="0.2">
      <c r="A3289" s="3">
        <v>45820</v>
      </c>
      <c r="B3289" s="45"/>
      <c r="C3289" s="17" t="s">
        <v>36</v>
      </c>
      <c r="D3289" s="18">
        <v>271.56</v>
      </c>
      <c r="E3289" s="19"/>
      <c r="F3289" s="15">
        <f t="shared" si="55"/>
        <v>840607.38000000129</v>
      </c>
    </row>
    <row r="3290" spans="1:6" x14ac:dyDescent="0.2">
      <c r="A3290" s="3">
        <v>45820</v>
      </c>
      <c r="B3290" s="45"/>
      <c r="C3290" s="17" t="s">
        <v>227</v>
      </c>
      <c r="D3290" s="18">
        <v>3801.79</v>
      </c>
      <c r="E3290" s="19"/>
      <c r="F3290" s="15">
        <f t="shared" si="55"/>
        <v>836805.59000000125</v>
      </c>
    </row>
    <row r="3291" spans="1:6" x14ac:dyDescent="0.2">
      <c r="A3291" s="3">
        <v>45820</v>
      </c>
      <c r="B3291" s="45"/>
      <c r="C3291" s="17" t="s">
        <v>37</v>
      </c>
      <c r="D3291" s="18">
        <v>543.11</v>
      </c>
      <c r="E3291" s="19"/>
      <c r="F3291" s="15">
        <f t="shared" si="55"/>
        <v>836262.48000000126</v>
      </c>
    </row>
    <row r="3292" spans="1:6" x14ac:dyDescent="0.2">
      <c r="A3292" s="3">
        <v>45820</v>
      </c>
      <c r="B3292" s="45"/>
      <c r="C3292" s="17" t="s">
        <v>16</v>
      </c>
      <c r="D3292" s="18">
        <v>1854.17</v>
      </c>
      <c r="E3292" s="19"/>
      <c r="F3292" s="15">
        <f t="shared" si="55"/>
        <v>834408.31000000122</v>
      </c>
    </row>
    <row r="3293" spans="1:6" x14ac:dyDescent="0.2">
      <c r="A3293" s="3">
        <v>45821</v>
      </c>
      <c r="B3293" s="43">
        <v>17894</v>
      </c>
      <c r="C3293" s="20" t="s">
        <v>217</v>
      </c>
      <c r="D3293" s="25"/>
      <c r="E3293" s="25">
        <v>50000000</v>
      </c>
      <c r="F3293" s="15">
        <f t="shared" si="55"/>
        <v>50834408.310000002</v>
      </c>
    </row>
    <row r="3294" spans="1:6" x14ac:dyDescent="0.2">
      <c r="A3294" s="3">
        <v>45821</v>
      </c>
      <c r="B3294" s="43">
        <v>4069616</v>
      </c>
      <c r="C3294" s="20" t="s">
        <v>362</v>
      </c>
      <c r="D3294" s="18">
        <v>120000</v>
      </c>
      <c r="E3294" s="19"/>
      <c r="F3294" s="15">
        <f t="shared" si="55"/>
        <v>50714408.310000002</v>
      </c>
    </row>
    <row r="3295" spans="1:6" x14ac:dyDescent="0.2">
      <c r="A3295" s="3">
        <v>45821</v>
      </c>
      <c r="B3295" s="43">
        <v>4069618</v>
      </c>
      <c r="C3295" s="20" t="s">
        <v>33</v>
      </c>
      <c r="D3295" s="18">
        <v>1567000</v>
      </c>
      <c r="E3295" s="19"/>
      <c r="F3295" s="15">
        <f t="shared" si="55"/>
        <v>49147408.310000002</v>
      </c>
    </row>
    <row r="3296" spans="1:6" x14ac:dyDescent="0.2">
      <c r="A3296" s="3">
        <v>45821</v>
      </c>
      <c r="B3296" s="43">
        <v>4069619</v>
      </c>
      <c r="C3296" s="20" t="s">
        <v>205</v>
      </c>
      <c r="D3296" s="18">
        <v>1815000</v>
      </c>
      <c r="E3296" s="19"/>
      <c r="F3296" s="15">
        <f t="shared" si="55"/>
        <v>47332408.310000002</v>
      </c>
    </row>
    <row r="3297" spans="1:6" x14ac:dyDescent="0.2">
      <c r="A3297" s="3">
        <v>45821</v>
      </c>
      <c r="B3297" s="43">
        <v>35938</v>
      </c>
      <c r="C3297" s="20" t="s">
        <v>11</v>
      </c>
      <c r="D3297" s="18">
        <v>1799068</v>
      </c>
      <c r="E3297" s="19"/>
      <c r="F3297" s="15">
        <f t="shared" si="55"/>
        <v>45533340.310000002</v>
      </c>
    </row>
    <row r="3298" spans="1:6" x14ac:dyDescent="0.2">
      <c r="A3298" s="3">
        <v>45821</v>
      </c>
      <c r="B3298" s="45"/>
      <c r="C3298" s="17" t="s">
        <v>13</v>
      </c>
      <c r="D3298" s="18">
        <v>23853076</v>
      </c>
      <c r="E3298" s="19"/>
      <c r="F3298" s="15">
        <f t="shared" si="55"/>
        <v>21680264.310000002</v>
      </c>
    </row>
    <row r="3299" spans="1:6" x14ac:dyDescent="0.2">
      <c r="A3299" s="3">
        <v>45821</v>
      </c>
      <c r="B3299" s="45"/>
      <c r="C3299" s="17" t="s">
        <v>14</v>
      </c>
      <c r="D3299" s="18">
        <v>629.67999999999995</v>
      </c>
      <c r="E3299" s="19"/>
      <c r="F3299" s="15">
        <f t="shared" si="55"/>
        <v>21679634.630000003</v>
      </c>
    </row>
    <row r="3300" spans="1:6" x14ac:dyDescent="0.2">
      <c r="A3300" s="3">
        <v>45821</v>
      </c>
      <c r="B3300" s="45"/>
      <c r="C3300" s="17" t="s">
        <v>232</v>
      </c>
      <c r="D3300" s="18">
        <v>132.22</v>
      </c>
      <c r="E3300" s="19"/>
      <c r="F3300" s="15">
        <f t="shared" si="55"/>
        <v>21679502.410000004</v>
      </c>
    </row>
    <row r="3301" spans="1:6" x14ac:dyDescent="0.2">
      <c r="A3301" s="3">
        <v>45821</v>
      </c>
      <c r="B3301" s="51"/>
      <c r="C3301" s="58" t="s">
        <v>16</v>
      </c>
      <c r="D3301" s="48">
        <v>174929.44</v>
      </c>
      <c r="E3301" s="49"/>
      <c r="F3301" s="15">
        <f t="shared" si="55"/>
        <v>21504572.970000003</v>
      </c>
    </row>
    <row r="3302" spans="1:6" x14ac:dyDescent="0.2">
      <c r="A3302" s="3">
        <v>45825</v>
      </c>
      <c r="B3302" s="44">
        <v>32212</v>
      </c>
      <c r="C3302" s="59" t="s">
        <v>9</v>
      </c>
      <c r="D3302" s="23">
        <v>409000</v>
      </c>
      <c r="E3302" s="24"/>
      <c r="F3302" s="15">
        <f t="shared" si="55"/>
        <v>21095572.970000003</v>
      </c>
    </row>
    <row r="3303" spans="1:6" x14ac:dyDescent="0.2">
      <c r="A3303" s="3">
        <v>45825</v>
      </c>
      <c r="B3303" s="45"/>
      <c r="C3303" s="17" t="s">
        <v>468</v>
      </c>
      <c r="D3303" s="18">
        <v>24000</v>
      </c>
      <c r="E3303" s="19"/>
      <c r="F3303" s="15">
        <f t="shared" si="55"/>
        <v>21071572.970000003</v>
      </c>
    </row>
    <row r="3304" spans="1:6" x14ac:dyDescent="0.2">
      <c r="A3304" s="3">
        <v>45825</v>
      </c>
      <c r="B3304" s="45"/>
      <c r="C3304" s="17" t="s">
        <v>36</v>
      </c>
      <c r="D3304" s="18">
        <v>360</v>
      </c>
      <c r="E3304" s="19"/>
      <c r="F3304" s="15">
        <f t="shared" si="55"/>
        <v>21071212.970000003</v>
      </c>
    </row>
    <row r="3305" spans="1:6" x14ac:dyDescent="0.2">
      <c r="A3305" s="3">
        <v>45825</v>
      </c>
      <c r="B3305" s="45"/>
      <c r="C3305" s="17" t="s">
        <v>227</v>
      </c>
      <c r="D3305" s="18">
        <v>5040</v>
      </c>
      <c r="E3305" s="19"/>
      <c r="F3305" s="15">
        <f t="shared" si="55"/>
        <v>21066172.970000003</v>
      </c>
    </row>
    <row r="3306" spans="1:6" x14ac:dyDescent="0.2">
      <c r="A3306" s="3">
        <v>45825</v>
      </c>
      <c r="B3306" s="45"/>
      <c r="C3306" s="17" t="s">
        <v>37</v>
      </c>
      <c r="D3306" s="18">
        <v>720</v>
      </c>
      <c r="E3306" s="19"/>
      <c r="F3306" s="15">
        <f t="shared" si="55"/>
        <v>21065452.970000003</v>
      </c>
    </row>
    <row r="3307" spans="1:6" x14ac:dyDescent="0.2">
      <c r="A3307" s="3">
        <v>45825</v>
      </c>
      <c r="B3307" s="43">
        <v>149814</v>
      </c>
      <c r="C3307" s="20" t="s">
        <v>46</v>
      </c>
      <c r="D3307" s="18">
        <v>613305.44999999995</v>
      </c>
      <c r="E3307" s="19"/>
      <c r="F3307" s="15">
        <f t="shared" si="55"/>
        <v>20452147.520000003</v>
      </c>
    </row>
    <row r="3308" spans="1:6" x14ac:dyDescent="0.2">
      <c r="A3308" s="3">
        <v>45825</v>
      </c>
      <c r="B3308" s="43">
        <v>258179</v>
      </c>
      <c r="C3308" s="20" t="s">
        <v>46</v>
      </c>
      <c r="D3308" s="18">
        <v>3068147.36</v>
      </c>
      <c r="E3308" s="19"/>
      <c r="F3308" s="15">
        <f t="shared" si="55"/>
        <v>17384000.160000004</v>
      </c>
    </row>
    <row r="3309" spans="1:6" x14ac:dyDescent="0.2">
      <c r="A3309" s="3">
        <v>45825</v>
      </c>
      <c r="B3309" s="43">
        <v>258180</v>
      </c>
      <c r="C3309" s="20" t="s">
        <v>46</v>
      </c>
      <c r="D3309" s="18">
        <v>4730355.55</v>
      </c>
      <c r="E3309" s="19"/>
      <c r="F3309" s="15">
        <f t="shared" si="55"/>
        <v>12653644.610000003</v>
      </c>
    </row>
    <row r="3310" spans="1:6" x14ac:dyDescent="0.2">
      <c r="A3310" s="3">
        <v>45825</v>
      </c>
      <c r="B3310" s="43">
        <v>258181</v>
      </c>
      <c r="C3310" s="20" t="s">
        <v>46</v>
      </c>
      <c r="D3310" s="18">
        <v>3123915.9</v>
      </c>
      <c r="E3310" s="19"/>
      <c r="F3310" s="15">
        <f t="shared" si="55"/>
        <v>9529728.7100000028</v>
      </c>
    </row>
    <row r="3311" spans="1:6" x14ac:dyDescent="0.2">
      <c r="A3311" s="3">
        <v>45825</v>
      </c>
      <c r="B3311" s="43">
        <v>258182</v>
      </c>
      <c r="C3311" s="20" t="s">
        <v>46</v>
      </c>
      <c r="D3311" s="18">
        <v>3107492.81</v>
      </c>
      <c r="E3311" s="19"/>
      <c r="F3311" s="15">
        <f t="shared" si="55"/>
        <v>6422235.9000000022</v>
      </c>
    </row>
    <row r="3312" spans="1:6" x14ac:dyDescent="0.2">
      <c r="A3312" s="3">
        <v>45825</v>
      </c>
      <c r="B3312" s="43">
        <v>316198</v>
      </c>
      <c r="C3312" s="20" t="s">
        <v>46</v>
      </c>
      <c r="D3312" s="18">
        <v>402352.53</v>
      </c>
      <c r="E3312" s="19"/>
      <c r="F3312" s="15">
        <f t="shared" si="55"/>
        <v>6019883.370000002</v>
      </c>
    </row>
    <row r="3313" spans="1:6" x14ac:dyDescent="0.2">
      <c r="A3313" s="3">
        <v>45825</v>
      </c>
      <c r="B3313" s="43">
        <v>340069</v>
      </c>
      <c r="C3313" s="20" t="s">
        <v>46</v>
      </c>
      <c r="D3313" s="18">
        <v>5502364.04</v>
      </c>
      <c r="E3313" s="19"/>
      <c r="F3313" s="15">
        <f t="shared" si="55"/>
        <v>517519.33000000194</v>
      </c>
    </row>
    <row r="3314" spans="1:6" x14ac:dyDescent="0.2">
      <c r="A3314" s="3">
        <v>45825</v>
      </c>
      <c r="B3314" s="43">
        <v>52251</v>
      </c>
      <c r="C3314" s="20" t="s">
        <v>217</v>
      </c>
      <c r="D3314" s="25"/>
      <c r="E3314" s="25">
        <v>150000000</v>
      </c>
      <c r="F3314" s="15">
        <f t="shared" ref="F3314:F3377" si="56">+F3313+E3314-D3314</f>
        <v>150517519.33000001</v>
      </c>
    </row>
    <row r="3315" spans="1:6" x14ac:dyDescent="0.2">
      <c r="A3315" s="3">
        <v>45825</v>
      </c>
      <c r="B3315" s="43">
        <v>42051421</v>
      </c>
      <c r="C3315" s="17" t="s">
        <v>41</v>
      </c>
      <c r="D3315" s="18">
        <v>100000000</v>
      </c>
      <c r="E3315" s="18"/>
      <c r="F3315" s="15">
        <f t="shared" si="56"/>
        <v>50517519.330000013</v>
      </c>
    </row>
    <row r="3316" spans="1:6" x14ac:dyDescent="0.2">
      <c r="A3316" s="3">
        <v>45825</v>
      </c>
      <c r="B3316" s="43">
        <v>4126512</v>
      </c>
      <c r="C3316" s="20" t="s">
        <v>59</v>
      </c>
      <c r="D3316" s="18">
        <v>2457339.65</v>
      </c>
      <c r="E3316" s="18"/>
      <c r="F3316" s="15">
        <f t="shared" si="56"/>
        <v>48060179.680000015</v>
      </c>
    </row>
    <row r="3317" spans="1:6" x14ac:dyDescent="0.2">
      <c r="A3317" s="3">
        <v>45825</v>
      </c>
      <c r="B3317" s="43">
        <v>4126515</v>
      </c>
      <c r="C3317" s="20" t="s">
        <v>488</v>
      </c>
      <c r="D3317" s="18">
        <v>300000</v>
      </c>
      <c r="E3317" s="19"/>
      <c r="F3317" s="15">
        <f t="shared" si="56"/>
        <v>47760179.680000015</v>
      </c>
    </row>
    <row r="3318" spans="1:6" x14ac:dyDescent="0.2">
      <c r="A3318" s="3">
        <v>45825</v>
      </c>
      <c r="B3318" s="43">
        <v>4126517</v>
      </c>
      <c r="C3318" s="20" t="s">
        <v>489</v>
      </c>
      <c r="D3318" s="18">
        <v>475000</v>
      </c>
      <c r="E3318" s="19"/>
      <c r="F3318" s="15">
        <f t="shared" si="56"/>
        <v>47285179.680000015</v>
      </c>
    </row>
    <row r="3319" spans="1:6" x14ac:dyDescent="0.2">
      <c r="A3319" s="3">
        <v>45825</v>
      </c>
      <c r="B3319" s="43">
        <v>4126518</v>
      </c>
      <c r="C3319" s="20" t="s">
        <v>225</v>
      </c>
      <c r="D3319" s="18">
        <v>150000</v>
      </c>
      <c r="E3319" s="19"/>
      <c r="F3319" s="15">
        <f t="shared" si="56"/>
        <v>47135179.680000015</v>
      </c>
    </row>
    <row r="3320" spans="1:6" x14ac:dyDescent="0.2">
      <c r="A3320" s="3">
        <v>45825</v>
      </c>
      <c r="B3320" s="43">
        <v>4126519</v>
      </c>
      <c r="C3320" s="20" t="s">
        <v>327</v>
      </c>
      <c r="D3320" s="18">
        <v>238247.18</v>
      </c>
      <c r="E3320" s="19"/>
      <c r="F3320" s="15">
        <f t="shared" si="56"/>
        <v>46896932.500000015</v>
      </c>
    </row>
    <row r="3321" spans="1:6" x14ac:dyDescent="0.2">
      <c r="A3321" s="3">
        <v>45825</v>
      </c>
      <c r="B3321" s="43">
        <v>4126520</v>
      </c>
      <c r="C3321" s="20" t="s">
        <v>316</v>
      </c>
      <c r="D3321" s="18">
        <v>95000</v>
      </c>
      <c r="E3321" s="19"/>
      <c r="F3321" s="15">
        <f t="shared" si="56"/>
        <v>46801932.500000015</v>
      </c>
    </row>
    <row r="3322" spans="1:6" x14ac:dyDescent="0.2">
      <c r="A3322" s="3">
        <v>45825</v>
      </c>
      <c r="B3322" s="43">
        <v>4126521</v>
      </c>
      <c r="C3322" s="20" t="s">
        <v>139</v>
      </c>
      <c r="D3322" s="18">
        <v>913315.25</v>
      </c>
      <c r="E3322" s="19"/>
      <c r="F3322" s="15">
        <f t="shared" si="56"/>
        <v>45888617.250000015</v>
      </c>
    </row>
    <row r="3323" spans="1:6" x14ac:dyDescent="0.2">
      <c r="A3323" s="3">
        <v>45825</v>
      </c>
      <c r="B3323" s="43">
        <v>4126522</v>
      </c>
      <c r="C3323" s="20" t="s">
        <v>139</v>
      </c>
      <c r="D3323" s="18">
        <v>896522.77</v>
      </c>
      <c r="E3323" s="19"/>
      <c r="F3323" s="15">
        <f t="shared" si="56"/>
        <v>44992094.480000012</v>
      </c>
    </row>
    <row r="3324" spans="1:6" x14ac:dyDescent="0.2">
      <c r="A3324" s="3">
        <v>45825</v>
      </c>
      <c r="B3324" s="43">
        <v>11260547</v>
      </c>
      <c r="C3324" s="20" t="s">
        <v>243</v>
      </c>
      <c r="D3324" s="18">
        <v>416240</v>
      </c>
      <c r="E3324" s="19"/>
      <c r="F3324" s="15">
        <f t="shared" si="56"/>
        <v>44575854.480000012</v>
      </c>
    </row>
    <row r="3325" spans="1:6" x14ac:dyDescent="0.2">
      <c r="A3325" s="3">
        <v>45825</v>
      </c>
      <c r="B3325" s="46">
        <v>9474674</v>
      </c>
      <c r="C3325" s="56" t="s">
        <v>490</v>
      </c>
      <c r="D3325" s="62"/>
      <c r="E3325" s="63">
        <v>72366.880000000005</v>
      </c>
      <c r="F3325" s="15">
        <f t="shared" si="56"/>
        <v>44648221.360000014</v>
      </c>
    </row>
    <row r="3326" spans="1:6" x14ac:dyDescent="0.2">
      <c r="A3326" s="3">
        <v>45825</v>
      </c>
      <c r="B3326" s="44">
        <v>4166947</v>
      </c>
      <c r="C3326" s="57" t="s">
        <v>280</v>
      </c>
      <c r="D3326" s="23">
        <v>120000</v>
      </c>
      <c r="E3326" s="24"/>
      <c r="F3326" s="15">
        <f t="shared" si="56"/>
        <v>44528221.360000014</v>
      </c>
    </row>
    <row r="3327" spans="1:6" x14ac:dyDescent="0.2">
      <c r="A3327" s="3">
        <v>45825</v>
      </c>
      <c r="B3327" s="43">
        <v>4166948</v>
      </c>
      <c r="C3327" s="20" t="s">
        <v>491</v>
      </c>
      <c r="D3327" s="18">
        <v>1280000</v>
      </c>
      <c r="E3327" s="19"/>
      <c r="F3327" s="15">
        <f t="shared" si="56"/>
        <v>43248221.360000014</v>
      </c>
    </row>
    <row r="3328" spans="1:6" x14ac:dyDescent="0.2">
      <c r="A3328" s="3">
        <v>45825</v>
      </c>
      <c r="B3328" s="43">
        <v>258183</v>
      </c>
      <c r="C3328" s="20" t="s">
        <v>46</v>
      </c>
      <c r="D3328" s="18">
        <v>6836631.8899999997</v>
      </c>
      <c r="E3328" s="19"/>
      <c r="F3328" s="15">
        <f t="shared" si="56"/>
        <v>36411589.470000014</v>
      </c>
    </row>
    <row r="3329" spans="1:6" x14ac:dyDescent="0.2">
      <c r="A3329" s="3">
        <v>45825</v>
      </c>
      <c r="B3329" s="45"/>
      <c r="C3329" s="17" t="s">
        <v>16</v>
      </c>
      <c r="D3329" s="18">
        <v>210992.1</v>
      </c>
      <c r="E3329" s="19"/>
      <c r="F3329" s="15">
        <f t="shared" si="56"/>
        <v>36200597.370000012</v>
      </c>
    </row>
    <row r="3330" spans="1:6" x14ac:dyDescent="0.2">
      <c r="A3330" s="3">
        <v>45825</v>
      </c>
      <c r="B3330" s="45"/>
      <c r="C3330" s="17" t="s">
        <v>22</v>
      </c>
      <c r="D3330" s="18">
        <v>434.2</v>
      </c>
      <c r="E3330" s="19"/>
      <c r="F3330" s="15">
        <f t="shared" si="56"/>
        <v>36200163.170000009</v>
      </c>
    </row>
    <row r="3331" spans="1:6" x14ac:dyDescent="0.2">
      <c r="A3331" s="3">
        <v>45825</v>
      </c>
      <c r="B3331" s="43">
        <v>17891</v>
      </c>
      <c r="C3331" s="20" t="s">
        <v>477</v>
      </c>
      <c r="D3331" s="18">
        <v>720</v>
      </c>
      <c r="E3331" s="19"/>
      <c r="F3331" s="15">
        <f t="shared" si="56"/>
        <v>36199443.170000009</v>
      </c>
    </row>
    <row r="3332" spans="1:6" x14ac:dyDescent="0.2">
      <c r="A3332" s="3">
        <v>45825</v>
      </c>
      <c r="B3332" s="43">
        <v>17891</v>
      </c>
      <c r="C3332" s="17" t="s">
        <v>227</v>
      </c>
      <c r="D3332" s="18">
        <v>151.19999999999999</v>
      </c>
      <c r="E3332" s="19"/>
      <c r="F3332" s="15">
        <f t="shared" si="56"/>
        <v>36199291.970000006</v>
      </c>
    </row>
    <row r="3333" spans="1:6" x14ac:dyDescent="0.2">
      <c r="A3333" s="3">
        <v>45825</v>
      </c>
      <c r="B3333" s="43">
        <v>17892</v>
      </c>
      <c r="C3333" s="20" t="s">
        <v>477</v>
      </c>
      <c r="D3333" s="18">
        <v>720</v>
      </c>
      <c r="E3333" s="19"/>
      <c r="F3333" s="15">
        <f t="shared" si="56"/>
        <v>36198571.970000006</v>
      </c>
    </row>
    <row r="3334" spans="1:6" x14ac:dyDescent="0.2">
      <c r="A3334" s="3">
        <v>45825</v>
      </c>
      <c r="B3334" s="43">
        <v>17892</v>
      </c>
      <c r="C3334" s="17" t="s">
        <v>227</v>
      </c>
      <c r="D3334" s="18">
        <v>151.19999999999999</v>
      </c>
      <c r="E3334" s="19"/>
      <c r="F3334" s="15">
        <f t="shared" si="56"/>
        <v>36198420.770000003</v>
      </c>
    </row>
    <row r="3335" spans="1:6" x14ac:dyDescent="0.2">
      <c r="A3335" s="3">
        <v>45825</v>
      </c>
      <c r="B3335" s="43">
        <v>17893</v>
      </c>
      <c r="C3335" s="20" t="s">
        <v>477</v>
      </c>
      <c r="D3335" s="18">
        <v>720</v>
      </c>
      <c r="E3335" s="19"/>
      <c r="F3335" s="15">
        <f t="shared" si="56"/>
        <v>36197700.770000003</v>
      </c>
    </row>
    <row r="3336" spans="1:6" x14ac:dyDescent="0.2">
      <c r="A3336" s="3">
        <v>45825</v>
      </c>
      <c r="B3336" s="43">
        <v>17893</v>
      </c>
      <c r="C3336" s="17" t="s">
        <v>227</v>
      </c>
      <c r="D3336" s="18">
        <v>151.19999999999999</v>
      </c>
      <c r="E3336" s="19"/>
      <c r="F3336" s="15">
        <f t="shared" si="56"/>
        <v>36197549.57</v>
      </c>
    </row>
    <row r="3337" spans="1:6" x14ac:dyDescent="0.2">
      <c r="A3337" s="3">
        <v>45825</v>
      </c>
      <c r="B3337" s="43">
        <v>17894</v>
      </c>
      <c r="C3337" s="20" t="s">
        <v>477</v>
      </c>
      <c r="D3337" s="18">
        <v>720</v>
      </c>
      <c r="E3337" s="19"/>
      <c r="F3337" s="15">
        <f t="shared" si="56"/>
        <v>36196829.57</v>
      </c>
    </row>
    <row r="3338" spans="1:6" x14ac:dyDescent="0.2">
      <c r="A3338" s="3">
        <v>45825</v>
      </c>
      <c r="B3338" s="43">
        <v>17894</v>
      </c>
      <c r="C3338" s="17" t="s">
        <v>227</v>
      </c>
      <c r="D3338" s="18">
        <v>151.19999999999999</v>
      </c>
      <c r="E3338" s="19"/>
      <c r="F3338" s="15">
        <f t="shared" si="56"/>
        <v>36196678.369999997</v>
      </c>
    </row>
    <row r="3339" spans="1:6" x14ac:dyDescent="0.2">
      <c r="A3339" s="3">
        <v>45825</v>
      </c>
      <c r="B3339" s="43">
        <v>17895</v>
      </c>
      <c r="C3339" s="20" t="s">
        <v>477</v>
      </c>
      <c r="D3339" s="18">
        <v>1485</v>
      </c>
      <c r="E3339" s="19"/>
      <c r="F3339" s="15">
        <f t="shared" si="56"/>
        <v>36195193.369999997</v>
      </c>
    </row>
    <row r="3340" spans="1:6" x14ac:dyDescent="0.2">
      <c r="A3340" s="3">
        <v>45825</v>
      </c>
      <c r="B3340" s="43">
        <v>17895</v>
      </c>
      <c r="C3340" s="17" t="s">
        <v>227</v>
      </c>
      <c r="D3340" s="18">
        <v>311.85000000000002</v>
      </c>
      <c r="E3340" s="19"/>
      <c r="F3340" s="15">
        <f t="shared" si="56"/>
        <v>36194881.519999996</v>
      </c>
    </row>
    <row r="3341" spans="1:6" x14ac:dyDescent="0.2">
      <c r="A3341" s="3">
        <v>45825</v>
      </c>
      <c r="B3341" s="43">
        <v>17896</v>
      </c>
      <c r="C3341" s="20" t="s">
        <v>477</v>
      </c>
      <c r="D3341" s="18">
        <v>1485</v>
      </c>
      <c r="E3341" s="19"/>
      <c r="F3341" s="15">
        <f t="shared" si="56"/>
        <v>36193396.519999996</v>
      </c>
    </row>
    <row r="3342" spans="1:6" x14ac:dyDescent="0.2">
      <c r="A3342" s="3">
        <v>45825</v>
      </c>
      <c r="B3342" s="43">
        <v>17896</v>
      </c>
      <c r="C3342" s="17" t="s">
        <v>227</v>
      </c>
      <c r="D3342" s="18">
        <v>311.85000000000002</v>
      </c>
      <c r="E3342" s="19"/>
      <c r="F3342" s="15">
        <f t="shared" si="56"/>
        <v>36193084.669999994</v>
      </c>
    </row>
    <row r="3343" spans="1:6" x14ac:dyDescent="0.2">
      <c r="A3343" s="3">
        <v>45825</v>
      </c>
      <c r="B3343" s="43">
        <v>17897</v>
      </c>
      <c r="C3343" s="20" t="s">
        <v>477</v>
      </c>
      <c r="D3343" s="18">
        <v>1485</v>
      </c>
      <c r="E3343" s="19"/>
      <c r="F3343" s="15">
        <f t="shared" si="56"/>
        <v>36191599.669999994</v>
      </c>
    </row>
    <row r="3344" spans="1:6" x14ac:dyDescent="0.2">
      <c r="A3344" s="3">
        <v>45825</v>
      </c>
      <c r="B3344" s="43">
        <v>17897</v>
      </c>
      <c r="C3344" s="17" t="s">
        <v>227</v>
      </c>
      <c r="D3344" s="18">
        <v>311.85000000000002</v>
      </c>
      <c r="E3344" s="19"/>
      <c r="F3344" s="15">
        <f t="shared" si="56"/>
        <v>36191287.819999993</v>
      </c>
    </row>
    <row r="3345" spans="1:6" x14ac:dyDescent="0.2">
      <c r="A3345" s="3">
        <v>45825</v>
      </c>
      <c r="B3345" s="43">
        <v>17898</v>
      </c>
      <c r="C3345" s="20" t="s">
        <v>477</v>
      </c>
      <c r="D3345" s="18">
        <v>1485</v>
      </c>
      <c r="E3345" s="19"/>
      <c r="F3345" s="15">
        <f t="shared" si="56"/>
        <v>36189802.819999993</v>
      </c>
    </row>
    <row r="3346" spans="1:6" x14ac:dyDescent="0.2">
      <c r="A3346" s="3">
        <v>45825</v>
      </c>
      <c r="B3346" s="43">
        <v>17898</v>
      </c>
      <c r="C3346" s="17" t="s">
        <v>227</v>
      </c>
      <c r="D3346" s="18">
        <v>311.85000000000002</v>
      </c>
      <c r="E3346" s="19"/>
      <c r="F3346" s="15">
        <f t="shared" si="56"/>
        <v>36189490.969999991</v>
      </c>
    </row>
    <row r="3347" spans="1:6" x14ac:dyDescent="0.2">
      <c r="A3347" s="3">
        <v>45825</v>
      </c>
      <c r="B3347" s="43">
        <v>17899</v>
      </c>
      <c r="C3347" s="20" t="s">
        <v>477</v>
      </c>
      <c r="D3347" s="18">
        <v>1485</v>
      </c>
      <c r="E3347" s="19"/>
      <c r="F3347" s="15">
        <f t="shared" si="56"/>
        <v>36188005.969999991</v>
      </c>
    </row>
    <row r="3348" spans="1:6" x14ac:dyDescent="0.2">
      <c r="A3348" s="3">
        <v>45825</v>
      </c>
      <c r="B3348" s="43">
        <v>17899</v>
      </c>
      <c r="C3348" s="17" t="s">
        <v>227</v>
      </c>
      <c r="D3348" s="18">
        <v>311.85000000000002</v>
      </c>
      <c r="E3348" s="19"/>
      <c r="F3348" s="15">
        <f t="shared" si="56"/>
        <v>36187694.11999999</v>
      </c>
    </row>
    <row r="3349" spans="1:6" x14ac:dyDescent="0.2">
      <c r="A3349" s="3">
        <v>45825</v>
      </c>
      <c r="B3349" s="45"/>
      <c r="C3349" s="20" t="s">
        <v>492</v>
      </c>
      <c r="D3349" s="18">
        <v>144.72999999999999</v>
      </c>
      <c r="E3349" s="19"/>
      <c r="F3349" s="15">
        <f t="shared" si="56"/>
        <v>36187549.389999993</v>
      </c>
    </row>
    <row r="3350" spans="1:6" x14ac:dyDescent="0.2">
      <c r="A3350" s="3">
        <v>45826</v>
      </c>
      <c r="B3350" s="46">
        <v>33705049</v>
      </c>
      <c r="C3350" s="56" t="s">
        <v>65</v>
      </c>
      <c r="D3350" s="48">
        <v>185425</v>
      </c>
      <c r="E3350" s="49"/>
      <c r="F3350" s="15">
        <f t="shared" si="56"/>
        <v>36002124.389999993</v>
      </c>
    </row>
    <row r="3351" spans="1:6" x14ac:dyDescent="0.2">
      <c r="A3351" s="3">
        <v>45826</v>
      </c>
      <c r="B3351" s="44">
        <v>35318638</v>
      </c>
      <c r="C3351" s="57" t="s">
        <v>66</v>
      </c>
      <c r="D3351" s="23">
        <v>661002.47</v>
      </c>
      <c r="E3351" s="24"/>
      <c r="F3351" s="15">
        <f t="shared" si="56"/>
        <v>35341121.919999994</v>
      </c>
    </row>
    <row r="3352" spans="1:6" x14ac:dyDescent="0.2">
      <c r="A3352" s="3">
        <v>45826</v>
      </c>
      <c r="B3352" s="43">
        <v>36450898</v>
      </c>
      <c r="C3352" s="20" t="s">
        <v>70</v>
      </c>
      <c r="D3352" s="18">
        <v>22674</v>
      </c>
      <c r="E3352" s="19"/>
      <c r="F3352" s="15">
        <f t="shared" si="56"/>
        <v>35318447.919999994</v>
      </c>
    </row>
    <row r="3353" spans="1:6" x14ac:dyDescent="0.2">
      <c r="A3353" s="3">
        <v>45826</v>
      </c>
      <c r="B3353" s="43">
        <v>37479173</v>
      </c>
      <c r="C3353" s="20" t="s">
        <v>62</v>
      </c>
      <c r="D3353" s="18">
        <v>5275.8</v>
      </c>
      <c r="E3353" s="19"/>
      <c r="F3353" s="15">
        <f t="shared" si="56"/>
        <v>35313172.119999997</v>
      </c>
    </row>
    <row r="3354" spans="1:6" x14ac:dyDescent="0.2">
      <c r="A3354" s="3">
        <v>45826</v>
      </c>
      <c r="B3354" s="43">
        <v>38819483</v>
      </c>
      <c r="C3354" s="20" t="s">
        <v>54</v>
      </c>
      <c r="D3354" s="18">
        <v>81153.22</v>
      </c>
      <c r="E3354" s="19"/>
      <c r="F3354" s="15">
        <f t="shared" si="56"/>
        <v>35232018.899999999</v>
      </c>
    </row>
    <row r="3355" spans="1:6" x14ac:dyDescent="0.2">
      <c r="A3355" s="3">
        <v>45826</v>
      </c>
      <c r="B3355" s="43">
        <v>40252357</v>
      </c>
      <c r="C3355" s="20" t="s">
        <v>261</v>
      </c>
      <c r="D3355" s="18">
        <v>35429.83</v>
      </c>
      <c r="E3355" s="19"/>
      <c r="F3355" s="15">
        <f t="shared" si="56"/>
        <v>35196589.07</v>
      </c>
    </row>
    <row r="3356" spans="1:6" x14ac:dyDescent="0.2">
      <c r="A3356" s="3">
        <v>45826</v>
      </c>
      <c r="B3356" s="43">
        <v>41565959</v>
      </c>
      <c r="C3356" s="20" t="s">
        <v>262</v>
      </c>
      <c r="D3356" s="18">
        <v>14376.9</v>
      </c>
      <c r="E3356" s="19"/>
      <c r="F3356" s="15">
        <f t="shared" si="56"/>
        <v>35182212.170000002</v>
      </c>
    </row>
    <row r="3357" spans="1:6" x14ac:dyDescent="0.2">
      <c r="A3357" s="3">
        <v>45826</v>
      </c>
      <c r="B3357" s="43">
        <v>43325674</v>
      </c>
      <c r="C3357" s="20" t="s">
        <v>55</v>
      </c>
      <c r="D3357" s="18">
        <v>109223.61</v>
      </c>
      <c r="E3357" s="19"/>
      <c r="F3357" s="15">
        <f t="shared" si="56"/>
        <v>35072988.560000002</v>
      </c>
    </row>
    <row r="3358" spans="1:6" x14ac:dyDescent="0.2">
      <c r="A3358" s="3">
        <v>45826</v>
      </c>
      <c r="B3358" s="43">
        <v>62888236</v>
      </c>
      <c r="C3358" s="20" t="s">
        <v>57</v>
      </c>
      <c r="D3358" s="18">
        <v>154988.67000000001</v>
      </c>
      <c r="E3358" s="19"/>
      <c r="F3358" s="15">
        <f t="shared" si="56"/>
        <v>34917999.890000001</v>
      </c>
    </row>
    <row r="3359" spans="1:6" x14ac:dyDescent="0.2">
      <c r="A3359" s="3">
        <v>45826</v>
      </c>
      <c r="B3359" s="43">
        <v>63829071</v>
      </c>
      <c r="C3359" s="20" t="s">
        <v>56</v>
      </c>
      <c r="D3359" s="18">
        <v>132683.1</v>
      </c>
      <c r="E3359" s="19"/>
      <c r="F3359" s="15">
        <f t="shared" si="56"/>
        <v>34785316.789999999</v>
      </c>
    </row>
    <row r="3360" spans="1:6" x14ac:dyDescent="0.2">
      <c r="A3360" s="3">
        <v>45826</v>
      </c>
      <c r="B3360" s="43">
        <v>64700370</v>
      </c>
      <c r="C3360" s="20" t="s">
        <v>263</v>
      </c>
      <c r="D3360" s="18">
        <v>16796.72</v>
      </c>
      <c r="E3360" s="19"/>
      <c r="F3360" s="15">
        <f t="shared" si="56"/>
        <v>34768520.07</v>
      </c>
    </row>
    <row r="3361" spans="1:6" x14ac:dyDescent="0.2">
      <c r="A3361" s="3">
        <v>45826</v>
      </c>
      <c r="B3361" s="43">
        <v>65698034</v>
      </c>
      <c r="C3361" s="20" t="s">
        <v>67</v>
      </c>
      <c r="D3361" s="18">
        <v>26061.69</v>
      </c>
      <c r="E3361" s="19"/>
      <c r="F3361" s="15">
        <f t="shared" si="56"/>
        <v>34742458.380000003</v>
      </c>
    </row>
    <row r="3362" spans="1:6" x14ac:dyDescent="0.2">
      <c r="A3362" s="3">
        <v>45826</v>
      </c>
      <c r="B3362" s="43">
        <v>66609053</v>
      </c>
      <c r="C3362" s="20" t="s">
        <v>167</v>
      </c>
      <c r="D3362" s="18">
        <v>862020</v>
      </c>
      <c r="E3362" s="19"/>
      <c r="F3362" s="15">
        <f t="shared" si="56"/>
        <v>33880438.380000003</v>
      </c>
    </row>
    <row r="3363" spans="1:6" x14ac:dyDescent="0.2">
      <c r="A3363" s="3">
        <v>45826</v>
      </c>
      <c r="B3363" s="43">
        <v>67521836</v>
      </c>
      <c r="C3363" s="20" t="s">
        <v>117</v>
      </c>
      <c r="D3363" s="18">
        <v>213333.7</v>
      </c>
      <c r="E3363" s="19"/>
      <c r="F3363" s="15">
        <f t="shared" si="56"/>
        <v>33667104.68</v>
      </c>
    </row>
    <row r="3364" spans="1:6" x14ac:dyDescent="0.2">
      <c r="A3364" s="3">
        <v>45826</v>
      </c>
      <c r="B3364" s="43">
        <v>68539557</v>
      </c>
      <c r="C3364" s="20" t="s">
        <v>168</v>
      </c>
      <c r="D3364" s="18">
        <v>158286.20000000001</v>
      </c>
      <c r="E3364" s="19"/>
      <c r="F3364" s="15">
        <f t="shared" si="56"/>
        <v>33508818.48</v>
      </c>
    </row>
    <row r="3365" spans="1:6" x14ac:dyDescent="0.2">
      <c r="A3365" s="3">
        <v>45826</v>
      </c>
      <c r="B3365" s="43">
        <v>69451331</v>
      </c>
      <c r="C3365" s="20" t="s">
        <v>169</v>
      </c>
      <c r="D3365" s="18">
        <v>128524.3</v>
      </c>
      <c r="E3365" s="19"/>
      <c r="F3365" s="15">
        <f t="shared" si="56"/>
        <v>33380294.18</v>
      </c>
    </row>
    <row r="3366" spans="1:6" x14ac:dyDescent="0.2">
      <c r="A3366" s="3">
        <v>45826</v>
      </c>
      <c r="B3366" s="43">
        <v>93214471</v>
      </c>
      <c r="C3366" s="20" t="s">
        <v>166</v>
      </c>
      <c r="D3366" s="18">
        <v>394556.1</v>
      </c>
      <c r="E3366" s="19"/>
      <c r="F3366" s="15">
        <f t="shared" si="56"/>
        <v>32985738.079999998</v>
      </c>
    </row>
    <row r="3367" spans="1:6" x14ac:dyDescent="0.2">
      <c r="A3367" s="3">
        <v>45826</v>
      </c>
      <c r="B3367" s="43">
        <v>94440512</v>
      </c>
      <c r="C3367" s="20" t="s">
        <v>165</v>
      </c>
      <c r="D3367" s="18">
        <v>270704</v>
      </c>
      <c r="E3367" s="19"/>
      <c r="F3367" s="15">
        <f t="shared" si="56"/>
        <v>32715034.079999998</v>
      </c>
    </row>
    <row r="3368" spans="1:6" x14ac:dyDescent="0.2">
      <c r="A3368" s="3">
        <v>45826</v>
      </c>
      <c r="B3368" s="43">
        <v>95427063</v>
      </c>
      <c r="C3368" s="20" t="s">
        <v>177</v>
      </c>
      <c r="D3368" s="18">
        <v>2073078.07</v>
      </c>
      <c r="E3368" s="19"/>
      <c r="F3368" s="15">
        <f t="shared" si="56"/>
        <v>30641956.009999998</v>
      </c>
    </row>
    <row r="3369" spans="1:6" x14ac:dyDescent="0.2">
      <c r="A3369" s="3">
        <v>45826</v>
      </c>
      <c r="B3369" s="43">
        <v>96621706</v>
      </c>
      <c r="C3369" s="20" t="s">
        <v>68</v>
      </c>
      <c r="D3369" s="18">
        <v>33430.129999999997</v>
      </c>
      <c r="E3369" s="19"/>
      <c r="F3369" s="15">
        <f t="shared" si="56"/>
        <v>30608525.879999999</v>
      </c>
    </row>
    <row r="3370" spans="1:6" x14ac:dyDescent="0.2">
      <c r="A3370" s="3">
        <v>45826</v>
      </c>
      <c r="B3370" s="43">
        <v>98005068</v>
      </c>
      <c r="C3370" s="20" t="s">
        <v>69</v>
      </c>
      <c r="D3370" s="18">
        <v>32035.18</v>
      </c>
      <c r="E3370" s="19"/>
      <c r="F3370" s="15">
        <f t="shared" si="56"/>
        <v>30576490.699999999</v>
      </c>
    </row>
    <row r="3371" spans="1:6" x14ac:dyDescent="0.2">
      <c r="A3371" s="3">
        <v>45826</v>
      </c>
      <c r="B3371" s="43">
        <v>98937793</v>
      </c>
      <c r="C3371" s="20" t="s">
        <v>101</v>
      </c>
      <c r="D3371" s="18">
        <v>173514.68</v>
      </c>
      <c r="E3371" s="19"/>
      <c r="F3371" s="15">
        <f t="shared" si="56"/>
        <v>30402976.02</v>
      </c>
    </row>
    <row r="3372" spans="1:6" x14ac:dyDescent="0.2">
      <c r="A3372" s="3">
        <v>45826</v>
      </c>
      <c r="B3372" s="43">
        <v>99958328</v>
      </c>
      <c r="C3372" s="20" t="s">
        <v>71</v>
      </c>
      <c r="D3372" s="18">
        <v>75171.12</v>
      </c>
      <c r="E3372" s="19"/>
      <c r="F3372" s="15">
        <f t="shared" si="56"/>
        <v>30327804.899999999</v>
      </c>
    </row>
    <row r="3373" spans="1:6" x14ac:dyDescent="0.2">
      <c r="A3373" s="3">
        <v>45826</v>
      </c>
      <c r="B3373" s="43">
        <v>1006573</v>
      </c>
      <c r="C3373" s="20" t="s">
        <v>61</v>
      </c>
      <c r="D3373" s="18">
        <v>124773.85</v>
      </c>
      <c r="E3373" s="19"/>
      <c r="F3373" s="15">
        <f t="shared" si="56"/>
        <v>30203031.049999997</v>
      </c>
    </row>
    <row r="3374" spans="1:6" x14ac:dyDescent="0.2">
      <c r="A3374" s="3">
        <v>45826</v>
      </c>
      <c r="B3374" s="46">
        <v>32160</v>
      </c>
      <c r="C3374" s="58" t="s">
        <v>9</v>
      </c>
      <c r="D3374" s="48">
        <v>92202</v>
      </c>
      <c r="E3374" s="49"/>
      <c r="F3374" s="15">
        <f t="shared" si="56"/>
        <v>30110829.049999997</v>
      </c>
    </row>
    <row r="3375" spans="1:6" x14ac:dyDescent="0.2">
      <c r="A3375" s="3">
        <v>45826</v>
      </c>
      <c r="B3375" s="50"/>
      <c r="C3375" s="59" t="s">
        <v>16</v>
      </c>
      <c r="D3375" s="23">
        <v>36536</v>
      </c>
      <c r="E3375" s="24"/>
      <c r="F3375" s="15">
        <f t="shared" si="56"/>
        <v>30074293.049999997</v>
      </c>
    </row>
    <row r="3376" spans="1:6" x14ac:dyDescent="0.2">
      <c r="A3376" s="3">
        <v>45827</v>
      </c>
      <c r="B3376" s="43">
        <v>32163</v>
      </c>
      <c r="C3376" s="17" t="s">
        <v>9</v>
      </c>
      <c r="D3376" s="18">
        <v>2769037</v>
      </c>
      <c r="E3376" s="19"/>
      <c r="F3376" s="15">
        <f t="shared" si="56"/>
        <v>27305256.049999997</v>
      </c>
    </row>
    <row r="3377" spans="1:6" x14ac:dyDescent="0.2">
      <c r="A3377" s="3">
        <v>45827</v>
      </c>
      <c r="B3377" s="43">
        <v>32406</v>
      </c>
      <c r="C3377" s="20" t="s">
        <v>97</v>
      </c>
      <c r="D3377" s="18">
        <v>50000</v>
      </c>
      <c r="E3377" s="19"/>
      <c r="F3377" s="15">
        <f t="shared" si="56"/>
        <v>27255256.049999997</v>
      </c>
    </row>
    <row r="3378" spans="1:6" x14ac:dyDescent="0.2">
      <c r="A3378" s="3">
        <v>45827</v>
      </c>
      <c r="B3378" s="43">
        <v>161301</v>
      </c>
      <c r="C3378" s="20" t="s">
        <v>183</v>
      </c>
      <c r="D3378" s="25"/>
      <c r="E3378" s="25">
        <v>100000000</v>
      </c>
      <c r="F3378" s="15">
        <f t="shared" ref="F3378:F3441" si="57">+F3377+E3378-D3378</f>
        <v>127255256.05</v>
      </c>
    </row>
    <row r="3379" spans="1:6" x14ac:dyDescent="0.2">
      <c r="A3379" s="3">
        <v>45827</v>
      </c>
      <c r="B3379" s="45"/>
      <c r="C3379" s="17" t="s">
        <v>34</v>
      </c>
      <c r="D3379" s="18">
        <v>600</v>
      </c>
      <c r="E3379" s="19"/>
      <c r="F3379" s="15">
        <f t="shared" si="57"/>
        <v>127254656.05</v>
      </c>
    </row>
    <row r="3380" spans="1:6" x14ac:dyDescent="0.2">
      <c r="A3380" s="3">
        <v>45827</v>
      </c>
      <c r="B3380" s="45"/>
      <c r="C3380" s="17" t="s">
        <v>16</v>
      </c>
      <c r="D3380" s="18">
        <v>16614.22</v>
      </c>
      <c r="E3380" s="19"/>
      <c r="F3380" s="15">
        <f t="shared" si="57"/>
        <v>127238041.83</v>
      </c>
    </row>
    <row r="3381" spans="1:6" x14ac:dyDescent="0.2">
      <c r="A3381" s="3">
        <v>45831</v>
      </c>
      <c r="B3381" s="45"/>
      <c r="C3381" s="20" t="s">
        <v>493</v>
      </c>
      <c r="D3381" s="18">
        <v>1320</v>
      </c>
      <c r="E3381" s="19"/>
      <c r="F3381" s="15">
        <f t="shared" si="57"/>
        <v>127236721.83</v>
      </c>
    </row>
    <row r="3382" spans="1:6" x14ac:dyDescent="0.2">
      <c r="A3382" s="3">
        <v>45831</v>
      </c>
      <c r="B3382" s="45"/>
      <c r="C3382" s="17" t="s">
        <v>227</v>
      </c>
      <c r="D3382" s="18">
        <v>277.2</v>
      </c>
      <c r="E3382" s="19"/>
      <c r="F3382" s="15">
        <f t="shared" si="57"/>
        <v>127236444.63</v>
      </c>
    </row>
    <row r="3383" spans="1:6" x14ac:dyDescent="0.2">
      <c r="A3383" s="3">
        <v>45831</v>
      </c>
      <c r="B3383" s="43">
        <v>219129</v>
      </c>
      <c r="C3383" s="20" t="s">
        <v>494</v>
      </c>
      <c r="D3383" s="19"/>
      <c r="E3383" s="18">
        <v>369077.85</v>
      </c>
      <c r="F3383" s="15">
        <f t="shared" si="57"/>
        <v>127605522.47999999</v>
      </c>
    </row>
    <row r="3384" spans="1:6" x14ac:dyDescent="0.2">
      <c r="A3384" s="3">
        <v>45831</v>
      </c>
      <c r="B3384" s="43">
        <v>32407</v>
      </c>
      <c r="C3384" s="20" t="s">
        <v>97</v>
      </c>
      <c r="D3384" s="18">
        <v>50000</v>
      </c>
      <c r="E3384" s="19"/>
      <c r="F3384" s="15">
        <f t="shared" si="57"/>
        <v>127555522.47999999</v>
      </c>
    </row>
    <row r="3385" spans="1:6" x14ac:dyDescent="0.2">
      <c r="A3385" s="3">
        <v>45831</v>
      </c>
      <c r="B3385" s="43">
        <v>20000005</v>
      </c>
      <c r="C3385" s="17" t="s">
        <v>150</v>
      </c>
      <c r="D3385" s="19"/>
      <c r="E3385" s="18">
        <v>827702.4</v>
      </c>
      <c r="F3385" s="15">
        <f t="shared" si="57"/>
        <v>128383224.88</v>
      </c>
    </row>
    <row r="3386" spans="1:6" x14ac:dyDescent="0.2">
      <c r="A3386" s="3">
        <v>45831</v>
      </c>
      <c r="B3386" s="45"/>
      <c r="C3386" s="17" t="s">
        <v>16</v>
      </c>
      <c r="D3386" s="18">
        <v>9.58</v>
      </c>
      <c r="E3386" s="19"/>
      <c r="F3386" s="15">
        <f t="shared" si="57"/>
        <v>128383215.3</v>
      </c>
    </row>
    <row r="3387" spans="1:6" x14ac:dyDescent="0.2">
      <c r="A3387" s="3">
        <v>45831</v>
      </c>
      <c r="B3387" s="45"/>
      <c r="C3387" s="17" t="s">
        <v>22</v>
      </c>
      <c r="D3387" s="18">
        <v>7180.68</v>
      </c>
      <c r="E3387" s="19"/>
      <c r="F3387" s="15">
        <f t="shared" si="57"/>
        <v>128376034.61999999</v>
      </c>
    </row>
    <row r="3388" spans="1:6" x14ac:dyDescent="0.2">
      <c r="A3388" s="3">
        <v>45831</v>
      </c>
      <c r="B3388" s="45"/>
      <c r="C3388" s="17" t="s">
        <v>34</v>
      </c>
      <c r="D3388" s="18">
        <v>600</v>
      </c>
      <c r="E3388" s="19"/>
      <c r="F3388" s="15">
        <f t="shared" si="57"/>
        <v>128375434.61999999</v>
      </c>
    </row>
    <row r="3389" spans="1:6" x14ac:dyDescent="0.2">
      <c r="A3389" s="3">
        <v>45831</v>
      </c>
      <c r="B3389" s="45"/>
      <c r="C3389" s="20" t="s">
        <v>495</v>
      </c>
      <c r="D3389" s="18">
        <v>2393.56</v>
      </c>
      <c r="E3389" s="19"/>
      <c r="F3389" s="15">
        <f t="shared" si="57"/>
        <v>128373041.05999999</v>
      </c>
    </row>
    <row r="3390" spans="1:6" x14ac:dyDescent="0.2">
      <c r="A3390" s="3">
        <v>45832</v>
      </c>
      <c r="B3390" s="43">
        <v>20000005</v>
      </c>
      <c r="C3390" s="17" t="s">
        <v>24</v>
      </c>
      <c r="D3390" s="19"/>
      <c r="E3390" s="18">
        <v>352514.39</v>
      </c>
      <c r="F3390" s="15">
        <f t="shared" si="57"/>
        <v>128725555.44999999</v>
      </c>
    </row>
    <row r="3391" spans="1:6" x14ac:dyDescent="0.2">
      <c r="A3391" s="3">
        <v>45832</v>
      </c>
      <c r="B3391" s="43">
        <v>32374</v>
      </c>
      <c r="C3391" s="17" t="s">
        <v>9</v>
      </c>
      <c r="D3391" s="18">
        <v>5287663</v>
      </c>
      <c r="E3391" s="19"/>
      <c r="F3391" s="15">
        <f t="shared" si="57"/>
        <v>123437892.44999999</v>
      </c>
    </row>
    <row r="3392" spans="1:6" x14ac:dyDescent="0.2">
      <c r="A3392" s="3">
        <v>45832</v>
      </c>
      <c r="B3392" s="43">
        <v>3480</v>
      </c>
      <c r="C3392" s="20" t="s">
        <v>76</v>
      </c>
      <c r="D3392" s="18">
        <v>600701</v>
      </c>
      <c r="E3392" s="19"/>
      <c r="F3392" s="15">
        <f t="shared" si="57"/>
        <v>122837191.44999999</v>
      </c>
    </row>
    <row r="3393" spans="1:6" x14ac:dyDescent="0.2">
      <c r="A3393" s="3">
        <v>45832</v>
      </c>
      <c r="B3393" s="45"/>
      <c r="C3393" s="20" t="s">
        <v>493</v>
      </c>
      <c r="D3393" s="18">
        <v>1320</v>
      </c>
      <c r="E3393" s="19"/>
      <c r="F3393" s="15">
        <f t="shared" si="57"/>
        <v>122835871.44999999</v>
      </c>
    </row>
    <row r="3394" spans="1:6" x14ac:dyDescent="0.2">
      <c r="A3394" s="3">
        <v>45832</v>
      </c>
      <c r="B3394" s="45"/>
      <c r="C3394" s="17" t="s">
        <v>227</v>
      </c>
      <c r="D3394" s="18">
        <v>277.2</v>
      </c>
      <c r="E3394" s="19"/>
      <c r="F3394" s="15">
        <f t="shared" si="57"/>
        <v>122835594.24999999</v>
      </c>
    </row>
    <row r="3395" spans="1:6" x14ac:dyDescent="0.2">
      <c r="A3395" s="3">
        <v>45832</v>
      </c>
      <c r="B3395" s="43">
        <v>4211658</v>
      </c>
      <c r="C3395" s="20" t="s">
        <v>496</v>
      </c>
      <c r="D3395" s="18">
        <v>1922478.84</v>
      </c>
      <c r="E3395" s="19"/>
      <c r="F3395" s="15">
        <f t="shared" si="57"/>
        <v>120913115.40999998</v>
      </c>
    </row>
    <row r="3396" spans="1:6" x14ac:dyDescent="0.2">
      <c r="A3396" s="3">
        <v>45832</v>
      </c>
      <c r="B3396" s="43">
        <v>4211659</v>
      </c>
      <c r="C3396" s="20" t="s">
        <v>205</v>
      </c>
      <c r="D3396" s="18">
        <v>1815000</v>
      </c>
      <c r="E3396" s="19"/>
      <c r="F3396" s="15">
        <f t="shared" si="57"/>
        <v>119098115.40999998</v>
      </c>
    </row>
    <row r="3397" spans="1:6" x14ac:dyDescent="0.2">
      <c r="A3397" s="3">
        <v>45832</v>
      </c>
      <c r="B3397" s="43">
        <v>39176</v>
      </c>
      <c r="C3397" s="20" t="s">
        <v>11</v>
      </c>
      <c r="D3397" s="18">
        <v>7654904</v>
      </c>
      <c r="E3397" s="19"/>
      <c r="F3397" s="15">
        <f t="shared" si="57"/>
        <v>111443211.40999998</v>
      </c>
    </row>
    <row r="3398" spans="1:6" x14ac:dyDescent="0.2">
      <c r="A3398" s="3">
        <v>45832</v>
      </c>
      <c r="B3398" s="43">
        <v>5460879</v>
      </c>
      <c r="C3398" s="20" t="s">
        <v>497</v>
      </c>
      <c r="D3398" s="19"/>
      <c r="E3398" s="18">
        <v>59329.16</v>
      </c>
      <c r="F3398" s="15">
        <f t="shared" si="57"/>
        <v>111502540.56999998</v>
      </c>
    </row>
    <row r="3399" spans="1:6" x14ac:dyDescent="0.2">
      <c r="A3399" s="3">
        <v>45832</v>
      </c>
      <c r="B3399" s="43">
        <v>3071095</v>
      </c>
      <c r="C3399" s="20" t="s">
        <v>498</v>
      </c>
      <c r="D3399" s="19"/>
      <c r="E3399" s="18">
        <v>56691.76</v>
      </c>
      <c r="F3399" s="15">
        <f t="shared" si="57"/>
        <v>111559232.32999998</v>
      </c>
    </row>
    <row r="3400" spans="1:6" x14ac:dyDescent="0.2">
      <c r="A3400" s="3">
        <v>45832</v>
      </c>
      <c r="B3400" s="45"/>
      <c r="C3400" s="17" t="s">
        <v>13</v>
      </c>
      <c r="D3400" s="18">
        <v>48355248</v>
      </c>
      <c r="E3400" s="19"/>
      <c r="F3400" s="15">
        <f t="shared" si="57"/>
        <v>63203984.329999983</v>
      </c>
    </row>
    <row r="3401" spans="1:6" x14ac:dyDescent="0.2">
      <c r="A3401" s="3">
        <v>45832</v>
      </c>
      <c r="B3401" s="51"/>
      <c r="C3401" s="58" t="s">
        <v>232</v>
      </c>
      <c r="D3401" s="48">
        <v>562.63</v>
      </c>
      <c r="E3401" s="49"/>
      <c r="F3401" s="15">
        <f t="shared" si="57"/>
        <v>63203421.699999981</v>
      </c>
    </row>
    <row r="3402" spans="1:6" x14ac:dyDescent="0.2">
      <c r="A3402" s="3">
        <v>45832</v>
      </c>
      <c r="B3402" s="50"/>
      <c r="C3402" s="59" t="s">
        <v>14</v>
      </c>
      <c r="D3402" s="23">
        <v>2679.21</v>
      </c>
      <c r="E3402" s="24"/>
      <c r="F3402" s="15">
        <f t="shared" si="57"/>
        <v>63200742.48999998</v>
      </c>
    </row>
    <row r="3403" spans="1:6" x14ac:dyDescent="0.2">
      <c r="A3403" s="3">
        <v>45832</v>
      </c>
      <c r="B3403" s="45"/>
      <c r="C3403" s="17" t="s">
        <v>22</v>
      </c>
      <c r="D3403" s="18">
        <v>2811.21</v>
      </c>
      <c r="E3403" s="19"/>
      <c r="F3403" s="15">
        <f t="shared" si="57"/>
        <v>63197931.279999979</v>
      </c>
    </row>
    <row r="3404" spans="1:6" x14ac:dyDescent="0.2">
      <c r="A3404" s="3">
        <v>45832</v>
      </c>
      <c r="B3404" s="45"/>
      <c r="C3404" s="17" t="s">
        <v>16</v>
      </c>
      <c r="D3404" s="18">
        <v>393859.37</v>
      </c>
      <c r="E3404" s="19"/>
      <c r="F3404" s="15">
        <f t="shared" si="57"/>
        <v>62804071.909999982</v>
      </c>
    </row>
    <row r="3405" spans="1:6" x14ac:dyDescent="0.2">
      <c r="A3405" s="3">
        <v>45832</v>
      </c>
      <c r="B3405" s="43">
        <v>14331</v>
      </c>
      <c r="C3405" s="20" t="s">
        <v>477</v>
      </c>
      <c r="D3405" s="18">
        <v>1485</v>
      </c>
      <c r="E3405" s="19"/>
      <c r="F3405" s="15">
        <f t="shared" si="57"/>
        <v>62802586.909999982</v>
      </c>
    </row>
    <row r="3406" spans="1:6" x14ac:dyDescent="0.2">
      <c r="A3406" s="3">
        <v>45832</v>
      </c>
      <c r="B3406" s="43">
        <v>14331</v>
      </c>
      <c r="C3406" s="17" t="s">
        <v>227</v>
      </c>
      <c r="D3406" s="18">
        <v>311.85000000000002</v>
      </c>
      <c r="E3406" s="19"/>
      <c r="F3406" s="15">
        <f t="shared" si="57"/>
        <v>62802275.05999998</v>
      </c>
    </row>
    <row r="3407" spans="1:6" x14ac:dyDescent="0.2">
      <c r="A3407" s="3">
        <v>45832</v>
      </c>
      <c r="B3407" s="43">
        <v>14332</v>
      </c>
      <c r="C3407" s="20" t="s">
        <v>477</v>
      </c>
      <c r="D3407" s="18">
        <v>1485</v>
      </c>
      <c r="E3407" s="19"/>
      <c r="F3407" s="15">
        <f t="shared" si="57"/>
        <v>62800790.05999998</v>
      </c>
    </row>
    <row r="3408" spans="1:6" x14ac:dyDescent="0.2">
      <c r="A3408" s="3">
        <v>45832</v>
      </c>
      <c r="B3408" s="43">
        <v>14332</v>
      </c>
      <c r="C3408" s="17" t="s">
        <v>227</v>
      </c>
      <c r="D3408" s="18">
        <v>311.85000000000002</v>
      </c>
      <c r="E3408" s="19"/>
      <c r="F3408" s="15">
        <f t="shared" si="57"/>
        <v>62800478.209999979</v>
      </c>
    </row>
    <row r="3409" spans="1:6" x14ac:dyDescent="0.2">
      <c r="A3409" s="3">
        <v>45832</v>
      </c>
      <c r="B3409" s="45"/>
      <c r="C3409" s="20" t="s">
        <v>499</v>
      </c>
      <c r="D3409" s="18">
        <v>937.07</v>
      </c>
      <c r="E3409" s="19"/>
      <c r="F3409" s="15">
        <f t="shared" si="57"/>
        <v>62799541.139999978</v>
      </c>
    </row>
    <row r="3410" spans="1:6" x14ac:dyDescent="0.2">
      <c r="A3410" s="3">
        <v>45833</v>
      </c>
      <c r="B3410" s="43">
        <v>32204</v>
      </c>
      <c r="C3410" s="17" t="s">
        <v>9</v>
      </c>
      <c r="D3410" s="18">
        <v>72753.19</v>
      </c>
      <c r="E3410" s="19"/>
      <c r="F3410" s="15">
        <f t="shared" si="57"/>
        <v>62726787.949999981</v>
      </c>
    </row>
    <row r="3411" spans="1:6" x14ac:dyDescent="0.2">
      <c r="A3411" s="3">
        <v>45833</v>
      </c>
      <c r="B3411" s="43">
        <v>32301</v>
      </c>
      <c r="C3411" s="17" t="s">
        <v>9</v>
      </c>
      <c r="D3411" s="18">
        <v>2438500</v>
      </c>
      <c r="E3411" s="19"/>
      <c r="F3411" s="15">
        <f t="shared" si="57"/>
        <v>60288287.949999981</v>
      </c>
    </row>
    <row r="3412" spans="1:6" x14ac:dyDescent="0.2">
      <c r="A3412" s="3">
        <v>45833</v>
      </c>
      <c r="B3412" s="43">
        <v>4269871</v>
      </c>
      <c r="C3412" s="20" t="s">
        <v>500</v>
      </c>
      <c r="D3412" s="18">
        <v>600000</v>
      </c>
      <c r="E3412" s="19"/>
      <c r="F3412" s="15">
        <f t="shared" si="57"/>
        <v>59688287.949999981</v>
      </c>
    </row>
    <row r="3413" spans="1:6" x14ac:dyDescent="0.2">
      <c r="A3413" s="3">
        <v>45833</v>
      </c>
      <c r="B3413" s="43">
        <v>4269873</v>
      </c>
      <c r="C3413" s="20" t="s">
        <v>489</v>
      </c>
      <c r="D3413" s="18">
        <v>400000</v>
      </c>
      <c r="E3413" s="19"/>
      <c r="F3413" s="15">
        <f t="shared" si="57"/>
        <v>59288287.949999981</v>
      </c>
    </row>
    <row r="3414" spans="1:6" x14ac:dyDescent="0.2">
      <c r="A3414" s="3">
        <v>45833</v>
      </c>
      <c r="B3414" s="43">
        <v>4269874</v>
      </c>
      <c r="C3414" s="20" t="s">
        <v>501</v>
      </c>
      <c r="D3414" s="18">
        <v>150000</v>
      </c>
      <c r="E3414" s="19"/>
      <c r="F3414" s="15">
        <f t="shared" si="57"/>
        <v>59138287.949999981</v>
      </c>
    </row>
    <row r="3415" spans="1:6" x14ac:dyDescent="0.2">
      <c r="A3415" s="3">
        <v>45833</v>
      </c>
      <c r="B3415" s="43">
        <v>4269875</v>
      </c>
      <c r="C3415" s="20" t="s">
        <v>242</v>
      </c>
      <c r="D3415" s="18">
        <v>263235.5</v>
      </c>
      <c r="E3415" s="19"/>
      <c r="F3415" s="15">
        <f t="shared" si="57"/>
        <v>58875052.449999981</v>
      </c>
    </row>
    <row r="3416" spans="1:6" x14ac:dyDescent="0.2">
      <c r="A3416" s="3">
        <v>45833</v>
      </c>
      <c r="B3416" s="43">
        <v>4269876</v>
      </c>
      <c r="C3416" s="20" t="s">
        <v>491</v>
      </c>
      <c r="D3416" s="18">
        <v>1320000</v>
      </c>
      <c r="E3416" s="19"/>
      <c r="F3416" s="15">
        <f t="shared" si="57"/>
        <v>57555052.449999981</v>
      </c>
    </row>
    <row r="3417" spans="1:6" x14ac:dyDescent="0.2">
      <c r="A3417" s="3">
        <v>45833</v>
      </c>
      <c r="B3417" s="43">
        <v>4269877</v>
      </c>
      <c r="C3417" s="20" t="s">
        <v>78</v>
      </c>
      <c r="D3417" s="18">
        <v>1500000</v>
      </c>
      <c r="E3417" s="19"/>
      <c r="F3417" s="15">
        <f t="shared" si="57"/>
        <v>56055052.449999981</v>
      </c>
    </row>
    <row r="3418" spans="1:6" x14ac:dyDescent="0.2">
      <c r="A3418" s="3">
        <v>45833</v>
      </c>
      <c r="B3418" s="43">
        <v>4269879</v>
      </c>
      <c r="C3418" s="20" t="s">
        <v>502</v>
      </c>
      <c r="D3418" s="18">
        <v>1020000</v>
      </c>
      <c r="E3418" s="19"/>
      <c r="F3418" s="15">
        <f t="shared" si="57"/>
        <v>55035052.449999981</v>
      </c>
    </row>
    <row r="3419" spans="1:6" x14ac:dyDescent="0.2">
      <c r="A3419" s="3">
        <v>45833</v>
      </c>
      <c r="B3419" s="43">
        <v>4269880</v>
      </c>
      <c r="C3419" s="20" t="s">
        <v>503</v>
      </c>
      <c r="D3419" s="18">
        <v>150000</v>
      </c>
      <c r="E3419" s="19"/>
      <c r="F3419" s="15">
        <f t="shared" si="57"/>
        <v>54885052.449999981</v>
      </c>
    </row>
    <row r="3420" spans="1:6" x14ac:dyDescent="0.2">
      <c r="A3420" s="3">
        <v>45833</v>
      </c>
      <c r="B3420" s="43">
        <v>11562685</v>
      </c>
      <c r="C3420" s="20" t="s">
        <v>370</v>
      </c>
      <c r="D3420" s="18">
        <v>163350</v>
      </c>
      <c r="E3420" s="19"/>
      <c r="F3420" s="15">
        <f t="shared" si="57"/>
        <v>54721702.449999981</v>
      </c>
    </row>
    <row r="3421" spans="1:6" x14ac:dyDescent="0.2">
      <c r="A3421" s="3">
        <v>45833</v>
      </c>
      <c r="B3421" s="43">
        <v>4269882</v>
      </c>
      <c r="C3421" s="20" t="s">
        <v>504</v>
      </c>
      <c r="D3421" s="18">
        <v>295675</v>
      </c>
      <c r="E3421" s="19"/>
      <c r="F3421" s="15">
        <f t="shared" si="57"/>
        <v>54426027.449999981</v>
      </c>
    </row>
    <row r="3422" spans="1:6" x14ac:dyDescent="0.2">
      <c r="A3422" s="3">
        <v>45833</v>
      </c>
      <c r="B3422" s="45"/>
      <c r="C3422" s="17" t="s">
        <v>16</v>
      </c>
      <c r="D3422" s="18">
        <v>50268.26</v>
      </c>
      <c r="E3422" s="19"/>
      <c r="F3422" s="15">
        <f t="shared" si="57"/>
        <v>54375759.189999983</v>
      </c>
    </row>
    <row r="3423" spans="1:6" x14ac:dyDescent="0.2">
      <c r="A3423" s="3">
        <v>45833</v>
      </c>
      <c r="B3423" s="43">
        <v>13559</v>
      </c>
      <c r="C3423" s="20" t="s">
        <v>477</v>
      </c>
      <c r="D3423" s="18">
        <v>720</v>
      </c>
      <c r="E3423" s="19"/>
      <c r="F3423" s="15">
        <f t="shared" si="57"/>
        <v>54375039.189999983</v>
      </c>
    </row>
    <row r="3424" spans="1:6" x14ac:dyDescent="0.2">
      <c r="A3424" s="3">
        <v>45833</v>
      </c>
      <c r="B3424" s="43">
        <v>13559</v>
      </c>
      <c r="C3424" s="17" t="s">
        <v>227</v>
      </c>
      <c r="D3424" s="18">
        <v>151.19999999999999</v>
      </c>
      <c r="E3424" s="19"/>
      <c r="F3424" s="15">
        <f t="shared" si="57"/>
        <v>54374887.98999998</v>
      </c>
    </row>
    <row r="3425" spans="1:6" x14ac:dyDescent="0.2">
      <c r="A3425" s="3">
        <v>45833</v>
      </c>
      <c r="B3425" s="43">
        <v>13560</v>
      </c>
      <c r="C3425" s="20" t="s">
        <v>477</v>
      </c>
      <c r="D3425" s="18">
        <v>720</v>
      </c>
      <c r="E3425" s="19"/>
      <c r="F3425" s="15">
        <f t="shared" si="57"/>
        <v>54374167.98999998</v>
      </c>
    </row>
    <row r="3426" spans="1:6" x14ac:dyDescent="0.2">
      <c r="A3426" s="3">
        <v>45833</v>
      </c>
      <c r="B3426" s="46">
        <v>13560</v>
      </c>
      <c r="C3426" s="58" t="s">
        <v>227</v>
      </c>
      <c r="D3426" s="48">
        <v>151.19999999999999</v>
      </c>
      <c r="E3426" s="49"/>
      <c r="F3426" s="15">
        <f t="shared" si="57"/>
        <v>54374016.789999977</v>
      </c>
    </row>
    <row r="3427" spans="1:6" x14ac:dyDescent="0.2">
      <c r="A3427" s="3">
        <v>45833</v>
      </c>
      <c r="B3427" s="44">
        <v>13561</v>
      </c>
      <c r="C3427" s="57" t="s">
        <v>477</v>
      </c>
      <c r="D3427" s="23">
        <v>720</v>
      </c>
      <c r="E3427" s="24"/>
      <c r="F3427" s="15">
        <f t="shared" si="57"/>
        <v>54373296.789999977</v>
      </c>
    </row>
    <row r="3428" spans="1:6" x14ac:dyDescent="0.2">
      <c r="A3428" s="3">
        <v>45833</v>
      </c>
      <c r="B3428" s="43">
        <v>13561</v>
      </c>
      <c r="C3428" s="17" t="s">
        <v>227</v>
      </c>
      <c r="D3428" s="18">
        <v>151.19999999999999</v>
      </c>
      <c r="E3428" s="19"/>
      <c r="F3428" s="15">
        <f t="shared" si="57"/>
        <v>54373145.589999974</v>
      </c>
    </row>
    <row r="3429" spans="1:6" x14ac:dyDescent="0.2">
      <c r="A3429" s="3">
        <v>45833</v>
      </c>
      <c r="B3429" s="43">
        <v>13562</v>
      </c>
      <c r="C3429" s="20" t="s">
        <v>477</v>
      </c>
      <c r="D3429" s="18">
        <v>720</v>
      </c>
      <c r="E3429" s="19"/>
      <c r="F3429" s="15">
        <f t="shared" si="57"/>
        <v>54372425.589999974</v>
      </c>
    </row>
    <row r="3430" spans="1:6" x14ac:dyDescent="0.2">
      <c r="A3430" s="3">
        <v>45833</v>
      </c>
      <c r="B3430" s="43">
        <v>13562</v>
      </c>
      <c r="C3430" s="17" t="s">
        <v>227</v>
      </c>
      <c r="D3430" s="18">
        <v>151.19999999999999</v>
      </c>
      <c r="E3430" s="19"/>
      <c r="F3430" s="15">
        <f t="shared" si="57"/>
        <v>54372274.389999971</v>
      </c>
    </row>
    <row r="3431" spans="1:6" x14ac:dyDescent="0.2">
      <c r="A3431" s="3">
        <v>45833</v>
      </c>
      <c r="B3431" s="43">
        <v>13563</v>
      </c>
      <c r="C3431" s="20" t="s">
        <v>477</v>
      </c>
      <c r="D3431" s="18">
        <v>1485</v>
      </c>
      <c r="E3431" s="19"/>
      <c r="F3431" s="15">
        <f t="shared" si="57"/>
        <v>54370789.389999971</v>
      </c>
    </row>
    <row r="3432" spans="1:6" x14ac:dyDescent="0.2">
      <c r="A3432" s="3">
        <v>45833</v>
      </c>
      <c r="B3432" s="43">
        <v>13563</v>
      </c>
      <c r="C3432" s="17" t="s">
        <v>227</v>
      </c>
      <c r="D3432" s="18">
        <v>311.85000000000002</v>
      </c>
      <c r="E3432" s="19"/>
      <c r="F3432" s="15">
        <f t="shared" si="57"/>
        <v>54370477.539999969</v>
      </c>
    </row>
    <row r="3433" spans="1:6" x14ac:dyDescent="0.2">
      <c r="A3433" s="3">
        <v>45833</v>
      </c>
      <c r="B3433" s="43">
        <v>13564</v>
      </c>
      <c r="C3433" s="20" t="s">
        <v>477</v>
      </c>
      <c r="D3433" s="18">
        <v>1485</v>
      </c>
      <c r="E3433" s="19"/>
      <c r="F3433" s="15">
        <f t="shared" si="57"/>
        <v>54368992.539999969</v>
      </c>
    </row>
    <row r="3434" spans="1:6" x14ac:dyDescent="0.2">
      <c r="A3434" s="3">
        <v>45833</v>
      </c>
      <c r="B3434" s="43">
        <v>13564</v>
      </c>
      <c r="C3434" s="17" t="s">
        <v>227</v>
      </c>
      <c r="D3434" s="18">
        <v>311.85000000000002</v>
      </c>
      <c r="E3434" s="19"/>
      <c r="F3434" s="15">
        <f t="shared" si="57"/>
        <v>54368680.689999968</v>
      </c>
    </row>
    <row r="3435" spans="1:6" x14ac:dyDescent="0.2">
      <c r="A3435" s="3">
        <v>45833</v>
      </c>
      <c r="B3435" s="43">
        <v>13565</v>
      </c>
      <c r="C3435" s="20" t="s">
        <v>477</v>
      </c>
      <c r="D3435" s="18">
        <v>1485</v>
      </c>
      <c r="E3435" s="19"/>
      <c r="F3435" s="15">
        <f t="shared" si="57"/>
        <v>54367195.689999968</v>
      </c>
    </row>
    <row r="3436" spans="1:6" x14ac:dyDescent="0.2">
      <c r="A3436" s="3">
        <v>45833</v>
      </c>
      <c r="B3436" s="43">
        <v>13565</v>
      </c>
      <c r="C3436" s="17" t="s">
        <v>227</v>
      </c>
      <c r="D3436" s="18">
        <v>311.85000000000002</v>
      </c>
      <c r="E3436" s="19"/>
      <c r="F3436" s="15">
        <f t="shared" si="57"/>
        <v>54366883.839999966</v>
      </c>
    </row>
    <row r="3437" spans="1:6" x14ac:dyDescent="0.2">
      <c r="A3437" s="3">
        <v>45833</v>
      </c>
      <c r="B3437" s="43">
        <v>13566</v>
      </c>
      <c r="C3437" s="20" t="s">
        <v>477</v>
      </c>
      <c r="D3437" s="18">
        <v>1485</v>
      </c>
      <c r="E3437" s="19"/>
      <c r="F3437" s="15">
        <f t="shared" si="57"/>
        <v>54365398.839999966</v>
      </c>
    </row>
    <row r="3438" spans="1:6" x14ac:dyDescent="0.2">
      <c r="A3438" s="3">
        <v>45833</v>
      </c>
      <c r="B3438" s="43">
        <v>13566</v>
      </c>
      <c r="C3438" s="17" t="s">
        <v>227</v>
      </c>
      <c r="D3438" s="18">
        <v>311.85000000000002</v>
      </c>
      <c r="E3438" s="19"/>
      <c r="F3438" s="15">
        <f t="shared" si="57"/>
        <v>54365086.989999965</v>
      </c>
    </row>
    <row r="3439" spans="1:6" x14ac:dyDescent="0.2">
      <c r="A3439" s="3">
        <v>45833</v>
      </c>
      <c r="B3439" s="43">
        <v>13567</v>
      </c>
      <c r="C3439" s="20" t="s">
        <v>477</v>
      </c>
      <c r="D3439" s="18">
        <v>1485</v>
      </c>
      <c r="E3439" s="19"/>
      <c r="F3439" s="15">
        <f t="shared" si="57"/>
        <v>54363601.989999965</v>
      </c>
    </row>
    <row r="3440" spans="1:6" x14ac:dyDescent="0.2">
      <c r="A3440" s="3">
        <v>45833</v>
      </c>
      <c r="B3440" s="43">
        <v>13567</v>
      </c>
      <c r="C3440" s="17" t="s">
        <v>227</v>
      </c>
      <c r="D3440" s="18">
        <v>311.85000000000002</v>
      </c>
      <c r="E3440" s="19"/>
      <c r="F3440" s="15">
        <f t="shared" si="57"/>
        <v>54363290.139999963</v>
      </c>
    </row>
    <row r="3441" spans="1:6" x14ac:dyDescent="0.2">
      <c r="A3441" s="3">
        <v>45834</v>
      </c>
      <c r="B3441" s="43">
        <v>32300</v>
      </c>
      <c r="C3441" s="17" t="s">
        <v>9</v>
      </c>
      <c r="D3441" s="18">
        <v>2384000</v>
      </c>
      <c r="E3441" s="19"/>
      <c r="F3441" s="15">
        <f t="shared" si="57"/>
        <v>51979290.139999963</v>
      </c>
    </row>
    <row r="3442" spans="1:6" x14ac:dyDescent="0.2">
      <c r="A3442" s="3">
        <v>45834</v>
      </c>
      <c r="B3442" s="43">
        <v>32414</v>
      </c>
      <c r="C3442" s="17" t="s">
        <v>9</v>
      </c>
      <c r="D3442" s="18">
        <v>2413000</v>
      </c>
      <c r="E3442" s="19"/>
      <c r="F3442" s="15">
        <f t="shared" ref="F3442:F3505" si="58">+F3441+E3442-D3442</f>
        <v>49566290.139999963</v>
      </c>
    </row>
    <row r="3443" spans="1:6" x14ac:dyDescent="0.2">
      <c r="A3443" s="3">
        <v>45834</v>
      </c>
      <c r="B3443" s="43">
        <v>220486</v>
      </c>
      <c r="C3443" s="20" t="s">
        <v>505</v>
      </c>
      <c r="D3443" s="19"/>
      <c r="E3443" s="18">
        <v>15123.24</v>
      </c>
      <c r="F3443" s="15">
        <f t="shared" si="58"/>
        <v>49581413.379999965</v>
      </c>
    </row>
    <row r="3444" spans="1:6" x14ac:dyDescent="0.2">
      <c r="A3444" s="3">
        <v>45834</v>
      </c>
      <c r="B3444" s="43">
        <v>583515</v>
      </c>
      <c r="C3444" s="20" t="s">
        <v>89</v>
      </c>
      <c r="D3444" s="25"/>
      <c r="E3444" s="25">
        <v>2556485.34</v>
      </c>
      <c r="F3444" s="15">
        <f t="shared" si="58"/>
        <v>52137898.719999969</v>
      </c>
    </row>
    <row r="3445" spans="1:6" x14ac:dyDescent="0.2">
      <c r="A3445" s="3">
        <v>45834</v>
      </c>
      <c r="B3445" s="43">
        <v>5851964</v>
      </c>
      <c r="C3445" s="20" t="s">
        <v>506</v>
      </c>
      <c r="D3445" s="19"/>
      <c r="E3445" s="18">
        <v>504634.02</v>
      </c>
      <c r="F3445" s="15">
        <f t="shared" si="58"/>
        <v>52642532.739999972</v>
      </c>
    </row>
    <row r="3446" spans="1:6" x14ac:dyDescent="0.2">
      <c r="A3446" s="3">
        <v>45834</v>
      </c>
      <c r="B3446" s="43">
        <v>71838926</v>
      </c>
      <c r="C3446" s="20" t="s">
        <v>318</v>
      </c>
      <c r="D3446" s="18">
        <v>222000</v>
      </c>
      <c r="E3446" s="19"/>
      <c r="F3446" s="15">
        <f t="shared" si="58"/>
        <v>52420532.739999972</v>
      </c>
    </row>
    <row r="3447" spans="1:6" x14ac:dyDescent="0.2">
      <c r="A3447" s="3">
        <v>45834</v>
      </c>
      <c r="B3447" s="43">
        <v>4066848</v>
      </c>
      <c r="C3447" s="20" t="s">
        <v>85</v>
      </c>
      <c r="D3447" s="18">
        <v>2000000</v>
      </c>
      <c r="E3447" s="19"/>
      <c r="F3447" s="15">
        <f t="shared" si="58"/>
        <v>50420532.739999972</v>
      </c>
    </row>
    <row r="3448" spans="1:6" x14ac:dyDescent="0.2">
      <c r="A3448" s="3">
        <v>45834</v>
      </c>
      <c r="B3448" s="43">
        <v>4066849</v>
      </c>
      <c r="C3448" s="20" t="s">
        <v>86</v>
      </c>
      <c r="D3448" s="18">
        <v>195000</v>
      </c>
      <c r="E3448" s="19"/>
      <c r="F3448" s="15">
        <f t="shared" si="58"/>
        <v>50225532.739999972</v>
      </c>
    </row>
    <row r="3449" spans="1:6" x14ac:dyDescent="0.2">
      <c r="A3449" s="3">
        <v>45834</v>
      </c>
      <c r="B3449" s="43">
        <v>4066851</v>
      </c>
      <c r="C3449" s="20" t="s">
        <v>49</v>
      </c>
      <c r="D3449" s="18">
        <v>267716.5</v>
      </c>
      <c r="E3449" s="19"/>
      <c r="F3449" s="15">
        <f t="shared" si="58"/>
        <v>49957816.239999972</v>
      </c>
    </row>
    <row r="3450" spans="1:6" x14ac:dyDescent="0.2">
      <c r="A3450" s="3">
        <v>45834</v>
      </c>
      <c r="B3450" s="43">
        <v>16102438</v>
      </c>
      <c r="C3450" s="20" t="s">
        <v>470</v>
      </c>
      <c r="D3450" s="18">
        <v>270000</v>
      </c>
      <c r="E3450" s="19"/>
      <c r="F3450" s="15">
        <f t="shared" si="58"/>
        <v>49687816.239999972</v>
      </c>
    </row>
    <row r="3451" spans="1:6" x14ac:dyDescent="0.2">
      <c r="A3451" s="3">
        <v>45834</v>
      </c>
      <c r="B3451" s="46">
        <v>16102784</v>
      </c>
      <c r="C3451" s="56" t="s">
        <v>470</v>
      </c>
      <c r="D3451" s="48">
        <v>270000</v>
      </c>
      <c r="E3451" s="49"/>
      <c r="F3451" s="15">
        <f t="shared" si="58"/>
        <v>49417816.239999972</v>
      </c>
    </row>
    <row r="3452" spans="1:6" x14ac:dyDescent="0.2">
      <c r="A3452" s="3">
        <v>45834</v>
      </c>
      <c r="B3452" s="44">
        <v>16197172</v>
      </c>
      <c r="C3452" s="57" t="s">
        <v>470</v>
      </c>
      <c r="D3452" s="23">
        <v>270000</v>
      </c>
      <c r="E3452" s="24"/>
      <c r="F3452" s="15">
        <f t="shared" si="58"/>
        <v>49147816.239999972</v>
      </c>
    </row>
    <row r="3453" spans="1:6" x14ac:dyDescent="0.2">
      <c r="A3453" s="3">
        <v>45834</v>
      </c>
      <c r="B3453" s="43">
        <v>18500756</v>
      </c>
      <c r="C3453" s="20" t="s">
        <v>319</v>
      </c>
      <c r="D3453" s="18">
        <v>4900000</v>
      </c>
      <c r="E3453" s="19"/>
      <c r="F3453" s="15">
        <f t="shared" si="58"/>
        <v>44247816.239999972</v>
      </c>
    </row>
    <row r="3454" spans="1:6" x14ac:dyDescent="0.2">
      <c r="A3454" s="3">
        <v>45834</v>
      </c>
      <c r="B3454" s="43">
        <v>18500757</v>
      </c>
      <c r="C3454" s="20" t="s">
        <v>319</v>
      </c>
      <c r="D3454" s="18">
        <v>285011</v>
      </c>
      <c r="E3454" s="19"/>
      <c r="F3454" s="15">
        <f t="shared" si="58"/>
        <v>43962805.239999972</v>
      </c>
    </row>
    <row r="3455" spans="1:6" x14ac:dyDescent="0.2">
      <c r="A3455" s="3">
        <v>45834</v>
      </c>
      <c r="B3455" s="43">
        <v>18500758</v>
      </c>
      <c r="C3455" s="20" t="s">
        <v>319</v>
      </c>
      <c r="D3455" s="18">
        <v>976000</v>
      </c>
      <c r="E3455" s="19"/>
      <c r="F3455" s="15">
        <f t="shared" si="58"/>
        <v>42986805.239999972</v>
      </c>
    </row>
    <row r="3456" spans="1:6" x14ac:dyDescent="0.2">
      <c r="A3456" s="3">
        <v>45834</v>
      </c>
      <c r="B3456" s="43">
        <v>18500759</v>
      </c>
      <c r="C3456" s="20" t="s">
        <v>319</v>
      </c>
      <c r="D3456" s="18">
        <v>907010</v>
      </c>
      <c r="E3456" s="19"/>
      <c r="F3456" s="15">
        <f t="shared" si="58"/>
        <v>42079795.239999972</v>
      </c>
    </row>
    <row r="3457" spans="1:6" x14ac:dyDescent="0.2">
      <c r="A3457" s="3">
        <v>45834</v>
      </c>
      <c r="B3457" s="43">
        <v>18500760</v>
      </c>
      <c r="C3457" s="20" t="s">
        <v>319</v>
      </c>
      <c r="D3457" s="18">
        <v>688000</v>
      </c>
      <c r="E3457" s="19"/>
      <c r="F3457" s="15">
        <f t="shared" si="58"/>
        <v>41391795.239999972</v>
      </c>
    </row>
    <row r="3458" spans="1:6" x14ac:dyDescent="0.2">
      <c r="A3458" s="3">
        <v>45834</v>
      </c>
      <c r="B3458" s="43">
        <v>18500761</v>
      </c>
      <c r="C3458" s="20" t="s">
        <v>319</v>
      </c>
      <c r="D3458" s="18">
        <v>551100</v>
      </c>
      <c r="E3458" s="19"/>
      <c r="F3458" s="15">
        <f t="shared" si="58"/>
        <v>40840695.239999972</v>
      </c>
    </row>
    <row r="3459" spans="1:6" x14ac:dyDescent="0.2">
      <c r="A3459" s="3">
        <v>45834</v>
      </c>
      <c r="B3459" s="43">
        <v>18500762</v>
      </c>
      <c r="C3459" s="20" t="s">
        <v>319</v>
      </c>
      <c r="D3459" s="18">
        <v>200000</v>
      </c>
      <c r="E3459" s="19"/>
      <c r="F3459" s="15">
        <f t="shared" si="58"/>
        <v>40640695.239999972</v>
      </c>
    </row>
    <row r="3460" spans="1:6" x14ac:dyDescent="0.2">
      <c r="A3460" s="3">
        <v>45834</v>
      </c>
      <c r="B3460" s="43">
        <v>18500763</v>
      </c>
      <c r="C3460" s="20" t="s">
        <v>319</v>
      </c>
      <c r="D3460" s="18">
        <v>5232200</v>
      </c>
      <c r="E3460" s="19"/>
      <c r="F3460" s="15">
        <f t="shared" si="58"/>
        <v>35408495.239999972</v>
      </c>
    </row>
    <row r="3461" spans="1:6" x14ac:dyDescent="0.2">
      <c r="A3461" s="3">
        <v>45834</v>
      </c>
      <c r="B3461" s="43">
        <v>18500764</v>
      </c>
      <c r="C3461" s="20" t="s">
        <v>319</v>
      </c>
      <c r="D3461" s="18">
        <v>222000</v>
      </c>
      <c r="E3461" s="19"/>
      <c r="F3461" s="15">
        <f t="shared" si="58"/>
        <v>35186495.239999972</v>
      </c>
    </row>
    <row r="3462" spans="1:6" x14ac:dyDescent="0.2">
      <c r="A3462" s="3">
        <v>45834</v>
      </c>
      <c r="B3462" s="43">
        <v>18500765</v>
      </c>
      <c r="C3462" s="20" t="s">
        <v>319</v>
      </c>
      <c r="D3462" s="18">
        <v>741000</v>
      </c>
      <c r="E3462" s="19"/>
      <c r="F3462" s="15">
        <f t="shared" si="58"/>
        <v>34445495.239999972</v>
      </c>
    </row>
    <row r="3463" spans="1:6" x14ac:dyDescent="0.2">
      <c r="A3463" s="3">
        <v>45834</v>
      </c>
      <c r="B3463" s="43">
        <v>18500766</v>
      </c>
      <c r="C3463" s="20" t="s">
        <v>319</v>
      </c>
      <c r="D3463" s="18">
        <v>3166350</v>
      </c>
      <c r="E3463" s="19"/>
      <c r="F3463" s="15">
        <f t="shared" si="58"/>
        <v>31279145.239999972</v>
      </c>
    </row>
    <row r="3464" spans="1:6" x14ac:dyDescent="0.2">
      <c r="A3464" s="3">
        <v>45834</v>
      </c>
      <c r="B3464" s="43">
        <v>18500767</v>
      </c>
      <c r="C3464" s="20" t="s">
        <v>319</v>
      </c>
      <c r="D3464" s="18">
        <v>1042150</v>
      </c>
      <c r="E3464" s="19"/>
      <c r="F3464" s="15">
        <f t="shared" si="58"/>
        <v>30236995.239999972</v>
      </c>
    </row>
    <row r="3465" spans="1:6" x14ac:dyDescent="0.2">
      <c r="A3465" s="3">
        <v>45834</v>
      </c>
      <c r="B3465" s="43">
        <v>18500768</v>
      </c>
      <c r="C3465" s="20" t="s">
        <v>319</v>
      </c>
      <c r="D3465" s="18">
        <v>2782500</v>
      </c>
      <c r="E3465" s="19"/>
      <c r="F3465" s="15">
        <f t="shared" si="58"/>
        <v>27454495.239999972</v>
      </c>
    </row>
    <row r="3466" spans="1:6" x14ac:dyDescent="0.2">
      <c r="A3466" s="3">
        <v>45834</v>
      </c>
      <c r="B3466" s="43">
        <v>18500769</v>
      </c>
      <c r="C3466" s="20" t="s">
        <v>319</v>
      </c>
      <c r="D3466" s="18">
        <v>1955000</v>
      </c>
      <c r="E3466" s="19"/>
      <c r="F3466" s="15">
        <f t="shared" si="58"/>
        <v>25499495.239999972</v>
      </c>
    </row>
    <row r="3467" spans="1:6" x14ac:dyDescent="0.2">
      <c r="A3467" s="3">
        <v>45834</v>
      </c>
      <c r="B3467" s="43">
        <v>18500770</v>
      </c>
      <c r="C3467" s="20" t="s">
        <v>319</v>
      </c>
      <c r="D3467" s="18">
        <v>760000</v>
      </c>
      <c r="E3467" s="19"/>
      <c r="F3467" s="15">
        <f t="shared" si="58"/>
        <v>24739495.239999972</v>
      </c>
    </row>
    <row r="3468" spans="1:6" x14ac:dyDescent="0.2">
      <c r="A3468" s="3">
        <v>45834</v>
      </c>
      <c r="B3468" s="43">
        <v>18500771</v>
      </c>
      <c r="C3468" s="20" t="s">
        <v>319</v>
      </c>
      <c r="D3468" s="18">
        <v>503310</v>
      </c>
      <c r="E3468" s="19"/>
      <c r="F3468" s="15">
        <f t="shared" si="58"/>
        <v>24236185.239999972</v>
      </c>
    </row>
    <row r="3469" spans="1:6" x14ac:dyDescent="0.2">
      <c r="A3469" s="3">
        <v>45834</v>
      </c>
      <c r="B3469" s="43">
        <v>18500772</v>
      </c>
      <c r="C3469" s="20" t="s">
        <v>319</v>
      </c>
      <c r="D3469" s="18">
        <v>114000</v>
      </c>
      <c r="E3469" s="19"/>
      <c r="F3469" s="15">
        <f t="shared" si="58"/>
        <v>24122185.239999972</v>
      </c>
    </row>
    <row r="3470" spans="1:6" x14ac:dyDescent="0.2">
      <c r="A3470" s="3">
        <v>45834</v>
      </c>
      <c r="B3470" s="43">
        <v>18500773</v>
      </c>
      <c r="C3470" s="20" t="s">
        <v>319</v>
      </c>
      <c r="D3470" s="18">
        <v>776720</v>
      </c>
      <c r="E3470" s="19"/>
      <c r="F3470" s="15">
        <f t="shared" si="58"/>
        <v>23345465.239999972</v>
      </c>
    </row>
    <row r="3471" spans="1:6" x14ac:dyDescent="0.2">
      <c r="A3471" s="3">
        <v>45834</v>
      </c>
      <c r="B3471" s="43">
        <v>18500774</v>
      </c>
      <c r="C3471" s="20" t="s">
        <v>319</v>
      </c>
      <c r="D3471" s="18">
        <v>1196240</v>
      </c>
      <c r="E3471" s="19"/>
      <c r="F3471" s="15">
        <f t="shared" si="58"/>
        <v>22149225.239999972</v>
      </c>
    </row>
    <row r="3472" spans="1:6" x14ac:dyDescent="0.2">
      <c r="A3472" s="3">
        <v>45834</v>
      </c>
      <c r="B3472" s="43">
        <v>18500775</v>
      </c>
      <c r="C3472" s="20" t="s">
        <v>319</v>
      </c>
      <c r="D3472" s="18">
        <v>596640</v>
      </c>
      <c r="E3472" s="19"/>
      <c r="F3472" s="15">
        <f t="shared" si="58"/>
        <v>21552585.239999972</v>
      </c>
    </row>
    <row r="3473" spans="1:6" x14ac:dyDescent="0.2">
      <c r="A3473" s="3">
        <v>45834</v>
      </c>
      <c r="B3473" s="43">
        <v>18500776</v>
      </c>
      <c r="C3473" s="20" t="s">
        <v>319</v>
      </c>
      <c r="D3473" s="18">
        <v>616000</v>
      </c>
      <c r="E3473" s="19"/>
      <c r="F3473" s="15">
        <f t="shared" si="58"/>
        <v>20936585.239999972</v>
      </c>
    </row>
    <row r="3474" spans="1:6" x14ac:dyDescent="0.2">
      <c r="A3474" s="3">
        <v>45834</v>
      </c>
      <c r="B3474" s="46">
        <v>18500777</v>
      </c>
      <c r="C3474" s="56" t="s">
        <v>319</v>
      </c>
      <c r="D3474" s="48">
        <v>789710</v>
      </c>
      <c r="E3474" s="49"/>
      <c r="F3474" s="15">
        <f t="shared" si="58"/>
        <v>20146875.239999972</v>
      </c>
    </row>
    <row r="3475" spans="1:6" x14ac:dyDescent="0.2">
      <c r="A3475" s="3">
        <v>45834</v>
      </c>
      <c r="B3475" s="44">
        <v>18500778</v>
      </c>
      <c r="C3475" s="57" t="s">
        <v>319</v>
      </c>
      <c r="D3475" s="23">
        <v>1615950</v>
      </c>
      <c r="E3475" s="24"/>
      <c r="F3475" s="15">
        <f t="shared" si="58"/>
        <v>18530925.239999972</v>
      </c>
    </row>
    <row r="3476" spans="1:6" x14ac:dyDescent="0.2">
      <c r="A3476" s="3">
        <v>45834</v>
      </c>
      <c r="B3476" s="43">
        <v>18500779</v>
      </c>
      <c r="C3476" s="20" t="s">
        <v>319</v>
      </c>
      <c r="D3476" s="18">
        <v>300000</v>
      </c>
      <c r="E3476" s="19"/>
      <c r="F3476" s="15">
        <f t="shared" si="58"/>
        <v>18230925.239999972</v>
      </c>
    </row>
    <row r="3477" spans="1:6" x14ac:dyDescent="0.2">
      <c r="A3477" s="3">
        <v>45834</v>
      </c>
      <c r="B3477" s="43">
        <v>18500780</v>
      </c>
      <c r="C3477" s="20" t="s">
        <v>319</v>
      </c>
      <c r="D3477" s="18">
        <v>241200</v>
      </c>
      <c r="E3477" s="19"/>
      <c r="F3477" s="15">
        <f t="shared" si="58"/>
        <v>17989725.239999972</v>
      </c>
    </row>
    <row r="3478" spans="1:6" x14ac:dyDescent="0.2">
      <c r="A3478" s="3">
        <v>45834</v>
      </c>
      <c r="B3478" s="43">
        <v>18500781</v>
      </c>
      <c r="C3478" s="20" t="s">
        <v>319</v>
      </c>
      <c r="D3478" s="18">
        <v>860000</v>
      </c>
      <c r="E3478" s="19"/>
      <c r="F3478" s="15">
        <f t="shared" si="58"/>
        <v>17129725.239999972</v>
      </c>
    </row>
    <row r="3479" spans="1:6" x14ac:dyDescent="0.2">
      <c r="A3479" s="3">
        <v>45834</v>
      </c>
      <c r="B3479" s="43">
        <v>18500782</v>
      </c>
      <c r="C3479" s="20" t="s">
        <v>319</v>
      </c>
      <c r="D3479" s="18">
        <v>2820000</v>
      </c>
      <c r="E3479" s="19"/>
      <c r="F3479" s="15">
        <f t="shared" si="58"/>
        <v>14309725.239999972</v>
      </c>
    </row>
    <row r="3480" spans="1:6" x14ac:dyDescent="0.2">
      <c r="A3480" s="3">
        <v>45834</v>
      </c>
      <c r="B3480" s="43">
        <v>18500783</v>
      </c>
      <c r="C3480" s="20" t="s">
        <v>319</v>
      </c>
      <c r="D3480" s="18">
        <v>500000</v>
      </c>
      <c r="E3480" s="19"/>
      <c r="F3480" s="15">
        <f t="shared" si="58"/>
        <v>13809725.239999972</v>
      </c>
    </row>
    <row r="3481" spans="1:6" x14ac:dyDescent="0.2">
      <c r="A3481" s="3">
        <v>45834</v>
      </c>
      <c r="B3481" s="43">
        <v>18500784</v>
      </c>
      <c r="C3481" s="20" t="s">
        <v>319</v>
      </c>
      <c r="D3481" s="18">
        <v>1818690</v>
      </c>
      <c r="E3481" s="19"/>
      <c r="F3481" s="15">
        <f t="shared" si="58"/>
        <v>11991035.239999972</v>
      </c>
    </row>
    <row r="3482" spans="1:6" x14ac:dyDescent="0.2">
      <c r="A3482" s="3">
        <v>45834</v>
      </c>
      <c r="B3482" s="43">
        <v>18500785</v>
      </c>
      <c r="C3482" s="20" t="s">
        <v>319</v>
      </c>
      <c r="D3482" s="18">
        <v>660000</v>
      </c>
      <c r="E3482" s="19"/>
      <c r="F3482" s="15">
        <f t="shared" si="58"/>
        <v>11331035.239999972</v>
      </c>
    </row>
    <row r="3483" spans="1:6" x14ac:dyDescent="0.2">
      <c r="A3483" s="3">
        <v>45834</v>
      </c>
      <c r="B3483" s="43">
        <v>18500786</v>
      </c>
      <c r="C3483" s="20" t="s">
        <v>319</v>
      </c>
      <c r="D3483" s="18">
        <v>3390800</v>
      </c>
      <c r="E3483" s="19"/>
      <c r="F3483" s="15">
        <f t="shared" si="58"/>
        <v>7940235.2399999723</v>
      </c>
    </row>
    <row r="3484" spans="1:6" x14ac:dyDescent="0.2">
      <c r="A3484" s="3">
        <v>45834</v>
      </c>
      <c r="B3484" s="43">
        <v>18500787</v>
      </c>
      <c r="C3484" s="20" t="s">
        <v>319</v>
      </c>
      <c r="D3484" s="18">
        <v>370500</v>
      </c>
      <c r="E3484" s="19"/>
      <c r="F3484" s="15">
        <f t="shared" si="58"/>
        <v>7569735.2399999723</v>
      </c>
    </row>
    <row r="3485" spans="1:6" x14ac:dyDescent="0.2">
      <c r="A3485" s="3">
        <v>45834</v>
      </c>
      <c r="B3485" s="43">
        <v>18500788</v>
      </c>
      <c r="C3485" s="20" t="s">
        <v>319</v>
      </c>
      <c r="D3485" s="18">
        <v>1664000</v>
      </c>
      <c r="E3485" s="19"/>
      <c r="F3485" s="15">
        <f t="shared" si="58"/>
        <v>5905735.2399999723</v>
      </c>
    </row>
    <row r="3486" spans="1:6" x14ac:dyDescent="0.2">
      <c r="A3486" s="3">
        <v>45834</v>
      </c>
      <c r="B3486" s="43">
        <v>18500789</v>
      </c>
      <c r="C3486" s="20" t="s">
        <v>319</v>
      </c>
      <c r="D3486" s="18">
        <v>4690530</v>
      </c>
      <c r="E3486" s="19"/>
      <c r="F3486" s="15">
        <f t="shared" si="58"/>
        <v>1215205.2399999723</v>
      </c>
    </row>
    <row r="3487" spans="1:6" x14ac:dyDescent="0.2">
      <c r="A3487" s="3">
        <v>45834</v>
      </c>
      <c r="B3487" s="43">
        <v>18500790</v>
      </c>
      <c r="C3487" s="20" t="s">
        <v>319</v>
      </c>
      <c r="D3487" s="18">
        <v>1958800</v>
      </c>
      <c r="E3487" s="19"/>
      <c r="F3487" s="15">
        <f t="shared" si="58"/>
        <v>-743594.76000002772</v>
      </c>
    </row>
    <row r="3488" spans="1:6" x14ac:dyDescent="0.2">
      <c r="A3488" s="3">
        <v>45834</v>
      </c>
      <c r="B3488" s="43">
        <v>18500791</v>
      </c>
      <c r="C3488" s="20" t="s">
        <v>319</v>
      </c>
      <c r="D3488" s="18">
        <v>1000000</v>
      </c>
      <c r="E3488" s="19"/>
      <c r="F3488" s="15">
        <f t="shared" si="58"/>
        <v>-1743594.7600000277</v>
      </c>
    </row>
    <row r="3489" spans="1:6" x14ac:dyDescent="0.2">
      <c r="A3489" s="3">
        <v>45834</v>
      </c>
      <c r="B3489" s="43">
        <v>18500792</v>
      </c>
      <c r="C3489" s="20" t="s">
        <v>319</v>
      </c>
      <c r="D3489" s="18">
        <v>816450</v>
      </c>
      <c r="E3489" s="19"/>
      <c r="F3489" s="15">
        <f t="shared" si="58"/>
        <v>-2560044.7600000277</v>
      </c>
    </row>
    <row r="3490" spans="1:6" x14ac:dyDescent="0.2">
      <c r="A3490" s="3">
        <v>45834</v>
      </c>
      <c r="B3490" s="43">
        <v>18500793</v>
      </c>
      <c r="C3490" s="20" t="s">
        <v>319</v>
      </c>
      <c r="D3490" s="18">
        <v>1194200</v>
      </c>
      <c r="E3490" s="19"/>
      <c r="F3490" s="15">
        <f t="shared" si="58"/>
        <v>-3754244.7600000277</v>
      </c>
    </row>
    <row r="3491" spans="1:6" x14ac:dyDescent="0.2">
      <c r="A3491" s="3">
        <v>45834</v>
      </c>
      <c r="B3491" s="43">
        <v>18500794</v>
      </c>
      <c r="C3491" s="20" t="s">
        <v>319</v>
      </c>
      <c r="D3491" s="18">
        <v>1584000</v>
      </c>
      <c r="E3491" s="19"/>
      <c r="F3491" s="15">
        <f t="shared" si="58"/>
        <v>-5338244.7600000277</v>
      </c>
    </row>
    <row r="3492" spans="1:6" x14ac:dyDescent="0.2">
      <c r="A3492" s="3">
        <v>45834</v>
      </c>
      <c r="B3492" s="43">
        <v>18500795</v>
      </c>
      <c r="C3492" s="20" t="s">
        <v>319</v>
      </c>
      <c r="D3492" s="18">
        <v>722950</v>
      </c>
      <c r="E3492" s="19"/>
      <c r="F3492" s="15">
        <f t="shared" si="58"/>
        <v>-6061194.7600000277</v>
      </c>
    </row>
    <row r="3493" spans="1:6" x14ac:dyDescent="0.2">
      <c r="A3493" s="3">
        <v>45834</v>
      </c>
      <c r="B3493" s="43">
        <v>18500796</v>
      </c>
      <c r="C3493" s="20" t="s">
        <v>319</v>
      </c>
      <c r="D3493" s="18">
        <v>63000</v>
      </c>
      <c r="E3493" s="19"/>
      <c r="F3493" s="15">
        <f t="shared" si="58"/>
        <v>-6124194.7600000277</v>
      </c>
    </row>
    <row r="3494" spans="1:6" x14ac:dyDescent="0.2">
      <c r="A3494" s="3">
        <v>45834</v>
      </c>
      <c r="B3494" s="43">
        <v>18500797</v>
      </c>
      <c r="C3494" s="20" t="s">
        <v>319</v>
      </c>
      <c r="D3494" s="18">
        <v>500000</v>
      </c>
      <c r="E3494" s="19"/>
      <c r="F3494" s="15">
        <f t="shared" si="58"/>
        <v>-6624194.7600000277</v>
      </c>
    </row>
    <row r="3495" spans="1:6" x14ac:dyDescent="0.2">
      <c r="A3495" s="3">
        <v>45834</v>
      </c>
      <c r="B3495" s="43">
        <v>18500798</v>
      </c>
      <c r="C3495" s="20" t="s">
        <v>319</v>
      </c>
      <c r="D3495" s="18">
        <v>1643500</v>
      </c>
      <c r="E3495" s="19"/>
      <c r="F3495" s="15">
        <f t="shared" si="58"/>
        <v>-8267694.7600000277</v>
      </c>
    </row>
    <row r="3496" spans="1:6" x14ac:dyDescent="0.2">
      <c r="A3496" s="3">
        <v>45834</v>
      </c>
      <c r="B3496" s="43">
        <v>18500799</v>
      </c>
      <c r="C3496" s="20" t="s">
        <v>319</v>
      </c>
      <c r="D3496" s="18">
        <v>1738500</v>
      </c>
      <c r="E3496" s="19"/>
      <c r="F3496" s="15">
        <f t="shared" si="58"/>
        <v>-10006194.760000028</v>
      </c>
    </row>
    <row r="3497" spans="1:6" x14ac:dyDescent="0.2">
      <c r="A3497" s="3">
        <v>45834</v>
      </c>
      <c r="B3497" s="46">
        <v>18500800</v>
      </c>
      <c r="C3497" s="56" t="s">
        <v>319</v>
      </c>
      <c r="D3497" s="48">
        <v>85500</v>
      </c>
      <c r="E3497" s="49"/>
      <c r="F3497" s="15">
        <f t="shared" si="58"/>
        <v>-10091694.760000028</v>
      </c>
    </row>
    <row r="3498" spans="1:6" x14ac:dyDescent="0.2">
      <c r="A3498" s="3">
        <v>45834</v>
      </c>
      <c r="B3498" s="44">
        <v>18500801</v>
      </c>
      <c r="C3498" s="57" t="s">
        <v>319</v>
      </c>
      <c r="D3498" s="23">
        <v>242000</v>
      </c>
      <c r="E3498" s="24"/>
      <c r="F3498" s="15">
        <f t="shared" si="58"/>
        <v>-10333694.760000028</v>
      </c>
    </row>
    <row r="3499" spans="1:6" x14ac:dyDescent="0.2">
      <c r="A3499" s="3">
        <v>45834</v>
      </c>
      <c r="B3499" s="43">
        <v>18500802</v>
      </c>
      <c r="C3499" s="20" t="s">
        <v>319</v>
      </c>
      <c r="D3499" s="18">
        <v>1201750</v>
      </c>
      <c r="E3499" s="19"/>
      <c r="F3499" s="15">
        <f t="shared" si="58"/>
        <v>-11535444.760000028</v>
      </c>
    </row>
    <row r="3500" spans="1:6" x14ac:dyDescent="0.2">
      <c r="A3500" s="3">
        <v>45834</v>
      </c>
      <c r="B3500" s="43">
        <v>18500803</v>
      </c>
      <c r="C3500" s="20" t="s">
        <v>319</v>
      </c>
      <c r="D3500" s="18">
        <v>520000</v>
      </c>
      <c r="E3500" s="19"/>
      <c r="F3500" s="15">
        <f t="shared" si="58"/>
        <v>-12055444.760000028</v>
      </c>
    </row>
    <row r="3501" spans="1:6" x14ac:dyDescent="0.2">
      <c r="A3501" s="3">
        <v>45834</v>
      </c>
      <c r="B3501" s="43">
        <v>18500804</v>
      </c>
      <c r="C3501" s="20" t="s">
        <v>319</v>
      </c>
      <c r="D3501" s="18">
        <v>4435550</v>
      </c>
      <c r="E3501" s="19"/>
      <c r="F3501" s="15">
        <f t="shared" si="58"/>
        <v>-16490994.760000028</v>
      </c>
    </row>
    <row r="3502" spans="1:6" x14ac:dyDescent="0.2">
      <c r="A3502" s="3">
        <v>45834</v>
      </c>
      <c r="B3502" s="43">
        <v>18500805</v>
      </c>
      <c r="C3502" s="20" t="s">
        <v>319</v>
      </c>
      <c r="D3502" s="18">
        <v>180000</v>
      </c>
      <c r="E3502" s="19"/>
      <c r="F3502" s="15">
        <f t="shared" si="58"/>
        <v>-16670994.760000028</v>
      </c>
    </row>
    <row r="3503" spans="1:6" x14ac:dyDescent="0.2">
      <c r="A3503" s="3">
        <v>45834</v>
      </c>
      <c r="B3503" s="43">
        <v>18500806</v>
      </c>
      <c r="C3503" s="20" t="s">
        <v>319</v>
      </c>
      <c r="D3503" s="18">
        <v>1100000</v>
      </c>
      <c r="E3503" s="19"/>
      <c r="F3503" s="15">
        <f t="shared" si="58"/>
        <v>-17770994.760000028</v>
      </c>
    </row>
    <row r="3504" spans="1:6" x14ac:dyDescent="0.2">
      <c r="A3504" s="3">
        <v>45834</v>
      </c>
      <c r="B3504" s="43">
        <v>18500807</v>
      </c>
      <c r="C3504" s="20" t="s">
        <v>319</v>
      </c>
      <c r="D3504" s="18">
        <v>1363250</v>
      </c>
      <c r="E3504" s="19"/>
      <c r="F3504" s="15">
        <f t="shared" si="58"/>
        <v>-19134244.760000028</v>
      </c>
    </row>
    <row r="3505" spans="1:6" x14ac:dyDescent="0.2">
      <c r="A3505" s="3">
        <v>45834</v>
      </c>
      <c r="B3505" s="43">
        <v>18500808</v>
      </c>
      <c r="C3505" s="20" t="s">
        <v>319</v>
      </c>
      <c r="D3505" s="18">
        <v>1482000</v>
      </c>
      <c r="E3505" s="19"/>
      <c r="F3505" s="15">
        <f t="shared" si="58"/>
        <v>-20616244.760000028</v>
      </c>
    </row>
    <row r="3506" spans="1:6" x14ac:dyDescent="0.2">
      <c r="A3506" s="3">
        <v>45834</v>
      </c>
      <c r="B3506" s="43">
        <v>18500809</v>
      </c>
      <c r="C3506" s="20" t="s">
        <v>319</v>
      </c>
      <c r="D3506" s="18">
        <v>600000</v>
      </c>
      <c r="E3506" s="19"/>
      <c r="F3506" s="15">
        <f t="shared" ref="F3506:F3550" si="59">+F3505+E3506-D3506</f>
        <v>-21216244.760000028</v>
      </c>
    </row>
    <row r="3507" spans="1:6" x14ac:dyDescent="0.2">
      <c r="A3507" s="3">
        <v>45834</v>
      </c>
      <c r="B3507" s="43">
        <v>18500810</v>
      </c>
      <c r="C3507" s="20" t="s">
        <v>319</v>
      </c>
      <c r="D3507" s="18">
        <v>704000</v>
      </c>
      <c r="E3507" s="19"/>
      <c r="F3507" s="15">
        <f t="shared" si="59"/>
        <v>-21920244.760000028</v>
      </c>
    </row>
    <row r="3508" spans="1:6" x14ac:dyDescent="0.2">
      <c r="A3508" s="3">
        <v>45834</v>
      </c>
      <c r="B3508" s="43">
        <v>18500811</v>
      </c>
      <c r="C3508" s="20" t="s">
        <v>319</v>
      </c>
      <c r="D3508" s="18">
        <v>162000</v>
      </c>
      <c r="E3508" s="19"/>
      <c r="F3508" s="15">
        <f t="shared" si="59"/>
        <v>-22082244.760000028</v>
      </c>
    </row>
    <row r="3509" spans="1:6" x14ac:dyDescent="0.2">
      <c r="A3509" s="3">
        <v>45834</v>
      </c>
      <c r="B3509" s="43">
        <v>18500812</v>
      </c>
      <c r="C3509" s="20" t="s">
        <v>319</v>
      </c>
      <c r="D3509" s="18">
        <v>1391000</v>
      </c>
      <c r="E3509" s="19"/>
      <c r="F3509" s="15">
        <f t="shared" si="59"/>
        <v>-23473244.760000028</v>
      </c>
    </row>
    <row r="3510" spans="1:6" x14ac:dyDescent="0.2">
      <c r="A3510" s="3">
        <v>45834</v>
      </c>
      <c r="B3510" s="43">
        <v>18500813</v>
      </c>
      <c r="C3510" s="20" t="s">
        <v>319</v>
      </c>
      <c r="D3510" s="18">
        <v>75000</v>
      </c>
      <c r="E3510" s="19"/>
      <c r="F3510" s="15">
        <f t="shared" si="59"/>
        <v>-23548244.760000028</v>
      </c>
    </row>
    <row r="3511" spans="1:6" x14ac:dyDescent="0.2">
      <c r="A3511" s="3">
        <v>45834</v>
      </c>
      <c r="B3511" s="43">
        <v>7327466</v>
      </c>
      <c r="C3511" s="17" t="s">
        <v>106</v>
      </c>
      <c r="D3511" s="25"/>
      <c r="E3511" s="25">
        <v>60027419.950000003</v>
      </c>
      <c r="F3511" s="15">
        <f t="shared" si="59"/>
        <v>36479175.189999975</v>
      </c>
    </row>
    <row r="3512" spans="1:6" x14ac:dyDescent="0.2">
      <c r="A3512" s="3">
        <v>45834</v>
      </c>
      <c r="B3512" s="45"/>
      <c r="C3512" s="17" t="s">
        <v>88</v>
      </c>
      <c r="D3512" s="18">
        <v>29234775</v>
      </c>
      <c r="E3512" s="19"/>
      <c r="F3512" s="15">
        <f t="shared" si="59"/>
        <v>7244400.1899999753</v>
      </c>
    </row>
    <row r="3513" spans="1:6" x14ac:dyDescent="0.2">
      <c r="A3513" s="3">
        <v>45834</v>
      </c>
      <c r="B3513" s="45"/>
      <c r="C3513" s="17" t="s">
        <v>22</v>
      </c>
      <c r="D3513" s="18">
        <v>18457.45</v>
      </c>
      <c r="E3513" s="19"/>
      <c r="F3513" s="15">
        <f t="shared" si="59"/>
        <v>7225942.7399999751</v>
      </c>
    </row>
    <row r="3514" spans="1:6" x14ac:dyDescent="0.2">
      <c r="A3514" s="3">
        <v>45834</v>
      </c>
      <c r="B3514" s="45"/>
      <c r="C3514" s="17" t="s">
        <v>16</v>
      </c>
      <c r="D3514" s="18">
        <v>661410.14</v>
      </c>
      <c r="E3514" s="19"/>
      <c r="F3514" s="15">
        <f t="shared" si="59"/>
        <v>6564532.5999999754</v>
      </c>
    </row>
    <row r="3515" spans="1:6" x14ac:dyDescent="0.2">
      <c r="A3515" s="3">
        <v>45834</v>
      </c>
      <c r="B3515" s="43">
        <v>13967</v>
      </c>
      <c r="C3515" s="20" t="s">
        <v>477</v>
      </c>
      <c r="D3515" s="18">
        <v>720</v>
      </c>
      <c r="E3515" s="19"/>
      <c r="F3515" s="15">
        <f t="shared" si="59"/>
        <v>6563812.5999999754</v>
      </c>
    </row>
    <row r="3516" spans="1:6" x14ac:dyDescent="0.2">
      <c r="A3516" s="3">
        <v>45834</v>
      </c>
      <c r="B3516" s="43">
        <v>13967</v>
      </c>
      <c r="C3516" s="17" t="s">
        <v>227</v>
      </c>
      <c r="D3516" s="18">
        <v>151.19999999999999</v>
      </c>
      <c r="E3516" s="19"/>
      <c r="F3516" s="15">
        <f t="shared" si="59"/>
        <v>6563661.3999999752</v>
      </c>
    </row>
    <row r="3517" spans="1:6" x14ac:dyDescent="0.2">
      <c r="A3517" s="3">
        <v>45834</v>
      </c>
      <c r="B3517" s="43">
        <v>13968</v>
      </c>
      <c r="C3517" s="20" t="s">
        <v>477</v>
      </c>
      <c r="D3517" s="18">
        <v>720</v>
      </c>
      <c r="E3517" s="19"/>
      <c r="F3517" s="15">
        <f t="shared" si="59"/>
        <v>6562941.3999999752</v>
      </c>
    </row>
    <row r="3518" spans="1:6" x14ac:dyDescent="0.2">
      <c r="A3518" s="3">
        <v>45834</v>
      </c>
      <c r="B3518" s="43">
        <v>13968</v>
      </c>
      <c r="C3518" s="17" t="s">
        <v>227</v>
      </c>
      <c r="D3518" s="18">
        <v>151.19999999999999</v>
      </c>
      <c r="E3518" s="19"/>
      <c r="F3518" s="15">
        <f t="shared" si="59"/>
        <v>6562790.199999975</v>
      </c>
    </row>
    <row r="3519" spans="1:6" x14ac:dyDescent="0.2">
      <c r="A3519" s="3">
        <v>45834</v>
      </c>
      <c r="B3519" s="43">
        <v>13969</v>
      </c>
      <c r="C3519" s="20" t="s">
        <v>477</v>
      </c>
      <c r="D3519" s="18">
        <v>720</v>
      </c>
      <c r="E3519" s="19"/>
      <c r="F3519" s="15">
        <f t="shared" si="59"/>
        <v>6562070.199999975</v>
      </c>
    </row>
    <row r="3520" spans="1:6" x14ac:dyDescent="0.2">
      <c r="A3520" s="3">
        <v>45834</v>
      </c>
      <c r="B3520" s="43">
        <v>13969</v>
      </c>
      <c r="C3520" s="17" t="s">
        <v>227</v>
      </c>
      <c r="D3520" s="18">
        <v>151.19999999999999</v>
      </c>
      <c r="E3520" s="19"/>
      <c r="F3520" s="15">
        <f t="shared" si="59"/>
        <v>6561918.9999999749</v>
      </c>
    </row>
    <row r="3521" spans="1:6" x14ac:dyDescent="0.2">
      <c r="A3521" s="3">
        <v>45834</v>
      </c>
      <c r="B3521" s="43">
        <v>13970</v>
      </c>
      <c r="C3521" s="20" t="s">
        <v>477</v>
      </c>
      <c r="D3521" s="18">
        <v>1485</v>
      </c>
      <c r="E3521" s="19"/>
      <c r="F3521" s="15">
        <f t="shared" si="59"/>
        <v>6560433.9999999749</v>
      </c>
    </row>
    <row r="3522" spans="1:6" x14ac:dyDescent="0.2">
      <c r="A3522" s="3">
        <v>45834</v>
      </c>
      <c r="B3522" s="46">
        <v>13970</v>
      </c>
      <c r="C3522" s="58" t="s">
        <v>227</v>
      </c>
      <c r="D3522" s="48">
        <v>311.85000000000002</v>
      </c>
      <c r="E3522" s="49"/>
      <c r="F3522" s="15">
        <f t="shared" si="59"/>
        <v>6560122.1499999752</v>
      </c>
    </row>
    <row r="3523" spans="1:6" x14ac:dyDescent="0.2">
      <c r="A3523" s="3">
        <v>45834</v>
      </c>
      <c r="B3523" s="50"/>
      <c r="C3523" s="57" t="s">
        <v>507</v>
      </c>
      <c r="D3523" s="23">
        <v>6152.49</v>
      </c>
      <c r="E3523" s="24"/>
      <c r="F3523" s="15">
        <f t="shared" si="59"/>
        <v>6553969.659999975</v>
      </c>
    </row>
    <row r="3524" spans="1:6" x14ac:dyDescent="0.2">
      <c r="A3524" s="3">
        <v>45835</v>
      </c>
      <c r="B3524" s="43">
        <v>32349</v>
      </c>
      <c r="C3524" s="17" t="s">
        <v>9</v>
      </c>
      <c r="D3524" s="18">
        <v>227530.03</v>
      </c>
      <c r="E3524" s="19"/>
      <c r="F3524" s="15">
        <f t="shared" si="59"/>
        <v>6326439.6299999747</v>
      </c>
    </row>
    <row r="3525" spans="1:6" x14ac:dyDescent="0.2">
      <c r="A3525" s="3">
        <v>45835</v>
      </c>
      <c r="B3525" s="43">
        <v>32360</v>
      </c>
      <c r="C3525" s="17" t="s">
        <v>9</v>
      </c>
      <c r="D3525" s="18">
        <v>650480.89</v>
      </c>
      <c r="E3525" s="19"/>
      <c r="F3525" s="15">
        <f t="shared" si="59"/>
        <v>5675958.7399999751</v>
      </c>
    </row>
    <row r="3526" spans="1:6" x14ac:dyDescent="0.2">
      <c r="A3526" s="3">
        <v>45835</v>
      </c>
      <c r="B3526" s="43">
        <v>32413</v>
      </c>
      <c r="C3526" s="17" t="s">
        <v>9</v>
      </c>
      <c r="D3526" s="18">
        <v>2312500</v>
      </c>
      <c r="E3526" s="19"/>
      <c r="F3526" s="15">
        <f t="shared" si="59"/>
        <v>3363458.7399999751</v>
      </c>
    </row>
    <row r="3527" spans="1:6" x14ac:dyDescent="0.2">
      <c r="A3527" s="3">
        <v>45835</v>
      </c>
      <c r="B3527" s="43">
        <v>32362</v>
      </c>
      <c r="C3527" s="17" t="s">
        <v>9</v>
      </c>
      <c r="D3527" s="18">
        <v>133921.59</v>
      </c>
      <c r="E3527" s="19"/>
      <c r="F3527" s="15">
        <f t="shared" si="59"/>
        <v>3229537.1499999752</v>
      </c>
    </row>
    <row r="3528" spans="1:6" x14ac:dyDescent="0.2">
      <c r="A3528" s="3">
        <v>45835</v>
      </c>
      <c r="B3528" s="45"/>
      <c r="C3528" s="17" t="s">
        <v>92</v>
      </c>
      <c r="D3528" s="18">
        <v>53300</v>
      </c>
      <c r="E3528" s="19"/>
      <c r="F3528" s="15">
        <f t="shared" si="59"/>
        <v>3176237.1499999752</v>
      </c>
    </row>
    <row r="3529" spans="1:6" x14ac:dyDescent="0.2">
      <c r="A3529" s="3">
        <v>45835</v>
      </c>
      <c r="B3529" s="45"/>
      <c r="C3529" s="17" t="s">
        <v>36</v>
      </c>
      <c r="D3529" s="18">
        <v>799.5</v>
      </c>
      <c r="E3529" s="19"/>
      <c r="F3529" s="15">
        <f t="shared" si="59"/>
        <v>3175437.6499999752</v>
      </c>
    </row>
    <row r="3530" spans="1:6" x14ac:dyDescent="0.2">
      <c r="A3530" s="3">
        <v>45835</v>
      </c>
      <c r="B3530" s="45"/>
      <c r="C3530" s="17" t="s">
        <v>227</v>
      </c>
      <c r="D3530" s="18">
        <v>11193</v>
      </c>
      <c r="E3530" s="19"/>
      <c r="F3530" s="15">
        <f t="shared" si="59"/>
        <v>3164244.6499999752</v>
      </c>
    </row>
    <row r="3531" spans="1:6" x14ac:dyDescent="0.2">
      <c r="A3531" s="3">
        <v>45835</v>
      </c>
      <c r="B3531" s="45"/>
      <c r="C3531" s="17" t="s">
        <v>37</v>
      </c>
      <c r="D3531" s="18">
        <v>1599</v>
      </c>
      <c r="E3531" s="19"/>
      <c r="F3531" s="15">
        <f t="shared" si="59"/>
        <v>3162645.6499999752</v>
      </c>
    </row>
    <row r="3532" spans="1:6" x14ac:dyDescent="0.2">
      <c r="A3532" s="3">
        <v>45835</v>
      </c>
      <c r="B3532" s="45"/>
      <c r="C3532" s="17" t="s">
        <v>508</v>
      </c>
      <c r="D3532" s="18">
        <v>58115</v>
      </c>
      <c r="E3532" s="19"/>
      <c r="F3532" s="15">
        <f t="shared" si="59"/>
        <v>3104530.6499999752</v>
      </c>
    </row>
    <row r="3533" spans="1:6" x14ac:dyDescent="0.2">
      <c r="A3533" s="3">
        <v>45835</v>
      </c>
      <c r="B3533" s="45"/>
      <c r="C3533" s="17" t="s">
        <v>36</v>
      </c>
      <c r="D3533" s="18">
        <v>871.73</v>
      </c>
      <c r="E3533" s="19"/>
      <c r="F3533" s="15">
        <f t="shared" si="59"/>
        <v>3103658.9199999752</v>
      </c>
    </row>
    <row r="3534" spans="1:6" x14ac:dyDescent="0.2">
      <c r="A3534" s="3">
        <v>45835</v>
      </c>
      <c r="B3534" s="45"/>
      <c r="C3534" s="17" t="s">
        <v>227</v>
      </c>
      <c r="D3534" s="18">
        <v>12204.15</v>
      </c>
      <c r="E3534" s="19"/>
      <c r="F3534" s="15">
        <f t="shared" si="59"/>
        <v>3091454.7699999753</v>
      </c>
    </row>
    <row r="3535" spans="1:6" x14ac:dyDescent="0.2">
      <c r="A3535" s="3">
        <v>45835</v>
      </c>
      <c r="B3535" s="45"/>
      <c r="C3535" s="17" t="s">
        <v>37</v>
      </c>
      <c r="D3535" s="18">
        <v>1743.45</v>
      </c>
      <c r="E3535" s="19"/>
      <c r="F3535" s="15">
        <f t="shared" si="59"/>
        <v>3089711.3199999752</v>
      </c>
    </row>
    <row r="3536" spans="1:6" x14ac:dyDescent="0.2">
      <c r="A3536" s="3">
        <v>45835</v>
      </c>
      <c r="B3536" s="45"/>
      <c r="C3536" s="17" t="s">
        <v>16</v>
      </c>
      <c r="D3536" s="18">
        <v>20848.93</v>
      </c>
      <c r="E3536" s="19"/>
      <c r="F3536" s="15">
        <f t="shared" si="59"/>
        <v>3068862.389999975</v>
      </c>
    </row>
    <row r="3537" spans="1:6" x14ac:dyDescent="0.2">
      <c r="A3537" s="3">
        <v>45838</v>
      </c>
      <c r="B3537" s="43">
        <v>92426781</v>
      </c>
      <c r="C3537" s="20" t="s">
        <v>63</v>
      </c>
      <c r="D3537" s="18">
        <v>23313.08</v>
      </c>
      <c r="E3537" s="19"/>
      <c r="F3537" s="15">
        <f t="shared" si="59"/>
        <v>3045549.3099999749</v>
      </c>
    </row>
    <row r="3538" spans="1:6" x14ac:dyDescent="0.2">
      <c r="A3538" s="3">
        <v>45838</v>
      </c>
      <c r="B3538" s="43">
        <v>93119827</v>
      </c>
      <c r="C3538" s="20" t="s">
        <v>222</v>
      </c>
      <c r="D3538" s="18">
        <v>352532.82</v>
      </c>
      <c r="E3538" s="19"/>
      <c r="F3538" s="15">
        <f t="shared" si="59"/>
        <v>2693016.4899999751</v>
      </c>
    </row>
    <row r="3539" spans="1:6" x14ac:dyDescent="0.2">
      <c r="A3539" s="3">
        <v>45838</v>
      </c>
      <c r="B3539" s="43">
        <v>93664239</v>
      </c>
      <c r="C3539" s="20" t="s">
        <v>100</v>
      </c>
      <c r="D3539" s="18">
        <v>581534.35</v>
      </c>
      <c r="E3539" s="19"/>
      <c r="F3539" s="15">
        <f t="shared" si="59"/>
        <v>2111482.139999975</v>
      </c>
    </row>
    <row r="3540" spans="1:6" x14ac:dyDescent="0.2">
      <c r="A3540" s="3">
        <v>45838</v>
      </c>
      <c r="B3540" s="43">
        <v>32359</v>
      </c>
      <c r="C3540" s="17" t="s">
        <v>9</v>
      </c>
      <c r="D3540" s="18">
        <v>591145.21</v>
      </c>
      <c r="E3540" s="19"/>
      <c r="F3540" s="15">
        <f t="shared" si="59"/>
        <v>1520336.929999975</v>
      </c>
    </row>
    <row r="3541" spans="1:6" x14ac:dyDescent="0.2">
      <c r="A3541" s="3">
        <v>45838</v>
      </c>
      <c r="B3541" s="43">
        <v>12028465</v>
      </c>
      <c r="C3541" s="20" t="s">
        <v>137</v>
      </c>
      <c r="D3541" s="19"/>
      <c r="E3541" s="18">
        <v>22068.2</v>
      </c>
      <c r="F3541" s="15">
        <f t="shared" si="59"/>
        <v>1542405.129999975</v>
      </c>
    </row>
    <row r="3542" spans="1:6" x14ac:dyDescent="0.2">
      <c r="A3542" s="3">
        <v>45838</v>
      </c>
      <c r="B3542" s="43">
        <v>74676985</v>
      </c>
      <c r="C3542" s="20" t="s">
        <v>509</v>
      </c>
      <c r="D3542" s="18">
        <v>1061312.79</v>
      </c>
      <c r="E3542" s="19"/>
      <c r="F3542" s="15">
        <f t="shared" si="59"/>
        <v>481092.33999997494</v>
      </c>
    </row>
    <row r="3543" spans="1:6" x14ac:dyDescent="0.2">
      <c r="A3543" s="3">
        <v>45838</v>
      </c>
      <c r="B3543" s="43">
        <v>32368</v>
      </c>
      <c r="C3543" s="17" t="s">
        <v>12</v>
      </c>
      <c r="D3543" s="18">
        <v>233393.67</v>
      </c>
      <c r="E3543" s="19"/>
      <c r="F3543" s="15">
        <f t="shared" si="59"/>
        <v>247698.66999997493</v>
      </c>
    </row>
    <row r="3544" spans="1:6" x14ac:dyDescent="0.2">
      <c r="A3544" s="3">
        <v>45838</v>
      </c>
      <c r="B3544" s="43">
        <v>32107</v>
      </c>
      <c r="C3544" s="17" t="s">
        <v>12</v>
      </c>
      <c r="D3544" s="18">
        <v>350000</v>
      </c>
      <c r="E3544" s="19"/>
      <c r="F3544" s="15">
        <f t="shared" si="59"/>
        <v>-102301.33000002507</v>
      </c>
    </row>
    <row r="3545" spans="1:6" x14ac:dyDescent="0.2">
      <c r="A3545" s="3">
        <v>45838</v>
      </c>
      <c r="B3545" s="43">
        <v>32263</v>
      </c>
      <c r="C3545" s="17" t="s">
        <v>12</v>
      </c>
      <c r="D3545" s="18">
        <v>1172465</v>
      </c>
      <c r="E3545" s="19"/>
      <c r="F3545" s="15">
        <f t="shared" si="59"/>
        <v>-1274766.330000025</v>
      </c>
    </row>
    <row r="3546" spans="1:6" x14ac:dyDescent="0.2">
      <c r="A3546" s="3">
        <v>45838</v>
      </c>
      <c r="B3546" s="43">
        <v>32103</v>
      </c>
      <c r="C3546" s="17" t="s">
        <v>12</v>
      </c>
      <c r="D3546" s="18">
        <v>3000000</v>
      </c>
      <c r="E3546" s="19"/>
      <c r="F3546" s="15">
        <f t="shared" si="59"/>
        <v>-4274766.3300000252</v>
      </c>
    </row>
    <row r="3547" spans="1:6" x14ac:dyDescent="0.2">
      <c r="A3547" s="3">
        <v>45838</v>
      </c>
      <c r="B3547" s="45"/>
      <c r="C3547" s="17" t="s">
        <v>95</v>
      </c>
      <c r="D3547" s="18">
        <v>2262</v>
      </c>
      <c r="E3547" s="19"/>
      <c r="F3547" s="15">
        <f t="shared" si="59"/>
        <v>-4277028.3300000252</v>
      </c>
    </row>
    <row r="3548" spans="1:6" x14ac:dyDescent="0.2">
      <c r="A3548" s="3">
        <v>45838</v>
      </c>
      <c r="B3548" s="45"/>
      <c r="C3548" s="17" t="s">
        <v>232</v>
      </c>
      <c r="D3548" s="18">
        <v>475.02</v>
      </c>
      <c r="E3548" s="19"/>
      <c r="F3548" s="15">
        <f t="shared" si="59"/>
        <v>-4277503.3500000248</v>
      </c>
    </row>
    <row r="3549" spans="1:6" x14ac:dyDescent="0.2">
      <c r="A3549" s="3">
        <v>45838</v>
      </c>
      <c r="B3549" s="45"/>
      <c r="C3549" s="17" t="s">
        <v>16</v>
      </c>
      <c r="D3549" s="18">
        <v>44210.61</v>
      </c>
      <c r="E3549" s="19"/>
      <c r="F3549" s="15">
        <f t="shared" si="59"/>
        <v>-4321713.9600000251</v>
      </c>
    </row>
    <row r="3550" spans="1:6" x14ac:dyDescent="0.2">
      <c r="A3550" s="3">
        <v>45838</v>
      </c>
      <c r="B3550" s="54"/>
      <c r="C3550" s="33" t="s">
        <v>22</v>
      </c>
      <c r="D3550" s="64">
        <v>132.41</v>
      </c>
      <c r="E3550" s="35"/>
      <c r="F3550" s="15">
        <f t="shared" si="59"/>
        <v>-4321846.3700000253</v>
      </c>
    </row>
    <row r="3553" spans="1:6" x14ac:dyDescent="0.2">
      <c r="A3553" s="1" t="s">
        <v>0</v>
      </c>
      <c r="B3553" s="1" t="s">
        <v>1</v>
      </c>
      <c r="C3553" s="1" t="s">
        <v>2</v>
      </c>
      <c r="D3553" s="1" t="s">
        <v>3</v>
      </c>
      <c r="E3553" s="1" t="s">
        <v>4</v>
      </c>
      <c r="F3553" s="1" t="s">
        <v>5</v>
      </c>
    </row>
    <row r="3554" spans="1:6" x14ac:dyDescent="0.2">
      <c r="A3554" s="3">
        <v>45839</v>
      </c>
      <c r="B3554" s="41"/>
      <c r="C3554" s="55" t="s">
        <v>6</v>
      </c>
      <c r="D3554" s="6"/>
      <c r="E3554" s="7"/>
      <c r="F3554" s="8">
        <v>-4321846.37</v>
      </c>
    </row>
    <row r="3555" spans="1:6" x14ac:dyDescent="0.2">
      <c r="A3555" s="3">
        <v>45838</v>
      </c>
      <c r="B3555" s="42"/>
      <c r="C3555" s="12" t="s">
        <v>510</v>
      </c>
      <c r="D3555" s="13">
        <v>44.14</v>
      </c>
      <c r="E3555" s="14"/>
      <c r="F3555" s="15">
        <f t="shared" ref="F3555:F3618" si="60">+F3554+E3555-D3555</f>
        <v>-4321890.51</v>
      </c>
    </row>
    <row r="3556" spans="1:6" x14ac:dyDescent="0.2">
      <c r="A3556" s="3">
        <v>45839</v>
      </c>
      <c r="B3556" s="43">
        <v>32370</v>
      </c>
      <c r="C3556" s="17" t="s">
        <v>9</v>
      </c>
      <c r="D3556" s="18">
        <v>85496.4</v>
      </c>
      <c r="E3556" s="19"/>
      <c r="F3556" s="15">
        <f t="shared" si="60"/>
        <v>-4407386.91</v>
      </c>
    </row>
    <row r="3557" spans="1:6" x14ac:dyDescent="0.2">
      <c r="A3557" s="3">
        <v>45839</v>
      </c>
      <c r="B3557" s="43">
        <v>32398</v>
      </c>
      <c r="C3557" s="17" t="s">
        <v>9</v>
      </c>
      <c r="D3557" s="18">
        <v>4678043.4000000004</v>
      </c>
      <c r="E3557" s="19"/>
      <c r="F3557" s="15">
        <f t="shared" si="60"/>
        <v>-9085430.3100000005</v>
      </c>
    </row>
    <row r="3558" spans="1:6" x14ac:dyDescent="0.2">
      <c r="A3558" s="3">
        <v>45839</v>
      </c>
      <c r="B3558" s="43">
        <v>32372</v>
      </c>
      <c r="C3558" s="17" t="s">
        <v>9</v>
      </c>
      <c r="D3558" s="18">
        <v>6000000</v>
      </c>
      <c r="E3558" s="19"/>
      <c r="F3558" s="15">
        <f t="shared" si="60"/>
        <v>-15085430.310000001</v>
      </c>
    </row>
    <row r="3559" spans="1:6" x14ac:dyDescent="0.2">
      <c r="A3559" s="3">
        <v>45839</v>
      </c>
      <c r="B3559" s="43">
        <v>32339</v>
      </c>
      <c r="C3559" s="17" t="s">
        <v>9</v>
      </c>
      <c r="D3559" s="18">
        <v>6379731.2199999997</v>
      </c>
      <c r="E3559" s="19"/>
      <c r="F3559" s="15">
        <f t="shared" si="60"/>
        <v>-21465161.530000001</v>
      </c>
    </row>
    <row r="3560" spans="1:6" x14ac:dyDescent="0.2">
      <c r="A3560" s="3">
        <v>45839</v>
      </c>
      <c r="B3560" s="43">
        <v>32294</v>
      </c>
      <c r="C3560" s="17" t="s">
        <v>9</v>
      </c>
      <c r="D3560" s="18">
        <v>6989318.6799999997</v>
      </c>
      <c r="E3560" s="19"/>
      <c r="F3560" s="15">
        <f t="shared" si="60"/>
        <v>-28454480.210000001</v>
      </c>
    </row>
    <row r="3561" spans="1:6" x14ac:dyDescent="0.2">
      <c r="A3561" s="3">
        <v>45839</v>
      </c>
      <c r="B3561" s="43">
        <v>32375</v>
      </c>
      <c r="C3561" s="17" t="s">
        <v>9</v>
      </c>
      <c r="D3561" s="18">
        <v>9836054.1400000006</v>
      </c>
      <c r="E3561" s="19"/>
      <c r="F3561" s="15">
        <f t="shared" si="60"/>
        <v>-38290534.350000001</v>
      </c>
    </row>
    <row r="3562" spans="1:6" x14ac:dyDescent="0.2">
      <c r="A3562" s="3">
        <v>45839</v>
      </c>
      <c r="B3562" s="45"/>
      <c r="C3562" s="17" t="s">
        <v>465</v>
      </c>
      <c r="D3562" s="18">
        <v>1280</v>
      </c>
      <c r="E3562" s="19"/>
      <c r="F3562" s="15">
        <f t="shared" si="60"/>
        <v>-38291814.350000001</v>
      </c>
    </row>
    <row r="3563" spans="1:6" x14ac:dyDescent="0.2">
      <c r="A3563" s="3">
        <v>45839</v>
      </c>
      <c r="B3563" s="45"/>
      <c r="C3563" s="17" t="s">
        <v>227</v>
      </c>
      <c r="D3563" s="18">
        <v>268.8</v>
      </c>
      <c r="E3563" s="19"/>
      <c r="F3563" s="15">
        <f t="shared" si="60"/>
        <v>-38292083.149999999</v>
      </c>
    </row>
    <row r="3564" spans="1:6" x14ac:dyDescent="0.2">
      <c r="A3564" s="3">
        <v>45839</v>
      </c>
      <c r="B3564" s="43">
        <v>255211</v>
      </c>
      <c r="C3564" s="20" t="s">
        <v>94</v>
      </c>
      <c r="D3564" s="25"/>
      <c r="E3564" s="25">
        <v>1426083.47</v>
      </c>
      <c r="F3564" s="15">
        <f t="shared" si="60"/>
        <v>-36865999.68</v>
      </c>
    </row>
    <row r="3565" spans="1:6" x14ac:dyDescent="0.2">
      <c r="A3565" s="3">
        <v>45839</v>
      </c>
      <c r="B3565" s="43">
        <v>7352569</v>
      </c>
      <c r="C3565" s="17" t="s">
        <v>106</v>
      </c>
      <c r="D3565" s="25"/>
      <c r="E3565" s="25">
        <v>40831706.119999997</v>
      </c>
      <c r="F3565" s="15">
        <f t="shared" si="60"/>
        <v>3965706.4399999976</v>
      </c>
    </row>
    <row r="3566" spans="1:6" x14ac:dyDescent="0.2">
      <c r="A3566" s="3">
        <v>45839</v>
      </c>
      <c r="B3566" s="43">
        <v>32323</v>
      </c>
      <c r="C3566" s="17" t="s">
        <v>12</v>
      </c>
      <c r="D3566" s="18">
        <v>2588388</v>
      </c>
      <c r="E3566" s="19"/>
      <c r="F3566" s="15">
        <f t="shared" si="60"/>
        <v>1377318.4399999976</v>
      </c>
    </row>
    <row r="3567" spans="1:6" x14ac:dyDescent="0.2">
      <c r="A3567" s="3">
        <v>45839</v>
      </c>
      <c r="B3567" s="45"/>
      <c r="C3567" s="17" t="s">
        <v>16</v>
      </c>
      <c r="D3567" s="18">
        <v>219351.74</v>
      </c>
      <c r="E3567" s="19"/>
      <c r="F3567" s="15">
        <f t="shared" si="60"/>
        <v>1157966.6999999976</v>
      </c>
    </row>
    <row r="3568" spans="1:6" x14ac:dyDescent="0.2">
      <c r="A3568" s="3">
        <v>45839</v>
      </c>
      <c r="B3568" s="45"/>
      <c r="C3568" s="17" t="s">
        <v>22</v>
      </c>
      <c r="D3568" s="18">
        <v>8556.5</v>
      </c>
      <c r="E3568" s="19"/>
      <c r="F3568" s="15">
        <f t="shared" si="60"/>
        <v>1149410.1999999976</v>
      </c>
    </row>
    <row r="3569" spans="1:6" x14ac:dyDescent="0.2">
      <c r="A3569" s="3">
        <v>45839</v>
      </c>
      <c r="B3569" s="45"/>
      <c r="C3569" s="20" t="s">
        <v>511</v>
      </c>
      <c r="D3569" s="18">
        <v>1426.08</v>
      </c>
      <c r="E3569" s="19"/>
      <c r="F3569" s="15">
        <f t="shared" si="60"/>
        <v>1147984.1199999976</v>
      </c>
    </row>
    <row r="3570" spans="1:6" x14ac:dyDescent="0.2">
      <c r="A3570" s="3">
        <v>45840</v>
      </c>
      <c r="B3570" s="43">
        <v>32299</v>
      </c>
      <c r="C3570" s="17" t="s">
        <v>9</v>
      </c>
      <c r="D3570" s="18">
        <v>910913.85</v>
      </c>
      <c r="E3570" s="19"/>
      <c r="F3570" s="15">
        <f t="shared" si="60"/>
        <v>237070.26999999757</v>
      </c>
    </row>
    <row r="3571" spans="1:6" x14ac:dyDescent="0.2">
      <c r="A3571" s="3">
        <v>45840</v>
      </c>
      <c r="B3571" s="43">
        <v>67402243</v>
      </c>
      <c r="C3571" s="20" t="s">
        <v>512</v>
      </c>
      <c r="D3571" s="19"/>
      <c r="E3571" s="18">
        <v>24300</v>
      </c>
      <c r="F3571" s="15">
        <f t="shared" si="60"/>
        <v>261370.26999999757</v>
      </c>
    </row>
    <row r="3572" spans="1:6" x14ac:dyDescent="0.2">
      <c r="A3572" s="3">
        <v>45840</v>
      </c>
      <c r="B3572" s="43">
        <v>558345</v>
      </c>
      <c r="C3572" s="20" t="s">
        <v>234</v>
      </c>
      <c r="D3572" s="25"/>
      <c r="E3572" s="25">
        <v>49000000</v>
      </c>
      <c r="F3572" s="15">
        <f t="shared" si="60"/>
        <v>49261370.269999996</v>
      </c>
    </row>
    <row r="3573" spans="1:6" x14ac:dyDescent="0.2">
      <c r="A3573" s="3">
        <v>45840</v>
      </c>
      <c r="B3573" s="46">
        <v>18064669</v>
      </c>
      <c r="C3573" s="56" t="s">
        <v>332</v>
      </c>
      <c r="D3573" s="52"/>
      <c r="E3573" s="52">
        <v>50000000</v>
      </c>
      <c r="F3573" s="15">
        <f t="shared" si="60"/>
        <v>99261370.269999996</v>
      </c>
    </row>
    <row r="3574" spans="1:6" x14ac:dyDescent="0.2">
      <c r="A3574" s="3">
        <v>45840</v>
      </c>
      <c r="B3574" s="44">
        <v>5748464</v>
      </c>
      <c r="C3574" s="57" t="s">
        <v>513</v>
      </c>
      <c r="D3574" s="24"/>
      <c r="E3574" s="31">
        <v>17000</v>
      </c>
      <c r="F3574" s="15">
        <f t="shared" si="60"/>
        <v>99278370.269999996</v>
      </c>
    </row>
    <row r="3575" spans="1:6" x14ac:dyDescent="0.2">
      <c r="A3575" s="3">
        <v>45840</v>
      </c>
      <c r="B3575" s="45"/>
      <c r="C3575" s="17" t="s">
        <v>16</v>
      </c>
      <c r="D3575" s="18">
        <v>5474.04</v>
      </c>
      <c r="E3575" s="19"/>
      <c r="F3575" s="15">
        <f t="shared" si="60"/>
        <v>99272896.229999989</v>
      </c>
    </row>
    <row r="3576" spans="1:6" x14ac:dyDescent="0.2">
      <c r="A3576" s="3">
        <v>45840</v>
      </c>
      <c r="B3576" s="45"/>
      <c r="C3576" s="17" t="s">
        <v>22</v>
      </c>
      <c r="D3576" s="18">
        <v>594247.80000000005</v>
      </c>
      <c r="E3576" s="19"/>
      <c r="F3576" s="15">
        <f t="shared" si="60"/>
        <v>98678648.429999992</v>
      </c>
    </row>
    <row r="3577" spans="1:6" x14ac:dyDescent="0.2">
      <c r="A3577" s="3">
        <v>45840</v>
      </c>
      <c r="B3577" s="45"/>
      <c r="C3577" s="20" t="s">
        <v>514</v>
      </c>
      <c r="D3577" s="18">
        <v>99041.3</v>
      </c>
      <c r="E3577" s="19"/>
      <c r="F3577" s="15">
        <f t="shared" si="60"/>
        <v>98579607.129999995</v>
      </c>
    </row>
    <row r="3578" spans="1:6" x14ac:dyDescent="0.2">
      <c r="A3578" s="3">
        <v>45841</v>
      </c>
      <c r="B3578" s="43">
        <v>32341</v>
      </c>
      <c r="C3578" s="17" t="s">
        <v>9</v>
      </c>
      <c r="D3578" s="18">
        <v>21425</v>
      </c>
      <c r="E3578" s="19"/>
      <c r="F3578" s="15">
        <f t="shared" si="60"/>
        <v>98558182.129999995</v>
      </c>
    </row>
    <row r="3579" spans="1:6" x14ac:dyDescent="0.2">
      <c r="A3579" s="3">
        <v>45841</v>
      </c>
      <c r="B3579" s="43">
        <v>32302</v>
      </c>
      <c r="C3579" s="17" t="s">
        <v>9</v>
      </c>
      <c r="D3579" s="18">
        <v>257166.66</v>
      </c>
      <c r="E3579" s="19"/>
      <c r="F3579" s="15">
        <f t="shared" si="60"/>
        <v>98301015.469999999</v>
      </c>
    </row>
    <row r="3580" spans="1:6" x14ac:dyDescent="0.2">
      <c r="A3580" s="3">
        <v>45841</v>
      </c>
      <c r="B3580" s="43">
        <v>32296</v>
      </c>
      <c r="C3580" s="17" t="s">
        <v>9</v>
      </c>
      <c r="D3580" s="18">
        <v>3268318.8</v>
      </c>
      <c r="E3580" s="19"/>
      <c r="F3580" s="15">
        <f t="shared" si="60"/>
        <v>95032696.670000002</v>
      </c>
    </row>
    <row r="3581" spans="1:6" x14ac:dyDescent="0.2">
      <c r="A3581" s="3">
        <v>45841</v>
      </c>
      <c r="B3581" s="43">
        <v>32365</v>
      </c>
      <c r="C3581" s="17" t="s">
        <v>9</v>
      </c>
      <c r="D3581" s="18">
        <v>3431701</v>
      </c>
      <c r="E3581" s="19"/>
      <c r="F3581" s="15">
        <f t="shared" si="60"/>
        <v>91600995.670000002</v>
      </c>
    </row>
    <row r="3582" spans="1:6" x14ac:dyDescent="0.2">
      <c r="A3582" s="3">
        <v>45841</v>
      </c>
      <c r="B3582" s="43">
        <v>4019032</v>
      </c>
      <c r="C3582" s="20" t="s">
        <v>515</v>
      </c>
      <c r="D3582" s="18">
        <v>2000000</v>
      </c>
      <c r="E3582" s="19"/>
      <c r="F3582" s="15">
        <f t="shared" si="60"/>
        <v>89600995.670000002</v>
      </c>
    </row>
    <row r="3583" spans="1:6" x14ac:dyDescent="0.2">
      <c r="A3583" s="3">
        <v>45841</v>
      </c>
      <c r="B3583" s="43">
        <v>4019034</v>
      </c>
      <c r="C3583" s="20" t="s">
        <v>488</v>
      </c>
      <c r="D3583" s="18">
        <v>250000</v>
      </c>
      <c r="E3583" s="19"/>
      <c r="F3583" s="15">
        <f t="shared" si="60"/>
        <v>89350995.670000002</v>
      </c>
    </row>
    <row r="3584" spans="1:6" x14ac:dyDescent="0.2">
      <c r="A3584" s="3">
        <v>45841</v>
      </c>
      <c r="B3584" s="43">
        <v>4019036</v>
      </c>
      <c r="C3584" s="20" t="s">
        <v>516</v>
      </c>
      <c r="D3584" s="18">
        <v>93291</v>
      </c>
      <c r="E3584" s="19"/>
      <c r="F3584" s="15">
        <f t="shared" si="60"/>
        <v>89257704.670000002</v>
      </c>
    </row>
    <row r="3585" spans="1:6" x14ac:dyDescent="0.2">
      <c r="A3585" s="3">
        <v>45841</v>
      </c>
      <c r="B3585" s="43">
        <v>4019038</v>
      </c>
      <c r="C3585" s="20" t="s">
        <v>517</v>
      </c>
      <c r="D3585" s="18">
        <v>300000</v>
      </c>
      <c r="E3585" s="19"/>
      <c r="F3585" s="15">
        <f t="shared" si="60"/>
        <v>88957704.670000002</v>
      </c>
    </row>
    <row r="3586" spans="1:6" x14ac:dyDescent="0.2">
      <c r="A3586" s="3">
        <v>45841</v>
      </c>
      <c r="B3586" s="43">
        <v>4019039</v>
      </c>
      <c r="C3586" s="20" t="s">
        <v>518</v>
      </c>
      <c r="D3586" s="18">
        <v>1872450</v>
      </c>
      <c r="E3586" s="19"/>
      <c r="F3586" s="15">
        <f t="shared" si="60"/>
        <v>87085254.670000002</v>
      </c>
    </row>
    <row r="3587" spans="1:6" x14ac:dyDescent="0.2">
      <c r="A3587" s="3">
        <v>45841</v>
      </c>
      <c r="B3587" s="43">
        <v>11240531</v>
      </c>
      <c r="C3587" s="20" t="s">
        <v>519</v>
      </c>
      <c r="D3587" s="18">
        <v>278300</v>
      </c>
      <c r="E3587" s="19"/>
      <c r="F3587" s="15">
        <f t="shared" si="60"/>
        <v>86806954.670000002</v>
      </c>
    </row>
    <row r="3588" spans="1:6" x14ac:dyDescent="0.2">
      <c r="A3588" s="3">
        <v>45841</v>
      </c>
      <c r="B3588" s="43">
        <v>18785958</v>
      </c>
      <c r="C3588" s="20" t="s">
        <v>319</v>
      </c>
      <c r="D3588" s="18">
        <v>765477</v>
      </c>
      <c r="E3588" s="19"/>
      <c r="F3588" s="15">
        <f t="shared" si="60"/>
        <v>86041477.670000002</v>
      </c>
    </row>
    <row r="3589" spans="1:6" x14ac:dyDescent="0.2">
      <c r="A3589" s="3">
        <v>45841</v>
      </c>
      <c r="B3589" s="43">
        <v>18785959</v>
      </c>
      <c r="C3589" s="20" t="s">
        <v>319</v>
      </c>
      <c r="D3589" s="18">
        <v>785723</v>
      </c>
      <c r="E3589" s="19"/>
      <c r="F3589" s="15">
        <f t="shared" si="60"/>
        <v>85255754.670000002</v>
      </c>
    </row>
    <row r="3590" spans="1:6" x14ac:dyDescent="0.2">
      <c r="A3590" s="3">
        <v>45841</v>
      </c>
      <c r="B3590" s="43">
        <v>18785960</v>
      </c>
      <c r="C3590" s="20" t="s">
        <v>319</v>
      </c>
      <c r="D3590" s="18">
        <v>859850</v>
      </c>
      <c r="E3590" s="19"/>
      <c r="F3590" s="15">
        <f t="shared" si="60"/>
        <v>84395904.670000002</v>
      </c>
    </row>
    <row r="3591" spans="1:6" x14ac:dyDescent="0.2">
      <c r="A3591" s="3">
        <v>45841</v>
      </c>
      <c r="B3591" s="43">
        <v>18785961</v>
      </c>
      <c r="C3591" s="20" t="s">
        <v>319</v>
      </c>
      <c r="D3591" s="18">
        <v>542660</v>
      </c>
      <c r="E3591" s="19"/>
      <c r="F3591" s="15">
        <f t="shared" si="60"/>
        <v>83853244.670000002</v>
      </c>
    </row>
    <row r="3592" spans="1:6" x14ac:dyDescent="0.2">
      <c r="A3592" s="3">
        <v>45841</v>
      </c>
      <c r="B3592" s="43">
        <v>18785962</v>
      </c>
      <c r="C3592" s="20" t="s">
        <v>319</v>
      </c>
      <c r="D3592" s="18">
        <v>5399604</v>
      </c>
      <c r="E3592" s="19"/>
      <c r="F3592" s="15">
        <f t="shared" si="60"/>
        <v>78453640.670000002</v>
      </c>
    </row>
    <row r="3593" spans="1:6" x14ac:dyDescent="0.2">
      <c r="A3593" s="3">
        <v>45841</v>
      </c>
      <c r="B3593" s="43">
        <v>18785963</v>
      </c>
      <c r="C3593" s="20" t="s">
        <v>319</v>
      </c>
      <c r="D3593" s="18">
        <v>688416</v>
      </c>
      <c r="E3593" s="19"/>
      <c r="F3593" s="15">
        <f t="shared" si="60"/>
        <v>77765224.670000002</v>
      </c>
    </row>
    <row r="3594" spans="1:6" x14ac:dyDescent="0.2">
      <c r="A3594" s="3">
        <v>45841</v>
      </c>
      <c r="B3594" s="43">
        <v>18785964</v>
      </c>
      <c r="C3594" s="20" t="s">
        <v>319</v>
      </c>
      <c r="D3594" s="18">
        <v>801438</v>
      </c>
      <c r="E3594" s="19"/>
      <c r="F3594" s="15">
        <f t="shared" si="60"/>
        <v>76963786.670000002</v>
      </c>
    </row>
    <row r="3595" spans="1:6" x14ac:dyDescent="0.2">
      <c r="A3595" s="3">
        <v>45841</v>
      </c>
      <c r="B3595" s="43">
        <v>18785965</v>
      </c>
      <c r="C3595" s="20" t="s">
        <v>319</v>
      </c>
      <c r="D3595" s="18">
        <v>801438</v>
      </c>
      <c r="E3595" s="19"/>
      <c r="F3595" s="15">
        <f t="shared" si="60"/>
        <v>76162348.670000002</v>
      </c>
    </row>
    <row r="3596" spans="1:6" x14ac:dyDescent="0.2">
      <c r="A3596" s="3">
        <v>45841</v>
      </c>
      <c r="B3596" s="43">
        <v>18785966</v>
      </c>
      <c r="C3596" s="20" t="s">
        <v>319</v>
      </c>
      <c r="D3596" s="18">
        <v>801438</v>
      </c>
      <c r="E3596" s="19"/>
      <c r="F3596" s="15">
        <f t="shared" si="60"/>
        <v>75360910.670000002</v>
      </c>
    </row>
    <row r="3597" spans="1:6" x14ac:dyDescent="0.2">
      <c r="A3597" s="3">
        <v>45841</v>
      </c>
      <c r="B3597" s="43">
        <v>224180</v>
      </c>
      <c r="C3597" s="20" t="s">
        <v>90</v>
      </c>
      <c r="D3597" s="25"/>
      <c r="E3597" s="25">
        <v>10000000</v>
      </c>
      <c r="F3597" s="15">
        <f t="shared" si="60"/>
        <v>85360910.670000002</v>
      </c>
    </row>
    <row r="3598" spans="1:6" x14ac:dyDescent="0.2">
      <c r="A3598" s="3">
        <v>45841</v>
      </c>
      <c r="B3598" s="43">
        <v>7154529</v>
      </c>
      <c r="C3598" s="20" t="s">
        <v>520</v>
      </c>
      <c r="D3598" s="19"/>
      <c r="E3598" s="18">
        <v>88870.21</v>
      </c>
      <c r="F3598" s="15">
        <f t="shared" si="60"/>
        <v>85449780.879999995</v>
      </c>
    </row>
    <row r="3599" spans="1:6" x14ac:dyDescent="0.2">
      <c r="A3599" s="3">
        <v>45841</v>
      </c>
      <c r="B3599" s="45"/>
      <c r="C3599" s="17" t="s">
        <v>521</v>
      </c>
      <c r="D3599" s="18">
        <v>429730</v>
      </c>
      <c r="E3599" s="19"/>
      <c r="F3599" s="15">
        <f t="shared" si="60"/>
        <v>85020050.879999995</v>
      </c>
    </row>
    <row r="3600" spans="1:6" x14ac:dyDescent="0.2">
      <c r="A3600" s="3">
        <v>45841</v>
      </c>
      <c r="B3600" s="45"/>
      <c r="C3600" s="17" t="s">
        <v>36</v>
      </c>
      <c r="D3600" s="18">
        <v>6445.95</v>
      </c>
      <c r="E3600" s="19"/>
      <c r="F3600" s="15">
        <f t="shared" si="60"/>
        <v>85013604.929999992</v>
      </c>
    </row>
    <row r="3601" spans="1:6" x14ac:dyDescent="0.2">
      <c r="A3601" s="3">
        <v>45841</v>
      </c>
      <c r="B3601" s="45"/>
      <c r="C3601" s="17" t="s">
        <v>227</v>
      </c>
      <c r="D3601" s="18">
        <v>90243.3</v>
      </c>
      <c r="E3601" s="19"/>
      <c r="F3601" s="15">
        <f t="shared" si="60"/>
        <v>84923361.629999995</v>
      </c>
    </row>
    <row r="3602" spans="1:6" x14ac:dyDescent="0.2">
      <c r="A3602" s="3">
        <v>45841</v>
      </c>
      <c r="B3602" s="45"/>
      <c r="C3602" s="17" t="s">
        <v>37</v>
      </c>
      <c r="D3602" s="18">
        <v>12891.9</v>
      </c>
      <c r="E3602" s="19"/>
      <c r="F3602" s="15">
        <f t="shared" si="60"/>
        <v>84910469.729999989</v>
      </c>
    </row>
    <row r="3603" spans="1:6" x14ac:dyDescent="0.2">
      <c r="A3603" s="3">
        <v>45841</v>
      </c>
      <c r="B3603" s="45"/>
      <c r="C3603" s="17" t="s">
        <v>13</v>
      </c>
      <c r="D3603" s="18">
        <v>72039475</v>
      </c>
      <c r="E3603" s="19"/>
      <c r="F3603" s="15">
        <f t="shared" si="60"/>
        <v>12870994.729999989</v>
      </c>
    </row>
    <row r="3604" spans="1:6" x14ac:dyDescent="0.2">
      <c r="A3604" s="3">
        <v>45841</v>
      </c>
      <c r="B3604" s="45"/>
      <c r="C3604" s="17" t="s">
        <v>22</v>
      </c>
      <c r="D3604" s="18">
        <v>60533.22</v>
      </c>
      <c r="E3604" s="19"/>
      <c r="F3604" s="15">
        <f t="shared" si="60"/>
        <v>12810461.509999989</v>
      </c>
    </row>
    <row r="3605" spans="1:6" x14ac:dyDescent="0.2">
      <c r="A3605" s="3">
        <v>45841</v>
      </c>
      <c r="B3605" s="45"/>
      <c r="C3605" s="17" t="s">
        <v>16</v>
      </c>
      <c r="D3605" s="18">
        <v>575379.16</v>
      </c>
      <c r="E3605" s="19"/>
      <c r="F3605" s="15">
        <f t="shared" si="60"/>
        <v>12235082.349999988</v>
      </c>
    </row>
    <row r="3606" spans="1:6" x14ac:dyDescent="0.2">
      <c r="A3606" s="3">
        <v>45841</v>
      </c>
      <c r="B3606" s="45"/>
      <c r="C3606" s="20" t="s">
        <v>522</v>
      </c>
      <c r="D3606" s="18">
        <v>10088.870000000001</v>
      </c>
      <c r="E3606" s="19"/>
      <c r="F3606" s="15">
        <f t="shared" si="60"/>
        <v>12224993.479999989</v>
      </c>
    </row>
    <row r="3607" spans="1:6" x14ac:dyDescent="0.2">
      <c r="A3607" s="3">
        <v>45842</v>
      </c>
      <c r="B3607" s="43">
        <v>31929</v>
      </c>
      <c r="C3607" s="17" t="s">
        <v>9</v>
      </c>
      <c r="D3607" s="18">
        <v>141219</v>
      </c>
      <c r="E3607" s="19"/>
      <c r="F3607" s="15">
        <f t="shared" si="60"/>
        <v>12083774.479999989</v>
      </c>
    </row>
    <row r="3608" spans="1:6" x14ac:dyDescent="0.2">
      <c r="A3608" s="3">
        <v>45842</v>
      </c>
      <c r="B3608" s="43">
        <v>32226</v>
      </c>
      <c r="C3608" s="17" t="s">
        <v>9</v>
      </c>
      <c r="D3608" s="18">
        <v>370252.35</v>
      </c>
      <c r="E3608" s="19"/>
      <c r="F3608" s="15">
        <f t="shared" si="60"/>
        <v>11713522.12999999</v>
      </c>
    </row>
    <row r="3609" spans="1:6" x14ac:dyDescent="0.2">
      <c r="A3609" s="3">
        <v>45842</v>
      </c>
      <c r="B3609" s="45"/>
      <c r="C3609" s="17" t="s">
        <v>468</v>
      </c>
      <c r="D3609" s="18">
        <v>8556.5</v>
      </c>
      <c r="E3609" s="19"/>
      <c r="F3609" s="15">
        <f t="shared" si="60"/>
        <v>11704965.62999999</v>
      </c>
    </row>
    <row r="3610" spans="1:6" x14ac:dyDescent="0.2">
      <c r="A3610" s="3">
        <v>45842</v>
      </c>
      <c r="B3610" s="45"/>
      <c r="C3610" s="17" t="s">
        <v>36</v>
      </c>
      <c r="D3610" s="18">
        <v>128.35</v>
      </c>
      <c r="E3610" s="19"/>
      <c r="F3610" s="15">
        <f t="shared" si="60"/>
        <v>11704837.27999999</v>
      </c>
    </row>
    <row r="3611" spans="1:6" x14ac:dyDescent="0.2">
      <c r="A3611" s="3">
        <v>45842</v>
      </c>
      <c r="B3611" s="51"/>
      <c r="C3611" s="58" t="s">
        <v>227</v>
      </c>
      <c r="D3611" s="48">
        <v>1796.87</v>
      </c>
      <c r="E3611" s="49"/>
      <c r="F3611" s="15">
        <f t="shared" si="60"/>
        <v>11703040.409999991</v>
      </c>
    </row>
    <row r="3612" spans="1:6" x14ac:dyDescent="0.2">
      <c r="A3612" s="3">
        <v>45842</v>
      </c>
      <c r="B3612" s="50"/>
      <c r="C3612" s="59" t="s">
        <v>37</v>
      </c>
      <c r="D3612" s="23">
        <v>256.7</v>
      </c>
      <c r="E3612" s="24"/>
      <c r="F3612" s="15">
        <f t="shared" si="60"/>
        <v>11702783.709999992</v>
      </c>
    </row>
    <row r="3613" spans="1:6" x14ac:dyDescent="0.2">
      <c r="A3613" s="3">
        <v>45842</v>
      </c>
      <c r="B3613" s="43">
        <v>32442</v>
      </c>
      <c r="C3613" s="20" t="s">
        <v>29</v>
      </c>
      <c r="D3613" s="18">
        <v>50000</v>
      </c>
      <c r="E3613" s="19"/>
      <c r="F3613" s="15">
        <f t="shared" si="60"/>
        <v>11652783.709999992</v>
      </c>
    </row>
    <row r="3614" spans="1:6" x14ac:dyDescent="0.2">
      <c r="A3614" s="3">
        <v>45842</v>
      </c>
      <c r="B3614" s="43">
        <v>32444</v>
      </c>
      <c r="C3614" s="20" t="s">
        <v>30</v>
      </c>
      <c r="D3614" s="18">
        <v>50000</v>
      </c>
      <c r="E3614" s="19"/>
      <c r="F3614" s="15">
        <f t="shared" si="60"/>
        <v>11602783.709999992</v>
      </c>
    </row>
    <row r="3615" spans="1:6" x14ac:dyDescent="0.2">
      <c r="A3615" s="3">
        <v>45842</v>
      </c>
      <c r="B3615" s="43">
        <v>32443</v>
      </c>
      <c r="C3615" s="20" t="s">
        <v>28</v>
      </c>
      <c r="D3615" s="18">
        <v>50000</v>
      </c>
      <c r="E3615" s="19"/>
      <c r="F3615" s="15">
        <f t="shared" si="60"/>
        <v>11552783.709999992</v>
      </c>
    </row>
    <row r="3616" spans="1:6" x14ac:dyDescent="0.2">
      <c r="A3616" s="3">
        <v>45842</v>
      </c>
      <c r="B3616" s="43">
        <v>32445</v>
      </c>
      <c r="C3616" s="20" t="s">
        <v>97</v>
      </c>
      <c r="D3616" s="18">
        <v>50000</v>
      </c>
      <c r="E3616" s="19"/>
      <c r="F3616" s="15">
        <f t="shared" si="60"/>
        <v>11502783.709999992</v>
      </c>
    </row>
    <row r="3617" spans="1:6" x14ac:dyDescent="0.2">
      <c r="A3617" s="3">
        <v>45842</v>
      </c>
      <c r="B3617" s="43">
        <v>32440</v>
      </c>
      <c r="C3617" s="17" t="s">
        <v>12</v>
      </c>
      <c r="D3617" s="18">
        <v>50000</v>
      </c>
      <c r="E3617" s="19"/>
      <c r="F3617" s="15">
        <f t="shared" si="60"/>
        <v>11452783.709999992</v>
      </c>
    </row>
    <row r="3618" spans="1:6" x14ac:dyDescent="0.2">
      <c r="A3618" s="3">
        <v>45842</v>
      </c>
      <c r="B3618" s="43">
        <v>32438</v>
      </c>
      <c r="C3618" s="17" t="s">
        <v>12</v>
      </c>
      <c r="D3618" s="18">
        <v>50000</v>
      </c>
      <c r="E3618" s="19"/>
      <c r="F3618" s="15">
        <f t="shared" si="60"/>
        <v>11402783.709999992</v>
      </c>
    </row>
    <row r="3619" spans="1:6" x14ac:dyDescent="0.2">
      <c r="A3619" s="3">
        <v>45842</v>
      </c>
      <c r="B3619" s="43">
        <v>32437</v>
      </c>
      <c r="C3619" s="17" t="s">
        <v>12</v>
      </c>
      <c r="D3619" s="18">
        <v>50000</v>
      </c>
      <c r="E3619" s="19"/>
      <c r="F3619" s="15">
        <f t="shared" ref="F3619:F3682" si="61">+F3618+E3619-D3619</f>
        <v>11352783.709999992</v>
      </c>
    </row>
    <row r="3620" spans="1:6" x14ac:dyDescent="0.2">
      <c r="A3620" s="3">
        <v>45842</v>
      </c>
      <c r="B3620" s="43">
        <v>32439</v>
      </c>
      <c r="C3620" s="17" t="s">
        <v>12</v>
      </c>
      <c r="D3620" s="18">
        <v>50000</v>
      </c>
      <c r="E3620" s="19"/>
      <c r="F3620" s="15">
        <f t="shared" si="61"/>
        <v>11302783.709999992</v>
      </c>
    </row>
    <row r="3621" spans="1:6" x14ac:dyDescent="0.2">
      <c r="A3621" s="3">
        <v>45842</v>
      </c>
      <c r="B3621" s="43">
        <v>32441</v>
      </c>
      <c r="C3621" s="17" t="s">
        <v>12</v>
      </c>
      <c r="D3621" s="18">
        <v>50000</v>
      </c>
      <c r="E3621" s="19"/>
      <c r="F3621" s="15">
        <f t="shared" si="61"/>
        <v>11252783.709999992</v>
      </c>
    </row>
    <row r="3622" spans="1:6" x14ac:dyDescent="0.2">
      <c r="A3622" s="3">
        <v>45842</v>
      </c>
      <c r="B3622" s="43">
        <v>32364</v>
      </c>
      <c r="C3622" s="17" t="s">
        <v>12</v>
      </c>
      <c r="D3622" s="18">
        <v>2007377.93</v>
      </c>
      <c r="E3622" s="19"/>
      <c r="F3622" s="15">
        <f t="shared" si="61"/>
        <v>9245405.7799999919</v>
      </c>
    </row>
    <row r="3623" spans="1:6" x14ac:dyDescent="0.2">
      <c r="A3623" s="3">
        <v>45842</v>
      </c>
      <c r="B3623" s="45"/>
      <c r="C3623" s="17" t="s">
        <v>34</v>
      </c>
      <c r="D3623" s="18">
        <v>2400</v>
      </c>
      <c r="E3623" s="19"/>
      <c r="F3623" s="15">
        <f t="shared" si="61"/>
        <v>9243005.7799999919</v>
      </c>
    </row>
    <row r="3624" spans="1:6" x14ac:dyDescent="0.2">
      <c r="A3624" s="3">
        <v>45842</v>
      </c>
      <c r="B3624" s="45"/>
      <c r="C3624" s="17" t="s">
        <v>16</v>
      </c>
      <c r="D3624" s="18">
        <v>16738.05</v>
      </c>
      <c r="E3624" s="19"/>
      <c r="F3624" s="15">
        <f t="shared" si="61"/>
        <v>9226267.7299999911</v>
      </c>
    </row>
    <row r="3625" spans="1:6" x14ac:dyDescent="0.2">
      <c r="A3625" s="3">
        <v>45845</v>
      </c>
      <c r="B3625" s="45"/>
      <c r="C3625" s="20" t="s">
        <v>523</v>
      </c>
      <c r="D3625" s="18">
        <v>4000</v>
      </c>
      <c r="E3625" s="19"/>
      <c r="F3625" s="15">
        <f t="shared" si="61"/>
        <v>9222267.7299999911</v>
      </c>
    </row>
    <row r="3626" spans="1:6" x14ac:dyDescent="0.2">
      <c r="A3626" s="3">
        <v>45845</v>
      </c>
      <c r="B3626" s="45"/>
      <c r="C3626" s="17" t="s">
        <v>36</v>
      </c>
      <c r="D3626" s="18">
        <v>60</v>
      </c>
      <c r="E3626" s="19"/>
      <c r="F3626" s="15">
        <f t="shared" si="61"/>
        <v>9222207.7299999911</v>
      </c>
    </row>
    <row r="3627" spans="1:6" x14ac:dyDescent="0.2">
      <c r="A3627" s="3">
        <v>45845</v>
      </c>
      <c r="B3627" s="45"/>
      <c r="C3627" s="17" t="s">
        <v>227</v>
      </c>
      <c r="D3627" s="18">
        <v>840</v>
      </c>
      <c r="E3627" s="19"/>
      <c r="F3627" s="15">
        <f t="shared" si="61"/>
        <v>9221367.7299999911</v>
      </c>
    </row>
    <row r="3628" spans="1:6" x14ac:dyDescent="0.2">
      <c r="A3628" s="3">
        <v>45845</v>
      </c>
      <c r="B3628" s="45"/>
      <c r="C3628" s="17" t="s">
        <v>37</v>
      </c>
      <c r="D3628" s="18">
        <v>120</v>
      </c>
      <c r="E3628" s="19"/>
      <c r="F3628" s="15">
        <f t="shared" si="61"/>
        <v>9221247.7299999911</v>
      </c>
    </row>
    <row r="3629" spans="1:6" x14ac:dyDescent="0.2">
      <c r="A3629" s="3">
        <v>45845</v>
      </c>
      <c r="B3629" s="43">
        <v>13947</v>
      </c>
      <c r="C3629" s="20" t="s">
        <v>76</v>
      </c>
      <c r="D3629" s="18">
        <v>159785.26</v>
      </c>
      <c r="E3629" s="19"/>
      <c r="F3629" s="15">
        <f t="shared" si="61"/>
        <v>9061462.4699999914</v>
      </c>
    </row>
    <row r="3630" spans="1:6" x14ac:dyDescent="0.2">
      <c r="A3630" s="3">
        <v>45845</v>
      </c>
      <c r="B3630" s="43">
        <v>32411</v>
      </c>
      <c r="C3630" s="20" t="s">
        <v>28</v>
      </c>
      <c r="D3630" s="18">
        <v>50000</v>
      </c>
      <c r="E3630" s="19"/>
      <c r="F3630" s="15">
        <f t="shared" si="61"/>
        <v>9011462.4699999914</v>
      </c>
    </row>
    <row r="3631" spans="1:6" x14ac:dyDescent="0.2">
      <c r="A3631" s="3">
        <v>45845</v>
      </c>
      <c r="B3631" s="43">
        <v>32410</v>
      </c>
      <c r="C3631" s="20" t="s">
        <v>29</v>
      </c>
      <c r="D3631" s="18">
        <v>50000</v>
      </c>
      <c r="E3631" s="19"/>
      <c r="F3631" s="15">
        <f t="shared" si="61"/>
        <v>8961462.4699999914</v>
      </c>
    </row>
    <row r="3632" spans="1:6" x14ac:dyDescent="0.2">
      <c r="A3632" s="3">
        <v>45845</v>
      </c>
      <c r="B3632" s="43">
        <v>32412</v>
      </c>
      <c r="C3632" s="20" t="s">
        <v>97</v>
      </c>
      <c r="D3632" s="18">
        <v>50000</v>
      </c>
      <c r="E3632" s="19"/>
      <c r="F3632" s="15">
        <f t="shared" si="61"/>
        <v>8911462.4699999914</v>
      </c>
    </row>
    <row r="3633" spans="1:6" x14ac:dyDescent="0.2">
      <c r="A3633" s="3">
        <v>45845</v>
      </c>
      <c r="B3633" s="43">
        <v>32409</v>
      </c>
      <c r="C3633" s="20" t="s">
        <v>30</v>
      </c>
      <c r="D3633" s="18">
        <v>50000</v>
      </c>
      <c r="E3633" s="19"/>
      <c r="F3633" s="15">
        <f t="shared" si="61"/>
        <v>8861462.4699999914</v>
      </c>
    </row>
    <row r="3634" spans="1:6" x14ac:dyDescent="0.2">
      <c r="A3634" s="3">
        <v>45845</v>
      </c>
      <c r="B3634" s="43">
        <v>4082255</v>
      </c>
      <c r="C3634" s="20" t="s">
        <v>524</v>
      </c>
      <c r="D3634" s="18">
        <v>300000</v>
      </c>
      <c r="E3634" s="19"/>
      <c r="F3634" s="15">
        <f t="shared" si="61"/>
        <v>8561462.4699999914</v>
      </c>
    </row>
    <row r="3635" spans="1:6" x14ac:dyDescent="0.2">
      <c r="A3635" s="3">
        <v>45845</v>
      </c>
      <c r="B3635" s="43">
        <v>4082256</v>
      </c>
      <c r="C3635" s="20" t="s">
        <v>146</v>
      </c>
      <c r="D3635" s="18">
        <v>4168633.2</v>
      </c>
      <c r="E3635" s="19"/>
      <c r="F3635" s="15">
        <f t="shared" si="61"/>
        <v>4392829.2699999912</v>
      </c>
    </row>
    <row r="3636" spans="1:6" x14ac:dyDescent="0.2">
      <c r="A3636" s="3">
        <v>45845</v>
      </c>
      <c r="B3636" s="43">
        <v>18190568</v>
      </c>
      <c r="C3636" s="20" t="s">
        <v>525</v>
      </c>
      <c r="D3636" s="18">
        <v>220003</v>
      </c>
      <c r="E3636" s="19"/>
      <c r="F3636" s="15">
        <f t="shared" si="61"/>
        <v>4172826.2699999912</v>
      </c>
    </row>
    <row r="3637" spans="1:6" x14ac:dyDescent="0.2">
      <c r="A3637" s="3">
        <v>45845</v>
      </c>
      <c r="B3637" s="45"/>
      <c r="C3637" s="17" t="s">
        <v>16</v>
      </c>
      <c r="D3637" s="18">
        <v>29120.65</v>
      </c>
      <c r="E3637" s="19"/>
      <c r="F3637" s="15">
        <f t="shared" si="61"/>
        <v>4143705.6199999913</v>
      </c>
    </row>
    <row r="3638" spans="1:6" x14ac:dyDescent="0.2">
      <c r="A3638" s="3">
        <v>45845</v>
      </c>
      <c r="B3638" s="51"/>
      <c r="C3638" s="58" t="s">
        <v>34</v>
      </c>
      <c r="D3638" s="48">
        <v>2400</v>
      </c>
      <c r="E3638" s="49"/>
      <c r="F3638" s="15">
        <f t="shared" si="61"/>
        <v>4141305.6199999913</v>
      </c>
    </row>
    <row r="3639" spans="1:6" x14ac:dyDescent="0.2">
      <c r="A3639" s="3">
        <v>45845</v>
      </c>
      <c r="B3639" s="44">
        <v>15011</v>
      </c>
      <c r="C3639" s="57" t="s">
        <v>477</v>
      </c>
      <c r="D3639" s="23">
        <v>1485</v>
      </c>
      <c r="E3639" s="24"/>
      <c r="F3639" s="15">
        <f t="shared" si="61"/>
        <v>4139820.6199999913</v>
      </c>
    </row>
    <row r="3640" spans="1:6" x14ac:dyDescent="0.2">
      <c r="A3640" s="3">
        <v>45845</v>
      </c>
      <c r="B3640" s="43">
        <v>15011</v>
      </c>
      <c r="C3640" s="17" t="s">
        <v>227</v>
      </c>
      <c r="D3640" s="18">
        <v>311.85000000000002</v>
      </c>
      <c r="E3640" s="19"/>
      <c r="F3640" s="15">
        <f t="shared" si="61"/>
        <v>4139508.7699999912</v>
      </c>
    </row>
    <row r="3641" spans="1:6" x14ac:dyDescent="0.2">
      <c r="A3641" s="3">
        <v>45846</v>
      </c>
      <c r="B3641" s="43">
        <v>1084</v>
      </c>
      <c r="C3641" s="17" t="s">
        <v>24</v>
      </c>
      <c r="D3641" s="19"/>
      <c r="E3641" s="18">
        <v>124071.9</v>
      </c>
      <c r="F3641" s="15">
        <f t="shared" si="61"/>
        <v>4263580.6699999915</v>
      </c>
    </row>
    <row r="3642" spans="1:6" x14ac:dyDescent="0.2">
      <c r="A3642" s="3">
        <v>45846</v>
      </c>
      <c r="B3642" s="43">
        <v>32367</v>
      </c>
      <c r="C3642" s="17" t="s">
        <v>9</v>
      </c>
      <c r="D3642" s="18">
        <v>393143.9</v>
      </c>
      <c r="E3642" s="19"/>
      <c r="F3642" s="15">
        <f t="shared" si="61"/>
        <v>3870436.7699999916</v>
      </c>
    </row>
    <row r="3643" spans="1:6" x14ac:dyDescent="0.2">
      <c r="A3643" s="3">
        <v>45846</v>
      </c>
      <c r="B3643" s="45"/>
      <c r="C3643" s="20" t="s">
        <v>526</v>
      </c>
      <c r="D3643" s="18">
        <v>10064.68</v>
      </c>
      <c r="E3643" s="19"/>
      <c r="F3643" s="15">
        <f t="shared" si="61"/>
        <v>3860372.0899999915</v>
      </c>
    </row>
    <row r="3644" spans="1:6" x14ac:dyDescent="0.2">
      <c r="A3644" s="3">
        <v>45846</v>
      </c>
      <c r="B3644" s="45"/>
      <c r="C3644" s="17" t="s">
        <v>36</v>
      </c>
      <c r="D3644" s="18">
        <v>150.97</v>
      </c>
      <c r="E3644" s="19"/>
      <c r="F3644" s="15">
        <f t="shared" si="61"/>
        <v>3860221.1199999913</v>
      </c>
    </row>
    <row r="3645" spans="1:6" x14ac:dyDescent="0.2">
      <c r="A3645" s="3">
        <v>45846</v>
      </c>
      <c r="B3645" s="45"/>
      <c r="C3645" s="17" t="s">
        <v>339</v>
      </c>
      <c r="D3645" s="18">
        <v>1056.79</v>
      </c>
      <c r="E3645" s="19"/>
      <c r="F3645" s="15">
        <f t="shared" si="61"/>
        <v>3859164.3299999912</v>
      </c>
    </row>
    <row r="3646" spans="1:6" x14ac:dyDescent="0.2">
      <c r="A3646" s="3">
        <v>45846</v>
      </c>
      <c r="B3646" s="45"/>
      <c r="C3646" s="17" t="s">
        <v>153</v>
      </c>
      <c r="D3646" s="18">
        <v>150.97</v>
      </c>
      <c r="E3646" s="19"/>
      <c r="F3646" s="15">
        <f t="shared" si="61"/>
        <v>3859013.359999991</v>
      </c>
    </row>
    <row r="3647" spans="1:6" x14ac:dyDescent="0.2">
      <c r="A3647" s="3">
        <v>45846</v>
      </c>
      <c r="B3647" s="45"/>
      <c r="C3647" s="17" t="s">
        <v>154</v>
      </c>
      <c r="D3647" s="18">
        <v>142.09</v>
      </c>
      <c r="E3647" s="19"/>
      <c r="F3647" s="15">
        <f t="shared" si="61"/>
        <v>3858871.2699999912</v>
      </c>
    </row>
    <row r="3648" spans="1:6" x14ac:dyDescent="0.2">
      <c r="A3648" s="3">
        <v>45846</v>
      </c>
      <c r="B3648" s="45"/>
      <c r="C3648" s="20" t="s">
        <v>523</v>
      </c>
      <c r="D3648" s="18">
        <v>4000</v>
      </c>
      <c r="E3648" s="19"/>
      <c r="F3648" s="15">
        <f t="shared" si="61"/>
        <v>3854871.2699999912</v>
      </c>
    </row>
    <row r="3649" spans="1:6" x14ac:dyDescent="0.2">
      <c r="A3649" s="3">
        <v>45846</v>
      </c>
      <c r="B3649" s="45"/>
      <c r="C3649" s="17" t="s">
        <v>36</v>
      </c>
      <c r="D3649" s="18">
        <v>60</v>
      </c>
      <c r="E3649" s="19"/>
      <c r="F3649" s="15">
        <f t="shared" si="61"/>
        <v>3854811.2699999912</v>
      </c>
    </row>
    <row r="3650" spans="1:6" x14ac:dyDescent="0.2">
      <c r="A3650" s="3">
        <v>45846</v>
      </c>
      <c r="B3650" s="45"/>
      <c r="C3650" s="17" t="s">
        <v>227</v>
      </c>
      <c r="D3650" s="18">
        <v>840</v>
      </c>
      <c r="E3650" s="19"/>
      <c r="F3650" s="15">
        <f t="shared" si="61"/>
        <v>3853971.2699999912</v>
      </c>
    </row>
    <row r="3651" spans="1:6" x14ac:dyDescent="0.2">
      <c r="A3651" s="3">
        <v>45846</v>
      </c>
      <c r="B3651" s="45"/>
      <c r="C3651" s="17" t="s">
        <v>37</v>
      </c>
      <c r="D3651" s="18">
        <v>120</v>
      </c>
      <c r="E3651" s="19"/>
      <c r="F3651" s="15">
        <f t="shared" si="61"/>
        <v>3853851.2699999912</v>
      </c>
    </row>
    <row r="3652" spans="1:6" x14ac:dyDescent="0.2">
      <c r="A3652" s="3">
        <v>45846</v>
      </c>
      <c r="B3652" s="43">
        <v>41354424</v>
      </c>
      <c r="C3652" s="17" t="s">
        <v>527</v>
      </c>
      <c r="D3652" s="18">
        <v>56542.76</v>
      </c>
      <c r="E3652" s="19"/>
      <c r="F3652" s="15">
        <f t="shared" si="61"/>
        <v>3797308.5099999914</v>
      </c>
    </row>
    <row r="3653" spans="1:6" x14ac:dyDescent="0.2">
      <c r="A3653" s="3">
        <v>45846</v>
      </c>
      <c r="B3653" s="43">
        <v>26520161</v>
      </c>
      <c r="C3653" s="20" t="s">
        <v>528</v>
      </c>
      <c r="D3653" s="19"/>
      <c r="E3653" s="18">
        <v>17000</v>
      </c>
      <c r="F3653" s="15">
        <f t="shared" si="61"/>
        <v>3814308.5099999914</v>
      </c>
    </row>
    <row r="3654" spans="1:6" x14ac:dyDescent="0.2">
      <c r="A3654" s="3">
        <v>45846</v>
      </c>
      <c r="B3654" s="43">
        <v>32477</v>
      </c>
      <c r="C3654" s="20" t="s">
        <v>97</v>
      </c>
      <c r="D3654" s="18">
        <v>50000</v>
      </c>
      <c r="E3654" s="19"/>
      <c r="F3654" s="15">
        <f t="shared" si="61"/>
        <v>3764308.5099999914</v>
      </c>
    </row>
    <row r="3655" spans="1:6" x14ac:dyDescent="0.2">
      <c r="A3655" s="3">
        <v>45846</v>
      </c>
      <c r="B3655" s="43">
        <v>4161547</v>
      </c>
      <c r="C3655" s="20" t="s">
        <v>115</v>
      </c>
      <c r="D3655" s="18">
        <v>1379630</v>
      </c>
      <c r="E3655" s="19"/>
      <c r="F3655" s="15">
        <f t="shared" si="61"/>
        <v>2384678.5099999914</v>
      </c>
    </row>
    <row r="3656" spans="1:6" x14ac:dyDescent="0.2">
      <c r="A3656" s="3">
        <v>45846</v>
      </c>
      <c r="B3656" s="45"/>
      <c r="C3656" s="17" t="s">
        <v>22</v>
      </c>
      <c r="D3656" s="18">
        <v>846.43</v>
      </c>
      <c r="E3656" s="19"/>
      <c r="F3656" s="15">
        <f t="shared" si="61"/>
        <v>2383832.0799999912</v>
      </c>
    </row>
    <row r="3657" spans="1:6" x14ac:dyDescent="0.2">
      <c r="A3657" s="3">
        <v>45846</v>
      </c>
      <c r="B3657" s="45"/>
      <c r="C3657" s="17" t="s">
        <v>16</v>
      </c>
      <c r="D3657" s="18">
        <v>11086.2</v>
      </c>
      <c r="E3657" s="19"/>
      <c r="F3657" s="15">
        <f t="shared" si="61"/>
        <v>2372745.879999991</v>
      </c>
    </row>
    <row r="3658" spans="1:6" x14ac:dyDescent="0.2">
      <c r="A3658" s="3">
        <v>45846</v>
      </c>
      <c r="B3658" s="45"/>
      <c r="C3658" s="17" t="s">
        <v>34</v>
      </c>
      <c r="D3658" s="18">
        <v>600</v>
      </c>
      <c r="E3658" s="19"/>
      <c r="F3658" s="15">
        <f t="shared" si="61"/>
        <v>2372145.879999991</v>
      </c>
    </row>
    <row r="3659" spans="1:6" x14ac:dyDescent="0.2">
      <c r="A3659" s="3">
        <v>45846</v>
      </c>
      <c r="B3659" s="43">
        <v>14421</v>
      </c>
      <c r="C3659" s="20" t="s">
        <v>477</v>
      </c>
      <c r="D3659" s="18">
        <v>1485</v>
      </c>
      <c r="E3659" s="19"/>
      <c r="F3659" s="15">
        <f t="shared" si="61"/>
        <v>2370660.879999991</v>
      </c>
    </row>
    <row r="3660" spans="1:6" x14ac:dyDescent="0.2">
      <c r="A3660" s="3">
        <v>45846</v>
      </c>
      <c r="B3660" s="43">
        <v>14421</v>
      </c>
      <c r="C3660" s="17" t="s">
        <v>227</v>
      </c>
      <c r="D3660" s="18">
        <v>311.85000000000002</v>
      </c>
      <c r="E3660" s="19"/>
      <c r="F3660" s="15">
        <f t="shared" si="61"/>
        <v>2370349.0299999909</v>
      </c>
    </row>
    <row r="3661" spans="1:6" x14ac:dyDescent="0.2">
      <c r="A3661" s="3">
        <v>45846</v>
      </c>
      <c r="B3661" s="45"/>
      <c r="C3661" s="20" t="s">
        <v>529</v>
      </c>
      <c r="D3661" s="18">
        <v>141.07</v>
      </c>
      <c r="E3661" s="19"/>
      <c r="F3661" s="15">
        <f t="shared" si="61"/>
        <v>2370207.9599999911</v>
      </c>
    </row>
    <row r="3662" spans="1:6" x14ac:dyDescent="0.2">
      <c r="A3662" s="3">
        <v>45848</v>
      </c>
      <c r="B3662" s="45"/>
      <c r="C3662" s="20" t="s">
        <v>493</v>
      </c>
      <c r="D3662" s="18">
        <v>1320</v>
      </c>
      <c r="E3662" s="19"/>
      <c r="F3662" s="15">
        <f t="shared" si="61"/>
        <v>2368887.9599999911</v>
      </c>
    </row>
    <row r="3663" spans="1:6" x14ac:dyDescent="0.2">
      <c r="A3663" s="3">
        <v>45848</v>
      </c>
      <c r="B3663" s="45"/>
      <c r="C3663" s="17" t="s">
        <v>227</v>
      </c>
      <c r="D3663" s="18">
        <v>277.2</v>
      </c>
      <c r="E3663" s="19"/>
      <c r="F3663" s="15">
        <f t="shared" si="61"/>
        <v>2368610.7599999909</v>
      </c>
    </row>
    <row r="3664" spans="1:6" x14ac:dyDescent="0.2">
      <c r="A3664" s="3">
        <v>45848</v>
      </c>
      <c r="B3664" s="45"/>
      <c r="C3664" s="17" t="s">
        <v>16</v>
      </c>
      <c r="D3664" s="18">
        <v>21.21</v>
      </c>
      <c r="E3664" s="19"/>
      <c r="F3664" s="15">
        <f t="shared" si="61"/>
        <v>2368589.549999991</v>
      </c>
    </row>
    <row r="3665" spans="1:6" x14ac:dyDescent="0.2">
      <c r="A3665" s="3">
        <v>45849</v>
      </c>
      <c r="B3665" s="46">
        <v>32283</v>
      </c>
      <c r="C3665" s="58" t="s">
        <v>9</v>
      </c>
      <c r="D3665" s="48">
        <v>382296.85</v>
      </c>
      <c r="E3665" s="49"/>
      <c r="F3665" s="15">
        <f t="shared" si="61"/>
        <v>1986292.6999999909</v>
      </c>
    </row>
    <row r="3666" spans="1:6" x14ac:dyDescent="0.2">
      <c r="A3666" s="3">
        <v>45849</v>
      </c>
      <c r="B3666" s="44">
        <v>13247</v>
      </c>
      <c r="C3666" s="57" t="s">
        <v>21</v>
      </c>
      <c r="D3666" s="30"/>
      <c r="E3666" s="31">
        <v>15735</v>
      </c>
      <c r="F3666" s="15">
        <f t="shared" si="61"/>
        <v>2002027.6999999909</v>
      </c>
    </row>
    <row r="3667" spans="1:6" x14ac:dyDescent="0.2">
      <c r="A3667" s="3">
        <v>45849</v>
      </c>
      <c r="B3667" s="45"/>
      <c r="C3667" s="17" t="s">
        <v>16</v>
      </c>
      <c r="D3667" s="18">
        <v>2293.7800000000002</v>
      </c>
      <c r="E3667" s="19"/>
      <c r="F3667" s="15">
        <f t="shared" si="61"/>
        <v>1999733.9199999908</v>
      </c>
    </row>
    <row r="3668" spans="1:6" x14ac:dyDescent="0.2">
      <c r="A3668" s="3">
        <v>45849</v>
      </c>
      <c r="B3668" s="45"/>
      <c r="C3668" s="17" t="s">
        <v>22</v>
      </c>
      <c r="D3668" s="18">
        <v>94.41</v>
      </c>
      <c r="E3668" s="19"/>
      <c r="F3668" s="15">
        <f t="shared" si="61"/>
        <v>1999639.5099999909</v>
      </c>
    </row>
    <row r="3669" spans="1:6" x14ac:dyDescent="0.2">
      <c r="A3669" s="3">
        <v>45849</v>
      </c>
      <c r="B3669" s="45"/>
      <c r="C3669" s="20" t="s">
        <v>530</v>
      </c>
      <c r="D3669" s="18">
        <v>15.74</v>
      </c>
      <c r="E3669" s="19"/>
      <c r="F3669" s="15">
        <f t="shared" si="61"/>
        <v>1999623.7699999909</v>
      </c>
    </row>
    <row r="3670" spans="1:6" x14ac:dyDescent="0.2">
      <c r="A3670" s="3">
        <v>45852</v>
      </c>
      <c r="B3670" s="43">
        <v>971450</v>
      </c>
      <c r="C3670" s="20" t="s">
        <v>531</v>
      </c>
      <c r="D3670" s="19"/>
      <c r="E3670" s="18">
        <v>37224</v>
      </c>
      <c r="F3670" s="15">
        <f t="shared" si="61"/>
        <v>2036847.7699999909</v>
      </c>
    </row>
    <row r="3671" spans="1:6" x14ac:dyDescent="0.2">
      <c r="A3671" s="3">
        <v>45852</v>
      </c>
      <c r="B3671" s="43">
        <v>4143079</v>
      </c>
      <c r="C3671" s="20" t="s">
        <v>501</v>
      </c>
      <c r="D3671" s="18">
        <v>100000</v>
      </c>
      <c r="E3671" s="19"/>
      <c r="F3671" s="15">
        <f t="shared" si="61"/>
        <v>1936847.7699999909</v>
      </c>
    </row>
    <row r="3672" spans="1:6" x14ac:dyDescent="0.2">
      <c r="A3672" s="3">
        <v>45852</v>
      </c>
      <c r="B3672" s="43">
        <v>16357216</v>
      </c>
      <c r="C3672" s="20" t="s">
        <v>532</v>
      </c>
      <c r="D3672" s="18">
        <v>300000</v>
      </c>
      <c r="E3672" s="19"/>
      <c r="F3672" s="15">
        <f t="shared" si="61"/>
        <v>1636847.7699999909</v>
      </c>
    </row>
    <row r="3673" spans="1:6" x14ac:dyDescent="0.2">
      <c r="A3673" s="3">
        <v>45852</v>
      </c>
      <c r="B3673" s="45"/>
      <c r="C3673" s="17" t="s">
        <v>22</v>
      </c>
      <c r="D3673" s="18">
        <v>223.34</v>
      </c>
      <c r="E3673" s="19"/>
      <c r="F3673" s="15">
        <f t="shared" si="61"/>
        <v>1636624.4299999909</v>
      </c>
    </row>
    <row r="3674" spans="1:6" x14ac:dyDescent="0.2">
      <c r="A3674" s="3">
        <v>45852</v>
      </c>
      <c r="B3674" s="45"/>
      <c r="C3674" s="17" t="s">
        <v>16</v>
      </c>
      <c r="D3674" s="18">
        <v>2400.09</v>
      </c>
      <c r="E3674" s="19"/>
      <c r="F3674" s="15">
        <f t="shared" si="61"/>
        <v>1634224.3399999908</v>
      </c>
    </row>
    <row r="3675" spans="1:6" x14ac:dyDescent="0.2">
      <c r="A3675" s="3">
        <v>45852</v>
      </c>
      <c r="B3675" s="43">
        <v>15964</v>
      </c>
      <c r="C3675" s="20" t="s">
        <v>477</v>
      </c>
      <c r="D3675" s="18">
        <v>720</v>
      </c>
      <c r="E3675" s="19"/>
      <c r="F3675" s="15">
        <f t="shared" si="61"/>
        <v>1633504.3399999908</v>
      </c>
    </row>
    <row r="3676" spans="1:6" x14ac:dyDescent="0.2">
      <c r="A3676" s="3">
        <v>45852</v>
      </c>
      <c r="B3676" s="43">
        <v>15964</v>
      </c>
      <c r="C3676" s="17" t="s">
        <v>227</v>
      </c>
      <c r="D3676" s="18">
        <v>151.19999999999999</v>
      </c>
      <c r="E3676" s="19"/>
      <c r="F3676" s="15">
        <f t="shared" si="61"/>
        <v>1633353.1399999908</v>
      </c>
    </row>
    <row r="3677" spans="1:6" x14ac:dyDescent="0.2">
      <c r="A3677" s="3">
        <v>45852</v>
      </c>
      <c r="B3677" s="45"/>
      <c r="C3677" s="20" t="s">
        <v>533</v>
      </c>
      <c r="D3677" s="18">
        <v>37.22</v>
      </c>
      <c r="E3677" s="19"/>
      <c r="F3677" s="15">
        <f t="shared" si="61"/>
        <v>1633315.9199999908</v>
      </c>
    </row>
    <row r="3678" spans="1:6" x14ac:dyDescent="0.2">
      <c r="A3678" s="3">
        <v>45853</v>
      </c>
      <c r="B3678" s="43">
        <v>32478</v>
      </c>
      <c r="C3678" s="20" t="s">
        <v>97</v>
      </c>
      <c r="D3678" s="18">
        <v>50000</v>
      </c>
      <c r="E3678" s="19"/>
      <c r="F3678" s="15">
        <f t="shared" si="61"/>
        <v>1583315.9199999908</v>
      </c>
    </row>
    <row r="3679" spans="1:6" x14ac:dyDescent="0.2">
      <c r="A3679" s="3">
        <v>45853</v>
      </c>
      <c r="B3679" s="43">
        <v>8979054</v>
      </c>
      <c r="C3679" s="20" t="s">
        <v>534</v>
      </c>
      <c r="D3679" s="19"/>
      <c r="E3679" s="18">
        <v>25000</v>
      </c>
      <c r="F3679" s="15">
        <f t="shared" si="61"/>
        <v>1608315.9199999908</v>
      </c>
    </row>
    <row r="3680" spans="1:6" x14ac:dyDescent="0.2">
      <c r="A3680" s="3">
        <v>45853</v>
      </c>
      <c r="B3680" s="43">
        <v>66730</v>
      </c>
      <c r="C3680" s="20" t="s">
        <v>535</v>
      </c>
      <c r="D3680" s="19"/>
      <c r="E3680" s="18">
        <v>26239</v>
      </c>
      <c r="F3680" s="15">
        <f t="shared" si="61"/>
        <v>1634554.9199999908</v>
      </c>
    </row>
    <row r="3681" spans="1:6" x14ac:dyDescent="0.2">
      <c r="A3681" s="3">
        <v>45853</v>
      </c>
      <c r="B3681" s="45"/>
      <c r="C3681" s="17" t="s">
        <v>34</v>
      </c>
      <c r="D3681" s="18">
        <v>600</v>
      </c>
      <c r="E3681" s="19"/>
      <c r="F3681" s="15">
        <f t="shared" si="61"/>
        <v>1633954.9199999908</v>
      </c>
    </row>
    <row r="3682" spans="1:6" x14ac:dyDescent="0.2">
      <c r="A3682" s="3">
        <v>45853</v>
      </c>
      <c r="B3682" s="45"/>
      <c r="C3682" s="17" t="s">
        <v>22</v>
      </c>
      <c r="D3682" s="18">
        <v>307.43</v>
      </c>
      <c r="E3682" s="19"/>
      <c r="F3682" s="15">
        <f t="shared" si="61"/>
        <v>1633647.4899999909</v>
      </c>
    </row>
    <row r="3683" spans="1:6" x14ac:dyDescent="0.2">
      <c r="A3683" s="3">
        <v>45853</v>
      </c>
      <c r="B3683" s="45"/>
      <c r="C3683" s="17" t="s">
        <v>16</v>
      </c>
      <c r="D3683" s="18">
        <v>5.45</v>
      </c>
      <c r="E3683" s="19"/>
      <c r="F3683" s="15">
        <f t="shared" ref="F3683:F3746" si="62">+F3682+E3683-D3683</f>
        <v>1633642.039999991</v>
      </c>
    </row>
    <row r="3684" spans="1:6" x14ac:dyDescent="0.2">
      <c r="A3684" s="3">
        <v>45853</v>
      </c>
      <c r="B3684" s="45"/>
      <c r="C3684" s="20" t="s">
        <v>536</v>
      </c>
      <c r="D3684" s="18">
        <v>51.24</v>
      </c>
      <c r="E3684" s="19"/>
      <c r="F3684" s="15">
        <f t="shared" si="62"/>
        <v>1633590.799999991</v>
      </c>
    </row>
    <row r="3685" spans="1:6" x14ac:dyDescent="0.2">
      <c r="A3685" s="3">
        <v>45854</v>
      </c>
      <c r="B3685" s="43">
        <v>67201</v>
      </c>
      <c r="C3685" s="20" t="s">
        <v>46</v>
      </c>
      <c r="D3685" s="18">
        <v>618634.22</v>
      </c>
      <c r="E3685" s="19"/>
      <c r="F3685" s="15">
        <f t="shared" si="62"/>
        <v>1014956.579999991</v>
      </c>
    </row>
    <row r="3686" spans="1:6" x14ac:dyDescent="0.2">
      <c r="A3686" s="3">
        <v>45854</v>
      </c>
      <c r="B3686" s="43">
        <v>241141</v>
      </c>
      <c r="C3686" s="20" t="s">
        <v>46</v>
      </c>
      <c r="D3686" s="18">
        <v>418694.05</v>
      </c>
      <c r="E3686" s="19"/>
      <c r="F3686" s="15">
        <f t="shared" si="62"/>
        <v>596262.52999999095</v>
      </c>
    </row>
    <row r="3687" spans="1:6" x14ac:dyDescent="0.2">
      <c r="A3687" s="3">
        <v>45854</v>
      </c>
      <c r="B3687" s="45"/>
      <c r="C3687" s="20" t="s">
        <v>493</v>
      </c>
      <c r="D3687" s="18">
        <v>1320</v>
      </c>
      <c r="E3687" s="19"/>
      <c r="F3687" s="15">
        <f t="shared" si="62"/>
        <v>594942.52999999095</v>
      </c>
    </row>
    <row r="3688" spans="1:6" x14ac:dyDescent="0.2">
      <c r="A3688" s="3">
        <v>45854</v>
      </c>
      <c r="B3688" s="45"/>
      <c r="C3688" s="17" t="s">
        <v>227</v>
      </c>
      <c r="D3688" s="18">
        <v>277.2</v>
      </c>
      <c r="E3688" s="19"/>
      <c r="F3688" s="15">
        <f t="shared" si="62"/>
        <v>594665.32999999099</v>
      </c>
    </row>
    <row r="3689" spans="1:6" x14ac:dyDescent="0.2">
      <c r="A3689" s="3">
        <v>45854</v>
      </c>
      <c r="B3689" s="43">
        <v>9106250</v>
      </c>
      <c r="C3689" s="20" t="s">
        <v>537</v>
      </c>
      <c r="D3689" s="19"/>
      <c r="E3689" s="18">
        <v>34351.199999999997</v>
      </c>
      <c r="F3689" s="15">
        <f t="shared" si="62"/>
        <v>629016.52999999095</v>
      </c>
    </row>
    <row r="3690" spans="1:6" x14ac:dyDescent="0.2">
      <c r="A3690" s="3">
        <v>45854</v>
      </c>
      <c r="B3690" s="46">
        <v>9132660</v>
      </c>
      <c r="C3690" s="56" t="s">
        <v>538</v>
      </c>
      <c r="D3690" s="62"/>
      <c r="E3690" s="63">
        <v>653415.74</v>
      </c>
      <c r="F3690" s="15">
        <f t="shared" si="62"/>
        <v>1282432.2699999909</v>
      </c>
    </row>
    <row r="3691" spans="1:6" x14ac:dyDescent="0.2">
      <c r="A3691" s="3">
        <v>45854</v>
      </c>
      <c r="B3691" s="50"/>
      <c r="C3691" s="59" t="s">
        <v>16</v>
      </c>
      <c r="D3691" s="23">
        <v>6233.86</v>
      </c>
      <c r="E3691" s="24"/>
      <c r="F3691" s="15">
        <f t="shared" si="62"/>
        <v>1276198.4099999908</v>
      </c>
    </row>
    <row r="3692" spans="1:6" x14ac:dyDescent="0.2">
      <c r="A3692" s="3">
        <v>45854</v>
      </c>
      <c r="B3692" s="45"/>
      <c r="C3692" s="17" t="s">
        <v>22</v>
      </c>
      <c r="D3692" s="18">
        <v>4126.6000000000004</v>
      </c>
      <c r="E3692" s="19"/>
      <c r="F3692" s="15">
        <f t="shared" si="62"/>
        <v>1272071.8099999907</v>
      </c>
    </row>
    <row r="3693" spans="1:6" x14ac:dyDescent="0.2">
      <c r="A3693" s="3">
        <v>45854</v>
      </c>
      <c r="B3693" s="45"/>
      <c r="C3693" s="20" t="s">
        <v>539</v>
      </c>
      <c r="D3693" s="18">
        <v>687.77</v>
      </c>
      <c r="E3693" s="19"/>
      <c r="F3693" s="15">
        <f t="shared" si="62"/>
        <v>1271384.0399999907</v>
      </c>
    </row>
    <row r="3694" spans="1:6" x14ac:dyDescent="0.2">
      <c r="A3694" s="3">
        <v>45855</v>
      </c>
      <c r="B3694" s="43">
        <v>64397</v>
      </c>
      <c r="C3694" s="20" t="s">
        <v>217</v>
      </c>
      <c r="D3694" s="25"/>
      <c r="E3694" s="25">
        <v>200000000</v>
      </c>
      <c r="F3694" s="15">
        <f t="shared" si="62"/>
        <v>201271384.03999999</v>
      </c>
    </row>
    <row r="3695" spans="1:6" x14ac:dyDescent="0.2">
      <c r="A3695" s="3">
        <v>45855</v>
      </c>
      <c r="B3695" s="43">
        <v>11457335</v>
      </c>
      <c r="C3695" s="20" t="s">
        <v>135</v>
      </c>
      <c r="D3695" s="19"/>
      <c r="E3695" s="18">
        <v>12171</v>
      </c>
      <c r="F3695" s="15">
        <f t="shared" si="62"/>
        <v>201283555.03999999</v>
      </c>
    </row>
    <row r="3696" spans="1:6" x14ac:dyDescent="0.2">
      <c r="A3696" s="3">
        <v>45855</v>
      </c>
      <c r="B3696" s="43">
        <v>34184283</v>
      </c>
      <c r="C3696" s="20" t="s">
        <v>64</v>
      </c>
      <c r="D3696" s="18">
        <v>355119.92</v>
      </c>
      <c r="E3696" s="19"/>
      <c r="F3696" s="15">
        <f t="shared" si="62"/>
        <v>200928435.12</v>
      </c>
    </row>
    <row r="3697" spans="1:6" x14ac:dyDescent="0.2">
      <c r="A3697" s="3">
        <v>45855</v>
      </c>
      <c r="B3697" s="43">
        <v>35145045</v>
      </c>
      <c r="C3697" s="20" t="s">
        <v>65</v>
      </c>
      <c r="D3697" s="18">
        <v>194321.69</v>
      </c>
      <c r="E3697" s="19"/>
      <c r="F3697" s="15">
        <f t="shared" si="62"/>
        <v>200734113.43000001</v>
      </c>
    </row>
    <row r="3698" spans="1:6" x14ac:dyDescent="0.2">
      <c r="A3698" s="3">
        <v>45855</v>
      </c>
      <c r="B3698" s="43">
        <v>36149815</v>
      </c>
      <c r="C3698" s="20" t="s">
        <v>66</v>
      </c>
      <c r="D3698" s="18">
        <v>694230.34</v>
      </c>
      <c r="E3698" s="19"/>
      <c r="F3698" s="15">
        <f t="shared" si="62"/>
        <v>200039883.09</v>
      </c>
    </row>
    <row r="3699" spans="1:6" x14ac:dyDescent="0.2">
      <c r="A3699" s="3">
        <v>45855</v>
      </c>
      <c r="B3699" s="43">
        <v>37675595</v>
      </c>
      <c r="C3699" s="20" t="s">
        <v>54</v>
      </c>
      <c r="D3699" s="18">
        <v>81153.22</v>
      </c>
      <c r="E3699" s="19"/>
      <c r="F3699" s="15">
        <f t="shared" si="62"/>
        <v>199958729.87</v>
      </c>
    </row>
    <row r="3700" spans="1:6" x14ac:dyDescent="0.2">
      <c r="A3700" s="3">
        <v>45855</v>
      </c>
      <c r="B3700" s="43">
        <v>38892270</v>
      </c>
      <c r="C3700" s="20" t="s">
        <v>261</v>
      </c>
      <c r="D3700" s="18">
        <v>35429.83</v>
      </c>
      <c r="E3700" s="19"/>
      <c r="F3700" s="15">
        <f t="shared" si="62"/>
        <v>199923300.03999999</v>
      </c>
    </row>
    <row r="3701" spans="1:6" x14ac:dyDescent="0.2">
      <c r="A3701" s="3">
        <v>45855</v>
      </c>
      <c r="B3701" s="43">
        <v>39802220</v>
      </c>
      <c r="C3701" s="20" t="s">
        <v>262</v>
      </c>
      <c r="D3701" s="18">
        <v>14376.9</v>
      </c>
      <c r="E3701" s="19"/>
      <c r="F3701" s="15">
        <f t="shared" si="62"/>
        <v>199908923.13999999</v>
      </c>
    </row>
    <row r="3702" spans="1:6" x14ac:dyDescent="0.2">
      <c r="A3702" s="3">
        <v>45855</v>
      </c>
      <c r="B3702" s="43">
        <v>40712007</v>
      </c>
      <c r="C3702" s="20" t="s">
        <v>55</v>
      </c>
      <c r="D3702" s="18">
        <v>109223.61</v>
      </c>
      <c r="E3702" s="19"/>
      <c r="F3702" s="15">
        <f t="shared" si="62"/>
        <v>199799699.52999997</v>
      </c>
    </row>
    <row r="3703" spans="1:6" x14ac:dyDescent="0.2">
      <c r="A3703" s="3">
        <v>45855</v>
      </c>
      <c r="B3703" s="43">
        <v>41669141</v>
      </c>
      <c r="C3703" s="20" t="s">
        <v>57</v>
      </c>
      <c r="D3703" s="18">
        <v>154988.67000000001</v>
      </c>
      <c r="E3703" s="19"/>
      <c r="F3703" s="15">
        <f t="shared" si="62"/>
        <v>199644710.85999998</v>
      </c>
    </row>
    <row r="3704" spans="1:6" x14ac:dyDescent="0.2">
      <c r="A3704" s="3">
        <v>45855</v>
      </c>
      <c r="B3704" s="43">
        <v>56958204</v>
      </c>
      <c r="C3704" s="20" t="s">
        <v>56</v>
      </c>
      <c r="D3704" s="18">
        <v>132683.1</v>
      </c>
      <c r="E3704" s="19"/>
      <c r="F3704" s="15">
        <f t="shared" si="62"/>
        <v>199512027.75999999</v>
      </c>
    </row>
    <row r="3705" spans="1:6" x14ac:dyDescent="0.2">
      <c r="A3705" s="3">
        <v>45855</v>
      </c>
      <c r="B3705" s="43">
        <v>57755055</v>
      </c>
      <c r="C3705" s="20" t="s">
        <v>263</v>
      </c>
      <c r="D3705" s="18">
        <v>16796.72</v>
      </c>
      <c r="E3705" s="19"/>
      <c r="F3705" s="15">
        <f t="shared" si="62"/>
        <v>199495231.03999999</v>
      </c>
    </row>
    <row r="3706" spans="1:6" x14ac:dyDescent="0.2">
      <c r="A3706" s="3">
        <v>45855</v>
      </c>
      <c r="B3706" s="43">
        <v>59352504</v>
      </c>
      <c r="C3706" s="20" t="s">
        <v>62</v>
      </c>
      <c r="D3706" s="18">
        <v>6414.42</v>
      </c>
      <c r="E3706" s="19"/>
      <c r="F3706" s="15">
        <f t="shared" si="62"/>
        <v>199488816.62</v>
      </c>
    </row>
    <row r="3707" spans="1:6" x14ac:dyDescent="0.2">
      <c r="A3707" s="3">
        <v>45855</v>
      </c>
      <c r="B3707" s="43">
        <v>60122745</v>
      </c>
      <c r="C3707" s="20" t="s">
        <v>64</v>
      </c>
      <c r="D3707" s="18">
        <v>313462.67</v>
      </c>
      <c r="E3707" s="19"/>
      <c r="F3707" s="15">
        <f t="shared" si="62"/>
        <v>199175353.95000002</v>
      </c>
    </row>
    <row r="3708" spans="1:6" x14ac:dyDescent="0.2">
      <c r="A3708" s="3">
        <v>45855</v>
      </c>
      <c r="B3708" s="43">
        <v>61053344</v>
      </c>
      <c r="C3708" s="20" t="s">
        <v>67</v>
      </c>
      <c r="D3708" s="18">
        <v>26735.71</v>
      </c>
      <c r="E3708" s="19"/>
      <c r="F3708" s="15">
        <f t="shared" si="62"/>
        <v>199148618.24000001</v>
      </c>
    </row>
    <row r="3709" spans="1:6" x14ac:dyDescent="0.2">
      <c r="A3709" s="3">
        <v>45855</v>
      </c>
      <c r="B3709" s="43">
        <v>61922862</v>
      </c>
      <c r="C3709" s="20" t="s">
        <v>68</v>
      </c>
      <c r="D3709" s="18">
        <v>36334.910000000003</v>
      </c>
      <c r="E3709" s="19"/>
      <c r="F3709" s="15">
        <f t="shared" si="62"/>
        <v>199112283.33000001</v>
      </c>
    </row>
    <row r="3710" spans="1:6" x14ac:dyDescent="0.2">
      <c r="A3710" s="3">
        <v>45855</v>
      </c>
      <c r="B3710" s="43">
        <v>62685095</v>
      </c>
      <c r="C3710" s="20" t="s">
        <v>69</v>
      </c>
      <c r="D3710" s="18">
        <v>34704.61</v>
      </c>
      <c r="E3710" s="19"/>
      <c r="F3710" s="15">
        <f t="shared" si="62"/>
        <v>199077578.72</v>
      </c>
    </row>
    <row r="3711" spans="1:6" x14ac:dyDescent="0.2">
      <c r="A3711" s="3">
        <v>45855</v>
      </c>
      <c r="B3711" s="43">
        <v>76992341</v>
      </c>
      <c r="C3711" s="20" t="s">
        <v>101</v>
      </c>
      <c r="D3711" s="18">
        <v>169949.33</v>
      </c>
      <c r="E3711" s="19"/>
      <c r="F3711" s="15">
        <f t="shared" si="62"/>
        <v>198907629.38999999</v>
      </c>
    </row>
    <row r="3712" spans="1:6" x14ac:dyDescent="0.2">
      <c r="A3712" s="3">
        <v>45855</v>
      </c>
      <c r="B3712" s="43">
        <v>77792581</v>
      </c>
      <c r="C3712" s="20" t="s">
        <v>71</v>
      </c>
      <c r="D3712" s="18">
        <v>65575.13</v>
      </c>
      <c r="E3712" s="19"/>
      <c r="F3712" s="15">
        <f t="shared" si="62"/>
        <v>198842054.25999999</v>
      </c>
    </row>
    <row r="3713" spans="1:6" x14ac:dyDescent="0.2">
      <c r="A3713" s="3">
        <v>45855</v>
      </c>
      <c r="B3713" s="43">
        <v>78676132</v>
      </c>
      <c r="C3713" s="20" t="s">
        <v>177</v>
      </c>
      <c r="D3713" s="18">
        <v>79900.399999999994</v>
      </c>
      <c r="E3713" s="19"/>
      <c r="F3713" s="15">
        <f t="shared" si="62"/>
        <v>198762153.85999998</v>
      </c>
    </row>
    <row r="3714" spans="1:6" x14ac:dyDescent="0.2">
      <c r="A3714" s="3">
        <v>45855</v>
      </c>
      <c r="B3714" s="46">
        <v>79460386</v>
      </c>
      <c r="C3714" s="56" t="s">
        <v>177</v>
      </c>
      <c r="D3714" s="48">
        <v>2835143.1</v>
      </c>
      <c r="E3714" s="49"/>
      <c r="F3714" s="15">
        <f t="shared" si="62"/>
        <v>195927010.75999999</v>
      </c>
    </row>
    <row r="3715" spans="1:6" x14ac:dyDescent="0.2">
      <c r="A3715" s="3">
        <v>45855</v>
      </c>
      <c r="B3715" s="44">
        <v>80253022</v>
      </c>
      <c r="C3715" s="57" t="s">
        <v>70</v>
      </c>
      <c r="D3715" s="23">
        <v>23347.040000000001</v>
      </c>
      <c r="E3715" s="24"/>
      <c r="F3715" s="15">
        <f t="shared" si="62"/>
        <v>195903663.72</v>
      </c>
    </row>
    <row r="3716" spans="1:6" x14ac:dyDescent="0.2">
      <c r="A3716" s="3">
        <v>45855</v>
      </c>
      <c r="B3716" s="43">
        <v>81063531</v>
      </c>
      <c r="C3716" s="20" t="s">
        <v>61</v>
      </c>
      <c r="D3716" s="18">
        <v>119081.5</v>
      </c>
      <c r="E3716" s="19"/>
      <c r="F3716" s="15">
        <f t="shared" si="62"/>
        <v>195784582.22</v>
      </c>
    </row>
    <row r="3717" spans="1:6" x14ac:dyDescent="0.2">
      <c r="A3717" s="3">
        <v>45855</v>
      </c>
      <c r="B3717" s="43">
        <v>73238</v>
      </c>
      <c r="C3717" s="20" t="s">
        <v>11</v>
      </c>
      <c r="D3717" s="18">
        <v>1220803</v>
      </c>
      <c r="E3717" s="19"/>
      <c r="F3717" s="15">
        <f t="shared" si="62"/>
        <v>194563779.22</v>
      </c>
    </row>
    <row r="3718" spans="1:6" x14ac:dyDescent="0.2">
      <c r="A3718" s="3">
        <v>45855</v>
      </c>
      <c r="B3718" s="45"/>
      <c r="C3718" s="17" t="s">
        <v>13</v>
      </c>
      <c r="D3718" s="18">
        <v>24994267</v>
      </c>
      <c r="E3718" s="19"/>
      <c r="F3718" s="15">
        <f t="shared" si="62"/>
        <v>169569512.22</v>
      </c>
    </row>
    <row r="3719" spans="1:6" x14ac:dyDescent="0.2">
      <c r="A3719" s="3">
        <v>45855</v>
      </c>
      <c r="B3719" s="45"/>
      <c r="C3719" s="17" t="s">
        <v>232</v>
      </c>
      <c r="D3719" s="18">
        <v>89.72</v>
      </c>
      <c r="E3719" s="19"/>
      <c r="F3719" s="15">
        <f t="shared" si="62"/>
        <v>169569422.5</v>
      </c>
    </row>
    <row r="3720" spans="1:6" x14ac:dyDescent="0.2">
      <c r="A3720" s="3">
        <v>45855</v>
      </c>
      <c r="B3720" s="45"/>
      <c r="C3720" s="17" t="s">
        <v>14</v>
      </c>
      <c r="D3720" s="18">
        <v>427.29</v>
      </c>
      <c r="E3720" s="19"/>
      <c r="F3720" s="15">
        <f t="shared" si="62"/>
        <v>169568995.21000001</v>
      </c>
    </row>
    <row r="3721" spans="1:6" x14ac:dyDescent="0.2">
      <c r="A3721" s="3">
        <v>45855</v>
      </c>
      <c r="B3721" s="45"/>
      <c r="C3721" s="17" t="s">
        <v>22</v>
      </c>
      <c r="D3721" s="18">
        <v>73.03</v>
      </c>
      <c r="E3721" s="19"/>
      <c r="F3721" s="15">
        <f t="shared" si="62"/>
        <v>169568922.18000001</v>
      </c>
    </row>
    <row r="3722" spans="1:6" x14ac:dyDescent="0.2">
      <c r="A3722" s="3">
        <v>45855</v>
      </c>
      <c r="B3722" s="45"/>
      <c r="C3722" s="17" t="s">
        <v>16</v>
      </c>
      <c r="D3722" s="18">
        <v>190291.49</v>
      </c>
      <c r="E3722" s="19"/>
      <c r="F3722" s="15">
        <f t="shared" si="62"/>
        <v>169378630.69</v>
      </c>
    </row>
    <row r="3723" spans="1:6" x14ac:dyDescent="0.2">
      <c r="A3723" s="3">
        <v>45855</v>
      </c>
      <c r="B3723" s="45"/>
      <c r="C3723" s="20" t="s">
        <v>540</v>
      </c>
      <c r="D3723" s="18">
        <v>12.17</v>
      </c>
      <c r="E3723" s="19"/>
      <c r="F3723" s="15">
        <f t="shared" si="62"/>
        <v>169378618.52000001</v>
      </c>
    </row>
    <row r="3724" spans="1:6" x14ac:dyDescent="0.2">
      <c r="A3724" s="3">
        <v>45856</v>
      </c>
      <c r="B3724" s="43">
        <v>120050</v>
      </c>
      <c r="C3724" s="20" t="s">
        <v>541</v>
      </c>
      <c r="D3724" s="19"/>
      <c r="E3724" s="18">
        <v>486443.4</v>
      </c>
      <c r="F3724" s="15">
        <f t="shared" si="62"/>
        <v>169865061.92000002</v>
      </c>
    </row>
    <row r="3725" spans="1:6" x14ac:dyDescent="0.2">
      <c r="A3725" s="3">
        <v>45856</v>
      </c>
      <c r="B3725" s="43">
        <v>4172703</v>
      </c>
      <c r="C3725" s="20" t="s">
        <v>542</v>
      </c>
      <c r="D3725" s="18">
        <v>4890</v>
      </c>
      <c r="E3725" s="19"/>
      <c r="F3725" s="15">
        <f t="shared" si="62"/>
        <v>169860171.92000002</v>
      </c>
    </row>
    <row r="3726" spans="1:6" x14ac:dyDescent="0.2">
      <c r="A3726" s="3">
        <v>45856</v>
      </c>
      <c r="B3726" s="43">
        <v>89067115</v>
      </c>
      <c r="C3726" s="20" t="s">
        <v>543</v>
      </c>
      <c r="D3726" s="18">
        <v>624360</v>
      </c>
      <c r="E3726" s="19"/>
      <c r="F3726" s="15">
        <f t="shared" si="62"/>
        <v>169235811.92000002</v>
      </c>
    </row>
    <row r="3727" spans="1:6" x14ac:dyDescent="0.2">
      <c r="A3727" s="3">
        <v>45856</v>
      </c>
      <c r="B3727" s="43">
        <v>4172702</v>
      </c>
      <c r="C3727" s="20" t="s">
        <v>544</v>
      </c>
      <c r="D3727" s="18">
        <v>200000</v>
      </c>
      <c r="E3727" s="19"/>
      <c r="F3727" s="15">
        <f t="shared" si="62"/>
        <v>169035811.92000002</v>
      </c>
    </row>
    <row r="3728" spans="1:6" x14ac:dyDescent="0.2">
      <c r="A3728" s="3">
        <v>45856</v>
      </c>
      <c r="B3728" s="43">
        <v>4172700</v>
      </c>
      <c r="C3728" s="20" t="s">
        <v>545</v>
      </c>
      <c r="D3728" s="18">
        <v>1045690.48</v>
      </c>
      <c r="E3728" s="19"/>
      <c r="F3728" s="15">
        <f t="shared" si="62"/>
        <v>167990121.44000003</v>
      </c>
    </row>
    <row r="3729" spans="1:6" x14ac:dyDescent="0.2">
      <c r="A3729" s="3">
        <v>45856</v>
      </c>
      <c r="B3729" s="43">
        <v>4172701</v>
      </c>
      <c r="C3729" s="20" t="s">
        <v>546</v>
      </c>
      <c r="D3729" s="18">
        <v>120000</v>
      </c>
      <c r="E3729" s="19"/>
      <c r="F3729" s="15">
        <f t="shared" si="62"/>
        <v>167870121.44000003</v>
      </c>
    </row>
    <row r="3730" spans="1:6" x14ac:dyDescent="0.2">
      <c r="A3730" s="3">
        <v>45856</v>
      </c>
      <c r="B3730" s="43">
        <v>4172705</v>
      </c>
      <c r="C3730" s="20" t="s">
        <v>547</v>
      </c>
      <c r="D3730" s="18">
        <v>400000</v>
      </c>
      <c r="E3730" s="19"/>
      <c r="F3730" s="15">
        <f t="shared" si="62"/>
        <v>167470121.44000003</v>
      </c>
    </row>
    <row r="3731" spans="1:6" x14ac:dyDescent="0.2">
      <c r="A3731" s="3">
        <v>45856</v>
      </c>
      <c r="B3731" s="43">
        <v>4172743</v>
      </c>
      <c r="C3731" s="20" t="s">
        <v>548</v>
      </c>
      <c r="D3731" s="18">
        <v>814254.35</v>
      </c>
      <c r="E3731" s="19"/>
      <c r="F3731" s="15">
        <f t="shared" si="62"/>
        <v>166655867.09000003</v>
      </c>
    </row>
    <row r="3732" spans="1:6" x14ac:dyDescent="0.2">
      <c r="A3732" s="3">
        <v>45856</v>
      </c>
      <c r="B3732" s="43">
        <v>4172744</v>
      </c>
      <c r="C3732" s="20" t="s">
        <v>549</v>
      </c>
      <c r="D3732" s="18">
        <v>3692191.38</v>
      </c>
      <c r="E3732" s="19"/>
      <c r="F3732" s="15">
        <f t="shared" si="62"/>
        <v>162963675.71000004</v>
      </c>
    </row>
    <row r="3733" spans="1:6" x14ac:dyDescent="0.2">
      <c r="A3733" s="3">
        <v>45856</v>
      </c>
      <c r="B3733" s="43">
        <v>4172745</v>
      </c>
      <c r="C3733" s="20" t="s">
        <v>550</v>
      </c>
      <c r="D3733" s="18">
        <v>240000</v>
      </c>
      <c r="E3733" s="19"/>
      <c r="F3733" s="15">
        <f t="shared" si="62"/>
        <v>162723675.71000004</v>
      </c>
    </row>
    <row r="3734" spans="1:6" x14ac:dyDescent="0.2">
      <c r="A3734" s="3">
        <v>45856</v>
      </c>
      <c r="B3734" s="45"/>
      <c r="C3734" s="17" t="s">
        <v>16</v>
      </c>
      <c r="D3734" s="18">
        <v>42848.39</v>
      </c>
      <c r="E3734" s="19"/>
      <c r="F3734" s="15">
        <f t="shared" si="62"/>
        <v>162680827.32000005</v>
      </c>
    </row>
    <row r="3735" spans="1:6" x14ac:dyDescent="0.2">
      <c r="A3735" s="3">
        <v>45856</v>
      </c>
      <c r="B3735" s="45"/>
      <c r="C3735" s="17" t="s">
        <v>22</v>
      </c>
      <c r="D3735" s="18">
        <v>2918.66</v>
      </c>
      <c r="E3735" s="19"/>
      <c r="F3735" s="15">
        <f t="shared" si="62"/>
        <v>162677908.66000006</v>
      </c>
    </row>
    <row r="3736" spans="1:6" x14ac:dyDescent="0.2">
      <c r="A3736" s="3">
        <v>45856</v>
      </c>
      <c r="B3736" s="43">
        <v>16725</v>
      </c>
      <c r="C3736" s="20" t="s">
        <v>477</v>
      </c>
      <c r="D3736" s="18">
        <v>120</v>
      </c>
      <c r="E3736" s="19"/>
      <c r="F3736" s="15">
        <f t="shared" si="62"/>
        <v>162677788.66000006</v>
      </c>
    </row>
    <row r="3737" spans="1:6" x14ac:dyDescent="0.2">
      <c r="A3737" s="3">
        <v>45856</v>
      </c>
      <c r="B3737" s="43">
        <v>16725</v>
      </c>
      <c r="C3737" s="17" t="s">
        <v>227</v>
      </c>
      <c r="D3737" s="18">
        <v>25.2</v>
      </c>
      <c r="E3737" s="19"/>
      <c r="F3737" s="15">
        <f t="shared" si="62"/>
        <v>162677763.46000007</v>
      </c>
    </row>
    <row r="3738" spans="1:6" x14ac:dyDescent="0.2">
      <c r="A3738" s="3">
        <v>45856</v>
      </c>
      <c r="B3738" s="43">
        <v>16726</v>
      </c>
      <c r="C3738" s="20" t="s">
        <v>477</v>
      </c>
      <c r="D3738" s="18">
        <v>720</v>
      </c>
      <c r="E3738" s="19"/>
      <c r="F3738" s="15">
        <f t="shared" si="62"/>
        <v>162677043.46000007</v>
      </c>
    </row>
    <row r="3739" spans="1:6" x14ac:dyDescent="0.2">
      <c r="A3739" s="3">
        <v>45856</v>
      </c>
      <c r="B3739" s="46">
        <v>16726</v>
      </c>
      <c r="C3739" s="58" t="s">
        <v>227</v>
      </c>
      <c r="D3739" s="48">
        <v>151.19999999999999</v>
      </c>
      <c r="E3739" s="49"/>
      <c r="F3739" s="15">
        <f t="shared" si="62"/>
        <v>162676892.26000008</v>
      </c>
    </row>
    <row r="3740" spans="1:6" x14ac:dyDescent="0.2">
      <c r="A3740" s="3">
        <v>45856</v>
      </c>
      <c r="B3740" s="44">
        <v>16727</v>
      </c>
      <c r="C3740" s="57" t="s">
        <v>477</v>
      </c>
      <c r="D3740" s="23">
        <v>720</v>
      </c>
      <c r="E3740" s="24"/>
      <c r="F3740" s="15">
        <f t="shared" si="62"/>
        <v>162676172.26000008</v>
      </c>
    </row>
    <row r="3741" spans="1:6" x14ac:dyDescent="0.2">
      <c r="A3741" s="3">
        <v>45856</v>
      </c>
      <c r="B3741" s="43">
        <v>16727</v>
      </c>
      <c r="C3741" s="17" t="s">
        <v>227</v>
      </c>
      <c r="D3741" s="18">
        <v>151.19999999999999</v>
      </c>
      <c r="E3741" s="19"/>
      <c r="F3741" s="15">
        <f t="shared" si="62"/>
        <v>162676021.06000009</v>
      </c>
    </row>
    <row r="3742" spans="1:6" x14ac:dyDescent="0.2">
      <c r="A3742" s="3">
        <v>45856</v>
      </c>
      <c r="B3742" s="43">
        <v>16728</v>
      </c>
      <c r="C3742" s="20" t="s">
        <v>477</v>
      </c>
      <c r="D3742" s="18">
        <v>720</v>
      </c>
      <c r="E3742" s="19"/>
      <c r="F3742" s="15">
        <f t="shared" si="62"/>
        <v>162675301.06000009</v>
      </c>
    </row>
    <row r="3743" spans="1:6" x14ac:dyDescent="0.2">
      <c r="A3743" s="3">
        <v>45856</v>
      </c>
      <c r="B3743" s="43">
        <v>16728</v>
      </c>
      <c r="C3743" s="17" t="s">
        <v>227</v>
      </c>
      <c r="D3743" s="18">
        <v>151.19999999999999</v>
      </c>
      <c r="E3743" s="19"/>
      <c r="F3743" s="15">
        <f t="shared" si="62"/>
        <v>162675149.8600001</v>
      </c>
    </row>
    <row r="3744" spans="1:6" x14ac:dyDescent="0.2">
      <c r="A3744" s="3">
        <v>45856</v>
      </c>
      <c r="B3744" s="43">
        <v>16729</v>
      </c>
      <c r="C3744" s="20" t="s">
        <v>477</v>
      </c>
      <c r="D3744" s="18">
        <v>1485</v>
      </c>
      <c r="E3744" s="19"/>
      <c r="F3744" s="15">
        <f t="shared" si="62"/>
        <v>162673664.8600001</v>
      </c>
    </row>
    <row r="3745" spans="1:6" x14ac:dyDescent="0.2">
      <c r="A3745" s="3">
        <v>45856</v>
      </c>
      <c r="B3745" s="43">
        <v>16729</v>
      </c>
      <c r="C3745" s="17" t="s">
        <v>227</v>
      </c>
      <c r="D3745" s="18">
        <v>311.85000000000002</v>
      </c>
      <c r="E3745" s="19"/>
      <c r="F3745" s="15">
        <f t="shared" si="62"/>
        <v>162673353.01000011</v>
      </c>
    </row>
    <row r="3746" spans="1:6" x14ac:dyDescent="0.2">
      <c r="A3746" s="3">
        <v>45856</v>
      </c>
      <c r="B3746" s="43">
        <v>16730</v>
      </c>
      <c r="C3746" s="20" t="s">
        <v>477</v>
      </c>
      <c r="D3746" s="18">
        <v>1485</v>
      </c>
      <c r="E3746" s="19"/>
      <c r="F3746" s="15">
        <f t="shared" si="62"/>
        <v>162671868.01000011</v>
      </c>
    </row>
    <row r="3747" spans="1:6" x14ac:dyDescent="0.2">
      <c r="A3747" s="3">
        <v>45856</v>
      </c>
      <c r="B3747" s="43">
        <v>16730</v>
      </c>
      <c r="C3747" s="17" t="s">
        <v>227</v>
      </c>
      <c r="D3747" s="18">
        <v>311.85000000000002</v>
      </c>
      <c r="E3747" s="19"/>
      <c r="F3747" s="15">
        <f t="shared" ref="F3747:F3810" si="63">+F3746+E3747-D3747</f>
        <v>162671556.16000012</v>
      </c>
    </row>
    <row r="3748" spans="1:6" x14ac:dyDescent="0.2">
      <c r="A3748" s="3">
        <v>45856</v>
      </c>
      <c r="B3748" s="43">
        <v>16731</v>
      </c>
      <c r="C3748" s="20" t="s">
        <v>477</v>
      </c>
      <c r="D3748" s="18">
        <v>1485</v>
      </c>
      <c r="E3748" s="19"/>
      <c r="F3748" s="15">
        <f t="shared" si="63"/>
        <v>162670071.16000012</v>
      </c>
    </row>
    <row r="3749" spans="1:6" x14ac:dyDescent="0.2">
      <c r="A3749" s="3">
        <v>45856</v>
      </c>
      <c r="B3749" s="43">
        <v>16731</v>
      </c>
      <c r="C3749" s="17" t="s">
        <v>227</v>
      </c>
      <c r="D3749" s="18">
        <v>311.85000000000002</v>
      </c>
      <c r="E3749" s="19"/>
      <c r="F3749" s="15">
        <f t="shared" si="63"/>
        <v>162669759.31000012</v>
      </c>
    </row>
    <row r="3750" spans="1:6" x14ac:dyDescent="0.2">
      <c r="A3750" s="3">
        <v>45856</v>
      </c>
      <c r="B3750" s="43">
        <v>16732</v>
      </c>
      <c r="C3750" s="20" t="s">
        <v>477</v>
      </c>
      <c r="D3750" s="18">
        <v>1485</v>
      </c>
      <c r="E3750" s="19"/>
      <c r="F3750" s="15">
        <f t="shared" si="63"/>
        <v>162668274.31000012</v>
      </c>
    </row>
    <row r="3751" spans="1:6" x14ac:dyDescent="0.2">
      <c r="A3751" s="3">
        <v>45856</v>
      </c>
      <c r="B3751" s="43">
        <v>16732</v>
      </c>
      <c r="C3751" s="17" t="s">
        <v>227</v>
      </c>
      <c r="D3751" s="18">
        <v>311.85000000000002</v>
      </c>
      <c r="E3751" s="19"/>
      <c r="F3751" s="15">
        <f t="shared" si="63"/>
        <v>162667962.46000013</v>
      </c>
    </row>
    <row r="3752" spans="1:6" x14ac:dyDescent="0.2">
      <c r="A3752" s="3">
        <v>45856</v>
      </c>
      <c r="B3752" s="45"/>
      <c r="C3752" s="20" t="s">
        <v>551</v>
      </c>
      <c r="D3752" s="18">
        <v>486.44</v>
      </c>
      <c r="E3752" s="19"/>
      <c r="F3752" s="15">
        <f t="shared" si="63"/>
        <v>162667476.02000013</v>
      </c>
    </row>
    <row r="3753" spans="1:6" x14ac:dyDescent="0.2">
      <c r="A3753" s="3">
        <v>45859</v>
      </c>
      <c r="B3753" s="43">
        <v>4960</v>
      </c>
      <c r="C3753" s="20" t="s">
        <v>76</v>
      </c>
      <c r="D3753" s="18">
        <v>600701</v>
      </c>
      <c r="E3753" s="19"/>
      <c r="F3753" s="15">
        <f t="shared" si="63"/>
        <v>162066775.02000013</v>
      </c>
    </row>
    <row r="3754" spans="1:6" x14ac:dyDescent="0.2">
      <c r="A3754" s="3">
        <v>45859</v>
      </c>
      <c r="B3754" s="43">
        <v>224978</v>
      </c>
      <c r="C3754" s="20" t="s">
        <v>217</v>
      </c>
      <c r="D3754" s="25"/>
      <c r="E3754" s="25">
        <v>135000000</v>
      </c>
      <c r="F3754" s="15">
        <f t="shared" si="63"/>
        <v>297066775.0200001</v>
      </c>
    </row>
    <row r="3755" spans="1:6" x14ac:dyDescent="0.2">
      <c r="A3755" s="3">
        <v>45859</v>
      </c>
      <c r="B3755" s="45"/>
      <c r="C3755" s="17" t="s">
        <v>16</v>
      </c>
      <c r="D3755" s="18">
        <v>3666.81</v>
      </c>
      <c r="E3755" s="19"/>
      <c r="F3755" s="15">
        <f t="shared" si="63"/>
        <v>297063108.2100001</v>
      </c>
    </row>
    <row r="3756" spans="1:6" x14ac:dyDescent="0.2">
      <c r="A3756" s="3">
        <v>45860</v>
      </c>
      <c r="B3756" s="43">
        <v>4227</v>
      </c>
      <c r="C3756" s="17" t="s">
        <v>24</v>
      </c>
      <c r="D3756" s="19"/>
      <c r="E3756" s="18">
        <v>46689.5</v>
      </c>
      <c r="F3756" s="15">
        <f t="shared" si="63"/>
        <v>297109797.7100001</v>
      </c>
    </row>
    <row r="3757" spans="1:6" x14ac:dyDescent="0.2">
      <c r="A3757" s="3">
        <v>45860</v>
      </c>
      <c r="B3757" s="43">
        <v>32312</v>
      </c>
      <c r="C3757" s="17" t="s">
        <v>9</v>
      </c>
      <c r="D3757" s="18">
        <v>273718.09999999998</v>
      </c>
      <c r="E3757" s="19"/>
      <c r="F3757" s="15">
        <f t="shared" si="63"/>
        <v>296836079.61000007</v>
      </c>
    </row>
    <row r="3758" spans="1:6" x14ac:dyDescent="0.2">
      <c r="A3758" s="3">
        <v>45860</v>
      </c>
      <c r="B3758" s="43">
        <v>32474</v>
      </c>
      <c r="C3758" s="17" t="s">
        <v>9</v>
      </c>
      <c r="D3758" s="18">
        <v>1393050</v>
      </c>
      <c r="E3758" s="19"/>
      <c r="F3758" s="15">
        <f t="shared" si="63"/>
        <v>295443029.61000007</v>
      </c>
    </row>
    <row r="3759" spans="1:6" x14ac:dyDescent="0.2">
      <c r="A3759" s="3">
        <v>45860</v>
      </c>
      <c r="B3759" s="43">
        <v>268629</v>
      </c>
      <c r="C3759" s="20" t="s">
        <v>248</v>
      </c>
      <c r="D3759" s="19"/>
      <c r="E3759" s="18">
        <v>42200</v>
      </c>
      <c r="F3759" s="15">
        <f t="shared" si="63"/>
        <v>295485229.61000007</v>
      </c>
    </row>
    <row r="3760" spans="1:6" x14ac:dyDescent="0.2">
      <c r="A3760" s="3">
        <v>45860</v>
      </c>
      <c r="B3760" s="43">
        <v>335642</v>
      </c>
      <c r="C3760" s="20" t="s">
        <v>248</v>
      </c>
      <c r="D3760" s="19"/>
      <c r="E3760" s="18">
        <v>18000</v>
      </c>
      <c r="F3760" s="15">
        <f t="shared" si="63"/>
        <v>295503229.61000007</v>
      </c>
    </row>
    <row r="3761" spans="1:6" x14ac:dyDescent="0.2">
      <c r="A3761" s="3">
        <v>45860</v>
      </c>
      <c r="B3761" s="45"/>
      <c r="C3761" s="17" t="s">
        <v>16</v>
      </c>
      <c r="D3761" s="18">
        <v>10000.61</v>
      </c>
      <c r="E3761" s="19"/>
      <c r="F3761" s="15">
        <f t="shared" si="63"/>
        <v>295493229.00000006</v>
      </c>
    </row>
    <row r="3762" spans="1:6" x14ac:dyDescent="0.2">
      <c r="A3762" s="3">
        <v>45860</v>
      </c>
      <c r="B3762" s="45"/>
      <c r="C3762" s="17" t="s">
        <v>22</v>
      </c>
      <c r="D3762" s="18">
        <v>641.34</v>
      </c>
      <c r="E3762" s="19"/>
      <c r="F3762" s="15">
        <f t="shared" si="63"/>
        <v>295492587.66000009</v>
      </c>
    </row>
    <row r="3763" spans="1:6" x14ac:dyDescent="0.2">
      <c r="A3763" s="3">
        <v>45860</v>
      </c>
      <c r="B3763" s="45"/>
      <c r="C3763" s="20" t="s">
        <v>552</v>
      </c>
      <c r="D3763" s="18">
        <v>106.89</v>
      </c>
      <c r="E3763" s="19"/>
      <c r="F3763" s="15">
        <f t="shared" si="63"/>
        <v>295492480.7700001</v>
      </c>
    </row>
    <row r="3764" spans="1:6" x14ac:dyDescent="0.2">
      <c r="A3764" s="3">
        <v>45861</v>
      </c>
      <c r="B3764" s="43">
        <v>32271</v>
      </c>
      <c r="C3764" s="17" t="s">
        <v>9</v>
      </c>
      <c r="D3764" s="18">
        <v>217100</v>
      </c>
      <c r="E3764" s="19"/>
      <c r="F3764" s="15">
        <f t="shared" si="63"/>
        <v>295275380.7700001</v>
      </c>
    </row>
    <row r="3765" spans="1:6" x14ac:dyDescent="0.2">
      <c r="A3765" s="3">
        <v>45861</v>
      </c>
      <c r="B3765" s="45"/>
      <c r="C3765" s="17" t="s">
        <v>16</v>
      </c>
      <c r="D3765" s="18">
        <v>1303.24</v>
      </c>
      <c r="E3765" s="19"/>
      <c r="F3765" s="15">
        <f t="shared" si="63"/>
        <v>295274077.53000009</v>
      </c>
    </row>
    <row r="3766" spans="1:6" x14ac:dyDescent="0.2">
      <c r="A3766" s="3">
        <v>45862</v>
      </c>
      <c r="B3766" s="46">
        <v>32332</v>
      </c>
      <c r="C3766" s="58" t="s">
        <v>9</v>
      </c>
      <c r="D3766" s="48">
        <v>125840</v>
      </c>
      <c r="E3766" s="49"/>
      <c r="F3766" s="15">
        <f t="shared" si="63"/>
        <v>295148237.53000009</v>
      </c>
    </row>
    <row r="3767" spans="1:6" x14ac:dyDescent="0.2">
      <c r="A3767" s="3">
        <v>45862</v>
      </c>
      <c r="B3767" s="44">
        <v>32280</v>
      </c>
      <c r="C3767" s="59" t="s">
        <v>9</v>
      </c>
      <c r="D3767" s="23">
        <v>378140</v>
      </c>
      <c r="E3767" s="24"/>
      <c r="F3767" s="15">
        <f t="shared" si="63"/>
        <v>294770097.53000009</v>
      </c>
    </row>
    <row r="3768" spans="1:6" x14ac:dyDescent="0.2">
      <c r="A3768" s="3">
        <v>45862</v>
      </c>
      <c r="B3768" s="43">
        <v>32311</v>
      </c>
      <c r="C3768" s="17" t="s">
        <v>9</v>
      </c>
      <c r="D3768" s="18">
        <v>465645.7</v>
      </c>
      <c r="E3768" s="19"/>
      <c r="F3768" s="15">
        <f t="shared" si="63"/>
        <v>294304451.8300001</v>
      </c>
    </row>
    <row r="3769" spans="1:6" x14ac:dyDescent="0.2">
      <c r="A3769" s="3">
        <v>45862</v>
      </c>
      <c r="B3769" s="45"/>
      <c r="C3769" s="17" t="s">
        <v>16</v>
      </c>
      <c r="D3769" s="18">
        <v>5817.75</v>
      </c>
      <c r="E3769" s="19"/>
      <c r="F3769" s="15">
        <f t="shared" si="63"/>
        <v>294298634.0800001</v>
      </c>
    </row>
    <row r="3770" spans="1:6" x14ac:dyDescent="0.2">
      <c r="A3770" s="3">
        <v>45863</v>
      </c>
      <c r="B3770" s="43">
        <v>2603286</v>
      </c>
      <c r="C3770" s="20" t="s">
        <v>222</v>
      </c>
      <c r="D3770" s="18">
        <v>555997.12</v>
      </c>
      <c r="E3770" s="19"/>
      <c r="F3770" s="15">
        <f t="shared" si="63"/>
        <v>293742636.9600001</v>
      </c>
    </row>
    <row r="3771" spans="1:6" x14ac:dyDescent="0.2">
      <c r="A3771" s="3">
        <v>45863</v>
      </c>
      <c r="B3771" s="43">
        <v>3768228</v>
      </c>
      <c r="C3771" s="20" t="s">
        <v>100</v>
      </c>
      <c r="D3771" s="18">
        <v>459794.51</v>
      </c>
      <c r="E3771" s="19"/>
      <c r="F3771" s="15">
        <f t="shared" si="63"/>
        <v>293282842.45000011</v>
      </c>
    </row>
    <row r="3772" spans="1:6" x14ac:dyDescent="0.2">
      <c r="A3772" s="3">
        <v>45863</v>
      </c>
      <c r="B3772" s="43">
        <v>32403</v>
      </c>
      <c r="C3772" s="17" t="s">
        <v>9</v>
      </c>
      <c r="D3772" s="18">
        <v>489243.4</v>
      </c>
      <c r="E3772" s="19"/>
      <c r="F3772" s="15">
        <f t="shared" si="63"/>
        <v>292793599.05000013</v>
      </c>
    </row>
    <row r="3773" spans="1:6" x14ac:dyDescent="0.2">
      <c r="A3773" s="3">
        <v>45863</v>
      </c>
      <c r="B3773" s="43">
        <v>32472</v>
      </c>
      <c r="C3773" s="17" t="s">
        <v>9</v>
      </c>
      <c r="D3773" s="18">
        <v>2000000</v>
      </c>
      <c r="E3773" s="19"/>
      <c r="F3773" s="15">
        <f t="shared" si="63"/>
        <v>290793599.05000013</v>
      </c>
    </row>
    <row r="3774" spans="1:6" x14ac:dyDescent="0.2">
      <c r="A3774" s="3">
        <v>45863</v>
      </c>
      <c r="B3774" s="43">
        <v>4223749</v>
      </c>
      <c r="C3774" s="20" t="s">
        <v>451</v>
      </c>
      <c r="D3774" s="18">
        <v>175000000</v>
      </c>
      <c r="E3774" s="19"/>
      <c r="F3774" s="15">
        <f t="shared" si="63"/>
        <v>115793599.05000013</v>
      </c>
    </row>
    <row r="3775" spans="1:6" x14ac:dyDescent="0.2">
      <c r="A3775" s="3">
        <v>45863</v>
      </c>
      <c r="B3775" s="43">
        <v>93421153</v>
      </c>
      <c r="C3775" s="20" t="s">
        <v>553</v>
      </c>
      <c r="D3775" s="18">
        <v>400000</v>
      </c>
      <c r="E3775" s="19"/>
      <c r="F3775" s="15">
        <f t="shared" si="63"/>
        <v>115393599.05000013</v>
      </c>
    </row>
    <row r="3776" spans="1:6" x14ac:dyDescent="0.2">
      <c r="A3776" s="3">
        <v>45863</v>
      </c>
      <c r="B3776" s="43">
        <v>4231769</v>
      </c>
      <c r="C3776" s="20" t="s">
        <v>554</v>
      </c>
      <c r="D3776" s="18">
        <v>580000</v>
      </c>
      <c r="E3776" s="19"/>
      <c r="F3776" s="15">
        <f t="shared" si="63"/>
        <v>114813599.05000013</v>
      </c>
    </row>
    <row r="3777" spans="1:6" x14ac:dyDescent="0.2">
      <c r="A3777" s="3">
        <v>45863</v>
      </c>
      <c r="B3777" s="43">
        <v>4231771</v>
      </c>
      <c r="C3777" s="20" t="s">
        <v>190</v>
      </c>
      <c r="D3777" s="18">
        <v>195000</v>
      </c>
      <c r="E3777" s="19"/>
      <c r="F3777" s="15">
        <f t="shared" si="63"/>
        <v>114618599.05000013</v>
      </c>
    </row>
    <row r="3778" spans="1:6" x14ac:dyDescent="0.2">
      <c r="A3778" s="3">
        <v>45863</v>
      </c>
      <c r="B3778" s="43">
        <v>93421156</v>
      </c>
      <c r="C3778" s="20" t="s">
        <v>555</v>
      </c>
      <c r="D3778" s="18">
        <v>222000</v>
      </c>
      <c r="E3778" s="19"/>
      <c r="F3778" s="15">
        <f t="shared" si="63"/>
        <v>114396599.05000013</v>
      </c>
    </row>
    <row r="3779" spans="1:6" x14ac:dyDescent="0.2">
      <c r="A3779" s="3">
        <v>45863</v>
      </c>
      <c r="B3779" s="43">
        <v>4231770</v>
      </c>
      <c r="C3779" s="20" t="s">
        <v>556</v>
      </c>
      <c r="D3779" s="18">
        <v>701800</v>
      </c>
      <c r="E3779" s="19"/>
      <c r="F3779" s="15">
        <f t="shared" si="63"/>
        <v>113694799.05000013</v>
      </c>
    </row>
    <row r="3780" spans="1:6" x14ac:dyDescent="0.2">
      <c r="A3780" s="3">
        <v>45863</v>
      </c>
      <c r="B3780" s="43">
        <v>4231772</v>
      </c>
      <c r="C3780" s="20" t="s">
        <v>557</v>
      </c>
      <c r="D3780" s="18">
        <v>25000</v>
      </c>
      <c r="E3780" s="19"/>
      <c r="F3780" s="15">
        <f t="shared" si="63"/>
        <v>113669799.05000013</v>
      </c>
    </row>
    <row r="3781" spans="1:6" x14ac:dyDescent="0.2">
      <c r="A3781" s="3">
        <v>45863</v>
      </c>
      <c r="B3781" s="43">
        <v>4231773</v>
      </c>
      <c r="C3781" s="20" t="s">
        <v>558</v>
      </c>
      <c r="D3781" s="18">
        <v>2000000</v>
      </c>
      <c r="E3781" s="19"/>
      <c r="F3781" s="15">
        <f t="shared" si="63"/>
        <v>111669799.05000013</v>
      </c>
    </row>
    <row r="3782" spans="1:6" x14ac:dyDescent="0.2">
      <c r="A3782" s="3">
        <v>45863</v>
      </c>
      <c r="B3782" s="43">
        <v>4231774</v>
      </c>
      <c r="C3782" s="20" t="s">
        <v>559</v>
      </c>
      <c r="D3782" s="18">
        <v>180000</v>
      </c>
      <c r="E3782" s="19"/>
      <c r="F3782" s="15">
        <f t="shared" si="63"/>
        <v>111489799.05000013</v>
      </c>
    </row>
    <row r="3783" spans="1:6" x14ac:dyDescent="0.2">
      <c r="A3783" s="3">
        <v>45863</v>
      </c>
      <c r="B3783" s="43">
        <v>4231775</v>
      </c>
      <c r="C3783" s="20" t="s">
        <v>560</v>
      </c>
      <c r="D3783" s="18">
        <v>300000</v>
      </c>
      <c r="E3783" s="19"/>
      <c r="F3783" s="15">
        <f t="shared" si="63"/>
        <v>111189799.05000013</v>
      </c>
    </row>
    <row r="3784" spans="1:6" x14ac:dyDescent="0.2">
      <c r="A3784" s="3">
        <v>45863</v>
      </c>
      <c r="B3784" s="43">
        <v>19340351</v>
      </c>
      <c r="C3784" s="20" t="s">
        <v>319</v>
      </c>
      <c r="D3784" s="18">
        <v>4300000</v>
      </c>
      <c r="E3784" s="19"/>
      <c r="F3784" s="15">
        <f t="shared" si="63"/>
        <v>106889799.05000013</v>
      </c>
    </row>
    <row r="3785" spans="1:6" x14ac:dyDescent="0.2">
      <c r="A3785" s="3">
        <v>45863</v>
      </c>
      <c r="B3785" s="43">
        <v>19340352</v>
      </c>
      <c r="C3785" s="20" t="s">
        <v>319</v>
      </c>
      <c r="D3785" s="18">
        <v>469754</v>
      </c>
      <c r="E3785" s="19"/>
      <c r="F3785" s="15">
        <f t="shared" si="63"/>
        <v>106420045.05000013</v>
      </c>
    </row>
    <row r="3786" spans="1:6" x14ac:dyDescent="0.2">
      <c r="A3786" s="3">
        <v>45863</v>
      </c>
      <c r="B3786" s="43">
        <v>19340353</v>
      </c>
      <c r="C3786" s="20" t="s">
        <v>319</v>
      </c>
      <c r="D3786" s="18">
        <v>961090</v>
      </c>
      <c r="E3786" s="19"/>
      <c r="F3786" s="15">
        <f t="shared" si="63"/>
        <v>105458955.05000013</v>
      </c>
    </row>
    <row r="3787" spans="1:6" x14ac:dyDescent="0.2">
      <c r="A3787" s="3">
        <v>45863</v>
      </c>
      <c r="B3787" s="43">
        <v>19340354</v>
      </c>
      <c r="C3787" s="20" t="s">
        <v>319</v>
      </c>
      <c r="D3787" s="18">
        <v>200000</v>
      </c>
      <c r="E3787" s="19"/>
      <c r="F3787" s="15">
        <f t="shared" si="63"/>
        <v>105258955.05000013</v>
      </c>
    </row>
    <row r="3788" spans="1:6" x14ac:dyDescent="0.2">
      <c r="A3788" s="3">
        <v>45863</v>
      </c>
      <c r="B3788" s="43">
        <v>19340355</v>
      </c>
      <c r="C3788" s="20" t="s">
        <v>319</v>
      </c>
      <c r="D3788" s="18">
        <v>4860800</v>
      </c>
      <c r="E3788" s="19"/>
      <c r="F3788" s="15">
        <f t="shared" si="63"/>
        <v>100398155.05000013</v>
      </c>
    </row>
    <row r="3789" spans="1:6" x14ac:dyDescent="0.2">
      <c r="A3789" s="3">
        <v>45863</v>
      </c>
      <c r="B3789" s="46">
        <v>19340356</v>
      </c>
      <c r="C3789" s="56" t="s">
        <v>319</v>
      </c>
      <c r="D3789" s="48">
        <v>222000</v>
      </c>
      <c r="E3789" s="49"/>
      <c r="F3789" s="15">
        <f t="shared" si="63"/>
        <v>100176155.05000013</v>
      </c>
    </row>
    <row r="3790" spans="1:6" x14ac:dyDescent="0.2">
      <c r="A3790" s="3">
        <v>45863</v>
      </c>
      <c r="B3790" s="44">
        <v>19340357</v>
      </c>
      <c r="C3790" s="57" t="s">
        <v>319</v>
      </c>
      <c r="D3790" s="23">
        <v>741000</v>
      </c>
      <c r="E3790" s="24"/>
      <c r="F3790" s="15">
        <f t="shared" si="63"/>
        <v>99435155.050000131</v>
      </c>
    </row>
    <row r="3791" spans="1:6" x14ac:dyDescent="0.2">
      <c r="A3791" s="3">
        <v>45863</v>
      </c>
      <c r="B3791" s="43">
        <v>19340358</v>
      </c>
      <c r="C3791" s="20" t="s">
        <v>319</v>
      </c>
      <c r="D3791" s="18">
        <v>639825</v>
      </c>
      <c r="E3791" s="19"/>
      <c r="F3791" s="15">
        <f t="shared" si="63"/>
        <v>98795330.050000131</v>
      </c>
    </row>
    <row r="3792" spans="1:6" x14ac:dyDescent="0.2">
      <c r="A3792" s="3">
        <v>45863</v>
      </c>
      <c r="B3792" s="43">
        <v>19340359</v>
      </c>
      <c r="C3792" s="20" t="s">
        <v>319</v>
      </c>
      <c r="D3792" s="18">
        <v>310175</v>
      </c>
      <c r="E3792" s="19"/>
      <c r="F3792" s="15">
        <f t="shared" si="63"/>
        <v>98485155.050000131</v>
      </c>
    </row>
    <row r="3793" spans="1:6" x14ac:dyDescent="0.2">
      <c r="A3793" s="3">
        <v>45863</v>
      </c>
      <c r="B3793" s="43">
        <v>19340360</v>
      </c>
      <c r="C3793" s="20" t="s">
        <v>319</v>
      </c>
      <c r="D3793" s="18">
        <v>2265000</v>
      </c>
      <c r="E3793" s="19"/>
      <c r="F3793" s="15">
        <f t="shared" si="63"/>
        <v>96220155.050000131</v>
      </c>
    </row>
    <row r="3794" spans="1:6" x14ac:dyDescent="0.2">
      <c r="A3794" s="3">
        <v>45863</v>
      </c>
      <c r="B3794" s="43">
        <v>19340361</v>
      </c>
      <c r="C3794" s="20" t="s">
        <v>319</v>
      </c>
      <c r="D3794" s="18">
        <v>1965000</v>
      </c>
      <c r="E3794" s="19"/>
      <c r="F3794" s="15">
        <f t="shared" si="63"/>
        <v>94255155.050000131</v>
      </c>
    </row>
    <row r="3795" spans="1:6" x14ac:dyDescent="0.2">
      <c r="A3795" s="3">
        <v>45863</v>
      </c>
      <c r="B3795" s="43">
        <v>19340362</v>
      </c>
      <c r="C3795" s="20" t="s">
        <v>319</v>
      </c>
      <c r="D3795" s="18">
        <v>600000</v>
      </c>
      <c r="E3795" s="19"/>
      <c r="F3795" s="15">
        <f t="shared" si="63"/>
        <v>93655155.050000131</v>
      </c>
    </row>
    <row r="3796" spans="1:6" x14ac:dyDescent="0.2">
      <c r="A3796" s="3">
        <v>45863</v>
      </c>
      <c r="B3796" s="43">
        <v>19340363</v>
      </c>
      <c r="C3796" s="20" t="s">
        <v>319</v>
      </c>
      <c r="D3796" s="18">
        <v>704900</v>
      </c>
      <c r="E3796" s="19"/>
      <c r="F3796" s="15">
        <f t="shared" si="63"/>
        <v>92950255.050000131</v>
      </c>
    </row>
    <row r="3797" spans="1:6" x14ac:dyDescent="0.2">
      <c r="A3797" s="3">
        <v>45863</v>
      </c>
      <c r="B3797" s="43">
        <v>19340364</v>
      </c>
      <c r="C3797" s="20" t="s">
        <v>319</v>
      </c>
      <c r="D3797" s="18">
        <v>165300</v>
      </c>
      <c r="E3797" s="19"/>
      <c r="F3797" s="15">
        <f t="shared" si="63"/>
        <v>92784955.050000131</v>
      </c>
    </row>
    <row r="3798" spans="1:6" x14ac:dyDescent="0.2">
      <c r="A3798" s="3">
        <v>45863</v>
      </c>
      <c r="B3798" s="43">
        <v>19340365</v>
      </c>
      <c r="C3798" s="20" t="s">
        <v>319</v>
      </c>
      <c r="D3798" s="18">
        <v>812250</v>
      </c>
      <c r="E3798" s="19"/>
      <c r="F3798" s="15">
        <f t="shared" si="63"/>
        <v>91972705.050000131</v>
      </c>
    </row>
    <row r="3799" spans="1:6" x14ac:dyDescent="0.2">
      <c r="A3799" s="3">
        <v>45863</v>
      </c>
      <c r="B3799" s="43">
        <v>19340366</v>
      </c>
      <c r="C3799" s="20" t="s">
        <v>319</v>
      </c>
      <c r="D3799" s="18">
        <v>1543750</v>
      </c>
      <c r="E3799" s="19"/>
      <c r="F3799" s="15">
        <f t="shared" si="63"/>
        <v>90428955.050000131</v>
      </c>
    </row>
    <row r="3800" spans="1:6" x14ac:dyDescent="0.2">
      <c r="A3800" s="3">
        <v>45863</v>
      </c>
      <c r="B3800" s="43">
        <v>19340367</v>
      </c>
      <c r="C3800" s="20" t="s">
        <v>319</v>
      </c>
      <c r="D3800" s="18">
        <v>789800</v>
      </c>
      <c r="E3800" s="19"/>
      <c r="F3800" s="15">
        <f t="shared" si="63"/>
        <v>89639155.050000131</v>
      </c>
    </row>
    <row r="3801" spans="1:6" x14ac:dyDescent="0.2">
      <c r="A3801" s="3">
        <v>45863</v>
      </c>
      <c r="B3801" s="43">
        <v>19340368</v>
      </c>
      <c r="C3801" s="20" t="s">
        <v>319</v>
      </c>
      <c r="D3801" s="18">
        <v>424000</v>
      </c>
      <c r="E3801" s="19"/>
      <c r="F3801" s="15">
        <f t="shared" si="63"/>
        <v>89215155.050000131</v>
      </c>
    </row>
    <row r="3802" spans="1:6" x14ac:dyDescent="0.2">
      <c r="A3802" s="3">
        <v>45863</v>
      </c>
      <c r="B3802" s="43">
        <v>19340369</v>
      </c>
      <c r="C3802" s="20" t="s">
        <v>319</v>
      </c>
      <c r="D3802" s="18">
        <v>789710</v>
      </c>
      <c r="E3802" s="19"/>
      <c r="F3802" s="15">
        <f t="shared" si="63"/>
        <v>88425445.050000131</v>
      </c>
    </row>
    <row r="3803" spans="1:6" x14ac:dyDescent="0.2">
      <c r="A3803" s="3">
        <v>45863</v>
      </c>
      <c r="B3803" s="43">
        <v>19340370</v>
      </c>
      <c r="C3803" s="20" t="s">
        <v>319</v>
      </c>
      <c r="D3803" s="18">
        <v>692550</v>
      </c>
      <c r="E3803" s="19"/>
      <c r="F3803" s="15">
        <f t="shared" si="63"/>
        <v>87732895.050000131</v>
      </c>
    </row>
    <row r="3804" spans="1:6" x14ac:dyDescent="0.2">
      <c r="A3804" s="3">
        <v>45863</v>
      </c>
      <c r="B3804" s="43">
        <v>19340371</v>
      </c>
      <c r="C3804" s="20" t="s">
        <v>319</v>
      </c>
      <c r="D3804" s="18">
        <v>490000</v>
      </c>
      <c r="E3804" s="19"/>
      <c r="F3804" s="15">
        <f t="shared" si="63"/>
        <v>87242895.050000131</v>
      </c>
    </row>
    <row r="3805" spans="1:6" x14ac:dyDescent="0.2">
      <c r="A3805" s="3">
        <v>45863</v>
      </c>
      <c r="B3805" s="43">
        <v>19340372</v>
      </c>
      <c r="C3805" s="20" t="s">
        <v>319</v>
      </c>
      <c r="D3805" s="18">
        <v>355200</v>
      </c>
      <c r="E3805" s="19"/>
      <c r="F3805" s="15">
        <f t="shared" si="63"/>
        <v>86887695.050000131</v>
      </c>
    </row>
    <row r="3806" spans="1:6" x14ac:dyDescent="0.2">
      <c r="A3806" s="3">
        <v>45863</v>
      </c>
      <c r="B3806" s="43">
        <v>19340373</v>
      </c>
      <c r="C3806" s="20" t="s">
        <v>319</v>
      </c>
      <c r="D3806" s="18">
        <v>860000</v>
      </c>
      <c r="E3806" s="19"/>
      <c r="F3806" s="15">
        <f t="shared" si="63"/>
        <v>86027695.050000131</v>
      </c>
    </row>
    <row r="3807" spans="1:6" x14ac:dyDescent="0.2">
      <c r="A3807" s="3">
        <v>45863</v>
      </c>
      <c r="B3807" s="43">
        <v>19340374</v>
      </c>
      <c r="C3807" s="20" t="s">
        <v>319</v>
      </c>
      <c r="D3807" s="18">
        <v>2815000</v>
      </c>
      <c r="E3807" s="19"/>
      <c r="F3807" s="15">
        <f t="shared" si="63"/>
        <v>83212695.050000131</v>
      </c>
    </row>
    <row r="3808" spans="1:6" x14ac:dyDescent="0.2">
      <c r="A3808" s="3">
        <v>45863</v>
      </c>
      <c r="B3808" s="43">
        <v>19340375</v>
      </c>
      <c r="C3808" s="20" t="s">
        <v>319</v>
      </c>
      <c r="D3808" s="18">
        <v>500000</v>
      </c>
      <c r="E3808" s="19"/>
      <c r="F3808" s="15">
        <f t="shared" si="63"/>
        <v>82712695.050000131</v>
      </c>
    </row>
    <row r="3809" spans="1:6" x14ac:dyDescent="0.2">
      <c r="A3809" s="3">
        <v>45863</v>
      </c>
      <c r="B3809" s="43">
        <v>19340376</v>
      </c>
      <c r="C3809" s="20" t="s">
        <v>319</v>
      </c>
      <c r="D3809" s="18">
        <v>1530690</v>
      </c>
      <c r="E3809" s="19"/>
      <c r="F3809" s="15">
        <f t="shared" si="63"/>
        <v>81182005.050000131</v>
      </c>
    </row>
    <row r="3810" spans="1:6" x14ac:dyDescent="0.2">
      <c r="A3810" s="3">
        <v>45863</v>
      </c>
      <c r="B3810" s="43">
        <v>19340377</v>
      </c>
      <c r="C3810" s="20" t="s">
        <v>319</v>
      </c>
      <c r="D3810" s="18">
        <v>645000</v>
      </c>
      <c r="E3810" s="19"/>
      <c r="F3810" s="15">
        <f t="shared" si="63"/>
        <v>80537005.050000131</v>
      </c>
    </row>
    <row r="3811" spans="1:6" x14ac:dyDescent="0.2">
      <c r="A3811" s="3">
        <v>45863</v>
      </c>
      <c r="B3811" s="43">
        <v>19340378</v>
      </c>
      <c r="C3811" s="20" t="s">
        <v>319</v>
      </c>
      <c r="D3811" s="18">
        <v>3162800</v>
      </c>
      <c r="E3811" s="19"/>
      <c r="F3811" s="15">
        <f t="shared" ref="F3811:F3874" si="64">+F3810+E3811-D3811</f>
        <v>77374205.050000131</v>
      </c>
    </row>
    <row r="3812" spans="1:6" x14ac:dyDescent="0.2">
      <c r="A3812" s="3">
        <v>45863</v>
      </c>
      <c r="B3812" s="46">
        <v>19340379</v>
      </c>
      <c r="C3812" s="56" t="s">
        <v>319</v>
      </c>
      <c r="D3812" s="48">
        <v>370500</v>
      </c>
      <c r="E3812" s="49"/>
      <c r="F3812" s="15">
        <f t="shared" si="64"/>
        <v>77003705.050000131</v>
      </c>
    </row>
    <row r="3813" spans="1:6" x14ac:dyDescent="0.2">
      <c r="A3813" s="3">
        <v>45863</v>
      </c>
      <c r="B3813" s="44">
        <v>19340380</v>
      </c>
      <c r="C3813" s="57" t="s">
        <v>319</v>
      </c>
      <c r="D3813" s="23">
        <v>1637800</v>
      </c>
      <c r="E3813" s="24"/>
      <c r="F3813" s="15">
        <f t="shared" si="64"/>
        <v>75365905.050000131</v>
      </c>
    </row>
    <row r="3814" spans="1:6" x14ac:dyDescent="0.2">
      <c r="A3814" s="3">
        <v>45863</v>
      </c>
      <c r="B3814" s="43">
        <v>19340381</v>
      </c>
      <c r="C3814" s="20" t="s">
        <v>319</v>
      </c>
      <c r="D3814" s="18">
        <v>5078700</v>
      </c>
      <c r="E3814" s="19"/>
      <c r="F3814" s="15">
        <f t="shared" si="64"/>
        <v>70287205.050000131</v>
      </c>
    </row>
    <row r="3815" spans="1:6" x14ac:dyDescent="0.2">
      <c r="A3815" s="3">
        <v>45863</v>
      </c>
      <c r="B3815" s="43">
        <v>19340382</v>
      </c>
      <c r="C3815" s="20" t="s">
        <v>319</v>
      </c>
      <c r="D3815" s="18">
        <v>2980800</v>
      </c>
      <c r="E3815" s="19"/>
      <c r="F3815" s="15">
        <f t="shared" si="64"/>
        <v>67306405.050000131</v>
      </c>
    </row>
    <row r="3816" spans="1:6" x14ac:dyDescent="0.2">
      <c r="A3816" s="3">
        <v>45863</v>
      </c>
      <c r="B3816" s="43">
        <v>19340383</v>
      </c>
      <c r="C3816" s="20" t="s">
        <v>319</v>
      </c>
      <c r="D3816" s="18">
        <v>1000000</v>
      </c>
      <c r="E3816" s="19"/>
      <c r="F3816" s="15">
        <f t="shared" si="64"/>
        <v>66306405.050000131</v>
      </c>
    </row>
    <row r="3817" spans="1:6" x14ac:dyDescent="0.2">
      <c r="A3817" s="3">
        <v>45863</v>
      </c>
      <c r="B3817" s="43">
        <v>19340384</v>
      </c>
      <c r="C3817" s="20" t="s">
        <v>319</v>
      </c>
      <c r="D3817" s="18">
        <v>989570</v>
      </c>
      <c r="E3817" s="19"/>
      <c r="F3817" s="15">
        <f t="shared" si="64"/>
        <v>65316835.050000131</v>
      </c>
    </row>
    <row r="3818" spans="1:6" x14ac:dyDescent="0.2">
      <c r="A3818" s="3">
        <v>45863</v>
      </c>
      <c r="B3818" s="43">
        <v>19340385</v>
      </c>
      <c r="C3818" s="20" t="s">
        <v>319</v>
      </c>
      <c r="D3818" s="18">
        <v>1582000</v>
      </c>
      <c r="E3818" s="19"/>
      <c r="F3818" s="15">
        <f t="shared" si="64"/>
        <v>63734835.050000131</v>
      </c>
    </row>
    <row r="3819" spans="1:6" x14ac:dyDescent="0.2">
      <c r="A3819" s="3">
        <v>45863</v>
      </c>
      <c r="B3819" s="43">
        <v>19340386</v>
      </c>
      <c r="C3819" s="20" t="s">
        <v>319</v>
      </c>
      <c r="D3819" s="18">
        <v>2152000</v>
      </c>
      <c r="E3819" s="19"/>
      <c r="F3819" s="15">
        <f t="shared" si="64"/>
        <v>61582835.050000131</v>
      </c>
    </row>
    <row r="3820" spans="1:6" x14ac:dyDescent="0.2">
      <c r="A3820" s="3">
        <v>45863</v>
      </c>
      <c r="B3820" s="43">
        <v>19340387</v>
      </c>
      <c r="C3820" s="20" t="s">
        <v>319</v>
      </c>
      <c r="D3820" s="18">
        <v>905350</v>
      </c>
      <c r="E3820" s="19"/>
      <c r="F3820" s="15">
        <f t="shared" si="64"/>
        <v>60677485.050000131</v>
      </c>
    </row>
    <row r="3821" spans="1:6" x14ac:dyDescent="0.2">
      <c r="A3821" s="3">
        <v>45863</v>
      </c>
      <c r="B3821" s="43">
        <v>19340388</v>
      </c>
      <c r="C3821" s="20" t="s">
        <v>319</v>
      </c>
      <c r="D3821" s="18">
        <v>153000</v>
      </c>
      <c r="E3821" s="19"/>
      <c r="F3821" s="15">
        <f t="shared" si="64"/>
        <v>60524485.050000131</v>
      </c>
    </row>
    <row r="3822" spans="1:6" x14ac:dyDescent="0.2">
      <c r="A3822" s="3">
        <v>45863</v>
      </c>
      <c r="B3822" s="43">
        <v>19340389</v>
      </c>
      <c r="C3822" s="20" t="s">
        <v>319</v>
      </c>
      <c r="D3822" s="18">
        <v>2192000</v>
      </c>
      <c r="E3822" s="19"/>
      <c r="F3822" s="15">
        <f t="shared" si="64"/>
        <v>58332485.050000131</v>
      </c>
    </row>
    <row r="3823" spans="1:6" x14ac:dyDescent="0.2">
      <c r="A3823" s="3">
        <v>45863</v>
      </c>
      <c r="B3823" s="43">
        <v>19340390</v>
      </c>
      <c r="C3823" s="20" t="s">
        <v>319</v>
      </c>
      <c r="D3823" s="18">
        <v>500000</v>
      </c>
      <c r="E3823" s="19"/>
      <c r="F3823" s="15">
        <f t="shared" si="64"/>
        <v>57832485.050000131</v>
      </c>
    </row>
    <row r="3824" spans="1:6" x14ac:dyDescent="0.2">
      <c r="A3824" s="3">
        <v>45863</v>
      </c>
      <c r="B3824" s="43">
        <v>19340391</v>
      </c>
      <c r="C3824" s="20" t="s">
        <v>319</v>
      </c>
      <c r="D3824" s="18">
        <v>2178000</v>
      </c>
      <c r="E3824" s="19"/>
      <c r="F3824" s="15">
        <f t="shared" si="64"/>
        <v>55654485.050000131</v>
      </c>
    </row>
    <row r="3825" spans="1:6" x14ac:dyDescent="0.2">
      <c r="A3825" s="3">
        <v>45863</v>
      </c>
      <c r="B3825" s="43">
        <v>19340392</v>
      </c>
      <c r="C3825" s="20" t="s">
        <v>319</v>
      </c>
      <c r="D3825" s="18">
        <v>2085250</v>
      </c>
      <c r="E3825" s="19"/>
      <c r="F3825" s="15">
        <f t="shared" si="64"/>
        <v>53569235.050000131</v>
      </c>
    </row>
    <row r="3826" spans="1:6" x14ac:dyDescent="0.2">
      <c r="A3826" s="3">
        <v>45863</v>
      </c>
      <c r="B3826" s="43">
        <v>19340393</v>
      </c>
      <c r="C3826" s="20" t="s">
        <v>319</v>
      </c>
      <c r="D3826" s="18">
        <v>106400</v>
      </c>
      <c r="E3826" s="19"/>
      <c r="F3826" s="15">
        <f t="shared" si="64"/>
        <v>53462835.050000131</v>
      </c>
    </row>
    <row r="3827" spans="1:6" x14ac:dyDescent="0.2">
      <c r="A3827" s="3">
        <v>45863</v>
      </c>
      <c r="B3827" s="43">
        <v>19340394</v>
      </c>
      <c r="C3827" s="20" t="s">
        <v>319</v>
      </c>
      <c r="D3827" s="18">
        <v>242000</v>
      </c>
      <c r="E3827" s="19"/>
      <c r="F3827" s="15">
        <f t="shared" si="64"/>
        <v>53220835.050000131</v>
      </c>
    </row>
    <row r="3828" spans="1:6" x14ac:dyDescent="0.2">
      <c r="A3828" s="3">
        <v>45863</v>
      </c>
      <c r="B3828" s="43">
        <v>19340395</v>
      </c>
      <c r="C3828" s="20" t="s">
        <v>319</v>
      </c>
      <c r="D3828" s="18">
        <v>722950</v>
      </c>
      <c r="E3828" s="19"/>
      <c r="F3828" s="15">
        <f t="shared" si="64"/>
        <v>52497885.050000131</v>
      </c>
    </row>
    <row r="3829" spans="1:6" x14ac:dyDescent="0.2">
      <c r="A3829" s="3">
        <v>45863</v>
      </c>
      <c r="B3829" s="43">
        <v>19340396</v>
      </c>
      <c r="C3829" s="20" t="s">
        <v>319</v>
      </c>
      <c r="D3829" s="18">
        <v>580000</v>
      </c>
      <c r="E3829" s="19"/>
      <c r="F3829" s="15">
        <f t="shared" si="64"/>
        <v>51917885.050000131</v>
      </c>
    </row>
    <row r="3830" spans="1:6" x14ac:dyDescent="0.2">
      <c r="A3830" s="3">
        <v>45863</v>
      </c>
      <c r="B3830" s="43">
        <v>19340397</v>
      </c>
      <c r="C3830" s="20" t="s">
        <v>319</v>
      </c>
      <c r="D3830" s="18">
        <v>1652050</v>
      </c>
      <c r="E3830" s="19"/>
      <c r="F3830" s="15">
        <f t="shared" si="64"/>
        <v>50265835.050000131</v>
      </c>
    </row>
    <row r="3831" spans="1:6" x14ac:dyDescent="0.2">
      <c r="A3831" s="3">
        <v>45863</v>
      </c>
      <c r="B3831" s="43">
        <v>19340398</v>
      </c>
      <c r="C3831" s="20" t="s">
        <v>319</v>
      </c>
      <c r="D3831" s="18">
        <v>180000</v>
      </c>
      <c r="E3831" s="19"/>
      <c r="F3831" s="15">
        <f t="shared" si="64"/>
        <v>50085835.050000131</v>
      </c>
    </row>
    <row r="3832" spans="1:6" x14ac:dyDescent="0.2">
      <c r="A3832" s="3">
        <v>45863</v>
      </c>
      <c r="B3832" s="43">
        <v>19340399</v>
      </c>
      <c r="C3832" s="20" t="s">
        <v>319</v>
      </c>
      <c r="D3832" s="18">
        <v>1400000</v>
      </c>
      <c r="E3832" s="19"/>
      <c r="F3832" s="15">
        <f t="shared" si="64"/>
        <v>48685835.050000131</v>
      </c>
    </row>
    <row r="3833" spans="1:6" x14ac:dyDescent="0.2">
      <c r="A3833" s="3">
        <v>45863</v>
      </c>
      <c r="B3833" s="43">
        <v>19340400</v>
      </c>
      <c r="C3833" s="20" t="s">
        <v>319</v>
      </c>
      <c r="D3833" s="18">
        <v>1626400</v>
      </c>
      <c r="E3833" s="19"/>
      <c r="F3833" s="15">
        <f t="shared" si="64"/>
        <v>47059435.050000131</v>
      </c>
    </row>
    <row r="3834" spans="1:6" x14ac:dyDescent="0.2">
      <c r="A3834" s="3">
        <v>45863</v>
      </c>
      <c r="B3834" s="43">
        <v>19340401</v>
      </c>
      <c r="C3834" s="20" t="s">
        <v>319</v>
      </c>
      <c r="D3834" s="18">
        <v>2124500</v>
      </c>
      <c r="E3834" s="19"/>
      <c r="F3834" s="15">
        <f t="shared" si="64"/>
        <v>44934935.050000131</v>
      </c>
    </row>
    <row r="3835" spans="1:6" x14ac:dyDescent="0.2">
      <c r="A3835" s="3">
        <v>45863</v>
      </c>
      <c r="B3835" s="46">
        <v>19340402</v>
      </c>
      <c r="C3835" s="56" t="s">
        <v>319</v>
      </c>
      <c r="D3835" s="48">
        <v>174000</v>
      </c>
      <c r="E3835" s="49"/>
      <c r="F3835" s="15">
        <f t="shared" si="64"/>
        <v>44760935.050000131</v>
      </c>
    </row>
    <row r="3836" spans="1:6" x14ac:dyDescent="0.2">
      <c r="A3836" s="3">
        <v>45863</v>
      </c>
      <c r="B3836" s="44">
        <v>19340403</v>
      </c>
      <c r="C3836" s="57" t="s">
        <v>319</v>
      </c>
      <c r="D3836" s="23">
        <v>1645500</v>
      </c>
      <c r="E3836" s="24"/>
      <c r="F3836" s="15">
        <f t="shared" si="64"/>
        <v>43115435.050000131</v>
      </c>
    </row>
    <row r="3837" spans="1:6" x14ac:dyDescent="0.2">
      <c r="A3837" s="3">
        <v>45863</v>
      </c>
      <c r="B3837" s="43">
        <v>19340404</v>
      </c>
      <c r="C3837" s="20" t="s">
        <v>319</v>
      </c>
      <c r="D3837" s="18">
        <v>190000</v>
      </c>
      <c r="E3837" s="19"/>
      <c r="F3837" s="15">
        <f t="shared" si="64"/>
        <v>42925435.050000131</v>
      </c>
    </row>
    <row r="3838" spans="1:6" x14ac:dyDescent="0.2">
      <c r="A3838" s="3">
        <v>45863</v>
      </c>
      <c r="B3838" s="43">
        <v>19340405</v>
      </c>
      <c r="C3838" s="20" t="s">
        <v>319</v>
      </c>
      <c r="D3838" s="18">
        <v>855000</v>
      </c>
      <c r="E3838" s="19"/>
      <c r="F3838" s="15">
        <f t="shared" si="64"/>
        <v>42070435.050000131</v>
      </c>
    </row>
    <row r="3839" spans="1:6" x14ac:dyDescent="0.2">
      <c r="A3839" s="3">
        <v>45863</v>
      </c>
      <c r="B3839" s="43">
        <v>19340406</v>
      </c>
      <c r="C3839" s="20" t="s">
        <v>319</v>
      </c>
      <c r="D3839" s="18">
        <v>150000</v>
      </c>
      <c r="E3839" s="19"/>
      <c r="F3839" s="15">
        <f t="shared" si="64"/>
        <v>41920435.050000131</v>
      </c>
    </row>
    <row r="3840" spans="1:6" x14ac:dyDescent="0.2">
      <c r="A3840" s="3">
        <v>45863</v>
      </c>
      <c r="B3840" s="43">
        <v>19340407</v>
      </c>
      <c r="C3840" s="20" t="s">
        <v>319</v>
      </c>
      <c r="D3840" s="18">
        <v>1328000</v>
      </c>
      <c r="E3840" s="19"/>
      <c r="F3840" s="15">
        <f t="shared" si="64"/>
        <v>40592435.050000131</v>
      </c>
    </row>
    <row r="3841" spans="1:6" x14ac:dyDescent="0.2">
      <c r="A3841" s="3">
        <v>45863</v>
      </c>
      <c r="B3841" s="43">
        <v>19340408</v>
      </c>
      <c r="C3841" s="20" t="s">
        <v>319</v>
      </c>
      <c r="D3841" s="18">
        <v>1266500</v>
      </c>
      <c r="E3841" s="19"/>
      <c r="F3841" s="15">
        <f t="shared" si="64"/>
        <v>39325935.050000131</v>
      </c>
    </row>
    <row r="3842" spans="1:6" x14ac:dyDescent="0.2">
      <c r="A3842" s="3">
        <v>45863</v>
      </c>
      <c r="B3842" s="43">
        <v>19340409</v>
      </c>
      <c r="C3842" s="20" t="s">
        <v>319</v>
      </c>
      <c r="D3842" s="18">
        <v>407000</v>
      </c>
      <c r="E3842" s="19"/>
      <c r="F3842" s="15">
        <f t="shared" si="64"/>
        <v>38918935.050000131</v>
      </c>
    </row>
    <row r="3843" spans="1:6" x14ac:dyDescent="0.2">
      <c r="A3843" s="3">
        <v>45863</v>
      </c>
      <c r="B3843" s="43">
        <v>19340410</v>
      </c>
      <c r="C3843" s="20" t="s">
        <v>319</v>
      </c>
      <c r="D3843" s="18">
        <v>1670955</v>
      </c>
      <c r="E3843" s="19"/>
      <c r="F3843" s="15">
        <f t="shared" si="64"/>
        <v>37247980.050000131</v>
      </c>
    </row>
    <row r="3844" spans="1:6" x14ac:dyDescent="0.2">
      <c r="A3844" s="3">
        <v>45863</v>
      </c>
      <c r="B3844" s="43">
        <v>19340411</v>
      </c>
      <c r="C3844" s="20" t="s">
        <v>319</v>
      </c>
      <c r="D3844" s="18">
        <v>420000</v>
      </c>
      <c r="E3844" s="19"/>
      <c r="F3844" s="15">
        <f t="shared" si="64"/>
        <v>36827980.050000131</v>
      </c>
    </row>
    <row r="3845" spans="1:6" x14ac:dyDescent="0.2">
      <c r="A3845" s="3">
        <v>45863</v>
      </c>
      <c r="B3845" s="43">
        <v>32419</v>
      </c>
      <c r="C3845" s="17" t="s">
        <v>12</v>
      </c>
      <c r="D3845" s="18">
        <v>145272.56</v>
      </c>
      <c r="E3845" s="19"/>
      <c r="F3845" s="15">
        <f t="shared" si="64"/>
        <v>36682707.490000129</v>
      </c>
    </row>
    <row r="3846" spans="1:6" x14ac:dyDescent="0.2">
      <c r="A3846" s="3">
        <v>45863</v>
      </c>
      <c r="B3846" s="43">
        <v>32486</v>
      </c>
      <c r="C3846" s="17" t="s">
        <v>12</v>
      </c>
      <c r="D3846" s="18">
        <v>889352.41</v>
      </c>
      <c r="E3846" s="19"/>
      <c r="F3846" s="15">
        <f t="shared" si="64"/>
        <v>35793355.080000132</v>
      </c>
    </row>
    <row r="3847" spans="1:6" x14ac:dyDescent="0.2">
      <c r="A3847" s="3">
        <v>45863</v>
      </c>
      <c r="B3847" s="43">
        <v>32232</v>
      </c>
      <c r="C3847" s="17" t="s">
        <v>12</v>
      </c>
      <c r="D3847" s="18">
        <v>2151191.71</v>
      </c>
      <c r="E3847" s="19"/>
      <c r="F3847" s="15">
        <f t="shared" si="64"/>
        <v>33642163.370000131</v>
      </c>
    </row>
    <row r="3848" spans="1:6" x14ac:dyDescent="0.2">
      <c r="A3848" s="3">
        <v>45863</v>
      </c>
      <c r="B3848" s="45"/>
      <c r="C3848" s="17" t="s">
        <v>88</v>
      </c>
      <c r="D3848" s="18">
        <v>28662540</v>
      </c>
      <c r="E3848" s="19"/>
      <c r="F3848" s="15">
        <f t="shared" si="64"/>
        <v>4979623.3700001314</v>
      </c>
    </row>
    <row r="3849" spans="1:6" x14ac:dyDescent="0.2">
      <c r="A3849" s="3">
        <v>45863</v>
      </c>
      <c r="B3849" s="45"/>
      <c r="C3849" s="17" t="s">
        <v>16</v>
      </c>
      <c r="D3849" s="18">
        <v>685914.06</v>
      </c>
      <c r="E3849" s="19"/>
      <c r="F3849" s="15">
        <f t="shared" si="64"/>
        <v>4293709.3100001309</v>
      </c>
    </row>
    <row r="3850" spans="1:6" x14ac:dyDescent="0.2">
      <c r="A3850" s="3">
        <v>45863</v>
      </c>
      <c r="B3850" s="43">
        <v>15431</v>
      </c>
      <c r="C3850" s="20" t="s">
        <v>477</v>
      </c>
      <c r="D3850" s="18">
        <v>315</v>
      </c>
      <c r="E3850" s="19"/>
      <c r="F3850" s="15">
        <f t="shared" si="64"/>
        <v>4293394.3100001309</v>
      </c>
    </row>
    <row r="3851" spans="1:6" x14ac:dyDescent="0.2">
      <c r="A3851" s="3">
        <v>45863</v>
      </c>
      <c r="B3851" s="43">
        <v>15431</v>
      </c>
      <c r="C3851" s="17" t="s">
        <v>227</v>
      </c>
      <c r="D3851" s="18">
        <v>66.150000000000006</v>
      </c>
      <c r="E3851" s="19"/>
      <c r="F3851" s="15">
        <f t="shared" si="64"/>
        <v>4293328.1600001305</v>
      </c>
    </row>
    <row r="3852" spans="1:6" x14ac:dyDescent="0.2">
      <c r="A3852" s="3">
        <v>45863</v>
      </c>
      <c r="B3852" s="43">
        <v>15432</v>
      </c>
      <c r="C3852" s="20" t="s">
        <v>477</v>
      </c>
      <c r="D3852" s="18">
        <v>720</v>
      </c>
      <c r="E3852" s="19"/>
      <c r="F3852" s="15">
        <f t="shared" si="64"/>
        <v>4292608.1600001305</v>
      </c>
    </row>
    <row r="3853" spans="1:6" x14ac:dyDescent="0.2">
      <c r="A3853" s="3">
        <v>45863</v>
      </c>
      <c r="B3853" s="43">
        <v>15432</v>
      </c>
      <c r="C3853" s="17" t="s">
        <v>227</v>
      </c>
      <c r="D3853" s="18">
        <v>151.19999999999999</v>
      </c>
      <c r="E3853" s="19"/>
      <c r="F3853" s="15">
        <f t="shared" si="64"/>
        <v>4292456.9600001303</v>
      </c>
    </row>
    <row r="3854" spans="1:6" x14ac:dyDescent="0.2">
      <c r="A3854" s="3">
        <v>45863</v>
      </c>
      <c r="B3854" s="43">
        <v>15433</v>
      </c>
      <c r="C3854" s="20" t="s">
        <v>477</v>
      </c>
      <c r="D3854" s="18">
        <v>720</v>
      </c>
      <c r="E3854" s="19"/>
      <c r="F3854" s="15">
        <f t="shared" si="64"/>
        <v>4291736.9600001303</v>
      </c>
    </row>
    <row r="3855" spans="1:6" x14ac:dyDescent="0.2">
      <c r="A3855" s="3">
        <v>45863</v>
      </c>
      <c r="B3855" s="43">
        <v>15433</v>
      </c>
      <c r="C3855" s="17" t="s">
        <v>227</v>
      </c>
      <c r="D3855" s="18">
        <v>151.19999999999999</v>
      </c>
      <c r="E3855" s="19"/>
      <c r="F3855" s="15">
        <f t="shared" si="64"/>
        <v>4291585.7600001302</v>
      </c>
    </row>
    <row r="3856" spans="1:6" x14ac:dyDescent="0.2">
      <c r="A3856" s="3">
        <v>45863</v>
      </c>
      <c r="B3856" s="43">
        <v>15436</v>
      </c>
      <c r="C3856" s="20" t="s">
        <v>477</v>
      </c>
      <c r="D3856" s="18">
        <v>1485</v>
      </c>
      <c r="E3856" s="19"/>
      <c r="F3856" s="15">
        <f t="shared" si="64"/>
        <v>4290100.7600001302</v>
      </c>
    </row>
    <row r="3857" spans="1:6" x14ac:dyDescent="0.2">
      <c r="A3857" s="3">
        <v>45863</v>
      </c>
      <c r="B3857" s="43">
        <v>15436</v>
      </c>
      <c r="C3857" s="17" t="s">
        <v>227</v>
      </c>
      <c r="D3857" s="18">
        <v>311.85000000000002</v>
      </c>
      <c r="E3857" s="19"/>
      <c r="F3857" s="15">
        <f t="shared" si="64"/>
        <v>4289788.9100001305</v>
      </c>
    </row>
    <row r="3858" spans="1:6" x14ac:dyDescent="0.2">
      <c r="A3858" s="3">
        <v>45863</v>
      </c>
      <c r="B3858" s="43">
        <v>15437</v>
      </c>
      <c r="C3858" s="20" t="s">
        <v>477</v>
      </c>
      <c r="D3858" s="18">
        <v>1485</v>
      </c>
      <c r="E3858" s="19"/>
      <c r="F3858" s="15">
        <f t="shared" si="64"/>
        <v>4288303.9100001305</v>
      </c>
    </row>
    <row r="3859" spans="1:6" x14ac:dyDescent="0.2">
      <c r="A3859" s="3">
        <v>45863</v>
      </c>
      <c r="B3859" s="43">
        <v>15437</v>
      </c>
      <c r="C3859" s="17" t="s">
        <v>227</v>
      </c>
      <c r="D3859" s="18">
        <v>311.85000000000002</v>
      </c>
      <c r="E3859" s="19"/>
      <c r="F3859" s="15">
        <f t="shared" si="64"/>
        <v>4287992.0600001309</v>
      </c>
    </row>
    <row r="3860" spans="1:6" x14ac:dyDescent="0.2">
      <c r="A3860" s="3">
        <v>45866</v>
      </c>
      <c r="B3860" s="43">
        <v>32423</v>
      </c>
      <c r="C3860" s="17" t="s">
        <v>9</v>
      </c>
      <c r="D3860" s="18">
        <v>126120.57</v>
      </c>
      <c r="E3860" s="19"/>
      <c r="F3860" s="15">
        <f t="shared" si="64"/>
        <v>4161871.4900001311</v>
      </c>
    </row>
    <row r="3861" spans="1:6" x14ac:dyDescent="0.2">
      <c r="A3861" s="3">
        <v>45866</v>
      </c>
      <c r="B3861" s="43">
        <v>32422</v>
      </c>
      <c r="C3861" s="17" t="s">
        <v>9</v>
      </c>
      <c r="D3861" s="18">
        <v>186388.4</v>
      </c>
      <c r="E3861" s="19"/>
      <c r="F3861" s="15">
        <f t="shared" si="64"/>
        <v>3975483.0900001312</v>
      </c>
    </row>
    <row r="3862" spans="1:6" x14ac:dyDescent="0.2">
      <c r="A3862" s="3">
        <v>45866</v>
      </c>
      <c r="B3862" s="46">
        <v>32404</v>
      </c>
      <c r="C3862" s="58" t="s">
        <v>9</v>
      </c>
      <c r="D3862" s="48">
        <v>926878.75</v>
      </c>
      <c r="E3862" s="49"/>
      <c r="F3862" s="15">
        <f t="shared" si="64"/>
        <v>3048604.3400001312</v>
      </c>
    </row>
    <row r="3863" spans="1:6" x14ac:dyDescent="0.2">
      <c r="A3863" s="3">
        <v>45866</v>
      </c>
      <c r="B3863" s="44">
        <v>32361</v>
      </c>
      <c r="C3863" s="59" t="s">
        <v>9</v>
      </c>
      <c r="D3863" s="23">
        <v>1216869.6599999999</v>
      </c>
      <c r="E3863" s="24"/>
      <c r="F3863" s="15">
        <f t="shared" si="64"/>
        <v>1831734.6800001313</v>
      </c>
    </row>
    <row r="3864" spans="1:6" x14ac:dyDescent="0.2">
      <c r="A3864" s="3">
        <v>45866</v>
      </c>
      <c r="B3864" s="43">
        <v>497224</v>
      </c>
      <c r="C3864" s="20" t="s">
        <v>217</v>
      </c>
      <c r="D3864" s="25"/>
      <c r="E3864" s="25">
        <v>176000000</v>
      </c>
      <c r="F3864" s="15">
        <f t="shared" si="64"/>
        <v>177831734.68000013</v>
      </c>
    </row>
    <row r="3865" spans="1:6" x14ac:dyDescent="0.2">
      <c r="A3865" s="3">
        <v>45866</v>
      </c>
      <c r="B3865" s="43">
        <v>4289293</v>
      </c>
      <c r="C3865" s="20" t="s">
        <v>451</v>
      </c>
      <c r="D3865" s="18">
        <v>175000000</v>
      </c>
      <c r="E3865" s="19"/>
      <c r="F3865" s="15">
        <f t="shared" si="64"/>
        <v>2831734.6800001264</v>
      </c>
    </row>
    <row r="3866" spans="1:6" x14ac:dyDescent="0.2">
      <c r="A3866" s="3">
        <v>45866</v>
      </c>
      <c r="B3866" s="43">
        <v>32219</v>
      </c>
      <c r="C3866" s="17" t="s">
        <v>12</v>
      </c>
      <c r="D3866" s="18">
        <v>1081847.54</v>
      </c>
      <c r="E3866" s="19"/>
      <c r="F3866" s="15">
        <f t="shared" si="64"/>
        <v>1749887.1400001263</v>
      </c>
    </row>
    <row r="3867" spans="1:6" x14ac:dyDescent="0.2">
      <c r="A3867" s="3">
        <v>45866</v>
      </c>
      <c r="B3867" s="43">
        <v>32166</v>
      </c>
      <c r="C3867" s="17" t="s">
        <v>12</v>
      </c>
      <c r="D3867" s="18">
        <v>2077537.37</v>
      </c>
      <c r="E3867" s="19"/>
      <c r="F3867" s="15">
        <f t="shared" si="64"/>
        <v>-327650.22999987379</v>
      </c>
    </row>
    <row r="3868" spans="1:6" x14ac:dyDescent="0.2">
      <c r="A3868" s="3">
        <v>45866</v>
      </c>
      <c r="B3868" s="43">
        <v>32267</v>
      </c>
      <c r="C3868" s="17" t="s">
        <v>12</v>
      </c>
      <c r="D3868" s="18">
        <v>3009387.88</v>
      </c>
      <c r="E3868" s="19"/>
      <c r="F3868" s="15">
        <f t="shared" si="64"/>
        <v>-3337038.1099998737</v>
      </c>
    </row>
    <row r="3869" spans="1:6" x14ac:dyDescent="0.2">
      <c r="A3869" s="3">
        <v>45866</v>
      </c>
      <c r="B3869" s="43">
        <v>32224</v>
      </c>
      <c r="C3869" s="17" t="s">
        <v>12</v>
      </c>
      <c r="D3869" s="18">
        <v>3295940</v>
      </c>
      <c r="E3869" s="19"/>
      <c r="F3869" s="15">
        <f t="shared" si="64"/>
        <v>-6632978.1099998737</v>
      </c>
    </row>
    <row r="3870" spans="1:6" x14ac:dyDescent="0.2">
      <c r="A3870" s="3">
        <v>45866</v>
      </c>
      <c r="B3870" s="43">
        <v>32158</v>
      </c>
      <c r="C3870" s="17" t="s">
        <v>12</v>
      </c>
      <c r="D3870" s="18">
        <v>4593589</v>
      </c>
      <c r="E3870" s="19"/>
      <c r="F3870" s="15">
        <f t="shared" si="64"/>
        <v>-11226567.109999873</v>
      </c>
    </row>
    <row r="3871" spans="1:6" x14ac:dyDescent="0.2">
      <c r="A3871" s="3">
        <v>45866</v>
      </c>
      <c r="B3871" s="43">
        <v>32177</v>
      </c>
      <c r="C3871" s="17" t="s">
        <v>12</v>
      </c>
      <c r="D3871" s="18">
        <v>7121420.2199999997</v>
      </c>
      <c r="E3871" s="19"/>
      <c r="F3871" s="15">
        <f t="shared" si="64"/>
        <v>-18347987.329999872</v>
      </c>
    </row>
    <row r="3872" spans="1:6" x14ac:dyDescent="0.2">
      <c r="A3872" s="3">
        <v>45866</v>
      </c>
      <c r="B3872" s="43">
        <v>32104</v>
      </c>
      <c r="C3872" s="17" t="s">
        <v>12</v>
      </c>
      <c r="D3872" s="18">
        <v>7899942.6500000004</v>
      </c>
      <c r="E3872" s="19"/>
      <c r="F3872" s="15">
        <f t="shared" si="64"/>
        <v>-26247929.97999987</v>
      </c>
    </row>
    <row r="3873" spans="1:6" x14ac:dyDescent="0.2">
      <c r="A3873" s="3">
        <v>45866</v>
      </c>
      <c r="B3873" s="43">
        <v>32108</v>
      </c>
      <c r="C3873" s="17" t="s">
        <v>12</v>
      </c>
      <c r="D3873" s="18">
        <v>9756564.8000000007</v>
      </c>
      <c r="E3873" s="19"/>
      <c r="F3873" s="15">
        <f t="shared" si="64"/>
        <v>-36004494.779999867</v>
      </c>
    </row>
    <row r="3874" spans="1:6" x14ac:dyDescent="0.2">
      <c r="A3874" s="3">
        <v>45866</v>
      </c>
      <c r="B3874" s="43">
        <v>32175</v>
      </c>
      <c r="C3874" s="17" t="s">
        <v>12</v>
      </c>
      <c r="D3874" s="18">
        <v>10139337.67</v>
      </c>
      <c r="E3874" s="19"/>
      <c r="F3874" s="15">
        <f t="shared" si="64"/>
        <v>-46143832.449999869</v>
      </c>
    </row>
    <row r="3875" spans="1:6" x14ac:dyDescent="0.2">
      <c r="A3875" s="3">
        <v>45866</v>
      </c>
      <c r="B3875" s="43">
        <v>32256</v>
      </c>
      <c r="C3875" s="17" t="s">
        <v>12</v>
      </c>
      <c r="D3875" s="18">
        <v>11856716</v>
      </c>
      <c r="E3875" s="19"/>
      <c r="F3875" s="15">
        <f t="shared" ref="F3875:F3927" si="65">+F3874+E3875-D3875</f>
        <v>-58000548.449999869</v>
      </c>
    </row>
    <row r="3876" spans="1:6" x14ac:dyDescent="0.2">
      <c r="A3876" s="3">
        <v>45866</v>
      </c>
      <c r="B3876" s="45"/>
      <c r="C3876" s="17" t="s">
        <v>16</v>
      </c>
      <c r="D3876" s="18">
        <v>379765.56</v>
      </c>
      <c r="E3876" s="19"/>
      <c r="F3876" s="15">
        <f t="shared" si="65"/>
        <v>-58380314.009999871</v>
      </c>
    </row>
    <row r="3877" spans="1:6" x14ac:dyDescent="0.2">
      <c r="A3877" s="3">
        <v>45867</v>
      </c>
      <c r="B3877" s="43">
        <v>32314</v>
      </c>
      <c r="C3877" s="17" t="s">
        <v>9</v>
      </c>
      <c r="D3877" s="18">
        <v>8796</v>
      </c>
      <c r="E3877" s="19"/>
      <c r="F3877" s="15">
        <f t="shared" si="65"/>
        <v>-58389110.009999871</v>
      </c>
    </row>
    <row r="3878" spans="1:6" x14ac:dyDescent="0.2">
      <c r="A3878" s="3">
        <v>45867</v>
      </c>
      <c r="B3878" s="43">
        <v>32388</v>
      </c>
      <c r="C3878" s="17" t="s">
        <v>9</v>
      </c>
      <c r="D3878" s="18">
        <v>22999.99</v>
      </c>
      <c r="E3878" s="19"/>
      <c r="F3878" s="15">
        <f t="shared" si="65"/>
        <v>-58412109.999999873</v>
      </c>
    </row>
    <row r="3879" spans="1:6" x14ac:dyDescent="0.2">
      <c r="A3879" s="3">
        <v>45867</v>
      </c>
      <c r="B3879" s="43">
        <v>32328</v>
      </c>
      <c r="C3879" s="17" t="s">
        <v>9</v>
      </c>
      <c r="D3879" s="18">
        <v>491834.75</v>
      </c>
      <c r="E3879" s="19"/>
      <c r="F3879" s="15">
        <f t="shared" si="65"/>
        <v>-58903944.749999873</v>
      </c>
    </row>
    <row r="3880" spans="1:6" x14ac:dyDescent="0.2">
      <c r="A3880" s="3">
        <v>45867</v>
      </c>
      <c r="B3880" s="43">
        <v>32420</v>
      </c>
      <c r="C3880" s="17" t="s">
        <v>9</v>
      </c>
      <c r="D3880" s="18">
        <v>565673.88</v>
      </c>
      <c r="E3880" s="19"/>
      <c r="F3880" s="15">
        <f t="shared" si="65"/>
        <v>-59469618.629999876</v>
      </c>
    </row>
    <row r="3881" spans="1:6" x14ac:dyDescent="0.2">
      <c r="A3881" s="3">
        <v>45867</v>
      </c>
      <c r="B3881" s="43">
        <v>32265</v>
      </c>
      <c r="C3881" s="17" t="s">
        <v>9</v>
      </c>
      <c r="D3881" s="18">
        <v>624004.91</v>
      </c>
      <c r="E3881" s="19"/>
      <c r="F3881" s="15">
        <f t="shared" si="65"/>
        <v>-60093623.539999872</v>
      </c>
    </row>
    <row r="3882" spans="1:6" x14ac:dyDescent="0.2">
      <c r="A3882" s="3">
        <v>45867</v>
      </c>
      <c r="B3882" s="43">
        <v>32401</v>
      </c>
      <c r="C3882" s="17" t="s">
        <v>9</v>
      </c>
      <c r="D3882" s="18">
        <v>680531.17</v>
      </c>
      <c r="E3882" s="19"/>
      <c r="F3882" s="15">
        <f t="shared" si="65"/>
        <v>-60774154.709999874</v>
      </c>
    </row>
    <row r="3883" spans="1:6" x14ac:dyDescent="0.2">
      <c r="A3883" s="3">
        <v>45867</v>
      </c>
      <c r="B3883" s="43">
        <v>32178</v>
      </c>
      <c r="C3883" s="17" t="s">
        <v>9</v>
      </c>
      <c r="D3883" s="18">
        <v>897877.94</v>
      </c>
      <c r="E3883" s="19"/>
      <c r="F3883" s="15">
        <f t="shared" si="65"/>
        <v>-61672032.649999872</v>
      </c>
    </row>
    <row r="3884" spans="1:6" x14ac:dyDescent="0.2">
      <c r="A3884" s="3">
        <v>45867</v>
      </c>
      <c r="B3884" s="43">
        <v>32205</v>
      </c>
      <c r="C3884" s="17" t="s">
        <v>9</v>
      </c>
      <c r="D3884" s="18">
        <v>1376968.09</v>
      </c>
      <c r="E3884" s="19"/>
      <c r="F3884" s="15">
        <f t="shared" si="65"/>
        <v>-63049000.739999875</v>
      </c>
    </row>
    <row r="3885" spans="1:6" x14ac:dyDescent="0.2">
      <c r="A3885" s="3">
        <v>45867</v>
      </c>
      <c r="B3885" s="43">
        <v>32230</v>
      </c>
      <c r="C3885" s="17" t="s">
        <v>9</v>
      </c>
      <c r="D3885" s="18">
        <v>1422887.34</v>
      </c>
      <c r="E3885" s="19"/>
      <c r="F3885" s="15">
        <f t="shared" si="65"/>
        <v>-64471888.079999879</v>
      </c>
    </row>
    <row r="3886" spans="1:6" x14ac:dyDescent="0.2">
      <c r="A3886" s="3">
        <v>45867</v>
      </c>
      <c r="B3886" s="43">
        <v>32164</v>
      </c>
      <c r="C3886" s="17" t="s">
        <v>9</v>
      </c>
      <c r="D3886" s="18">
        <v>2769038.2</v>
      </c>
      <c r="E3886" s="19"/>
      <c r="F3886" s="15">
        <f t="shared" si="65"/>
        <v>-67240926.279999882</v>
      </c>
    </row>
    <row r="3887" spans="1:6" x14ac:dyDescent="0.2">
      <c r="A3887" s="3">
        <v>45867</v>
      </c>
      <c r="B3887" s="43">
        <v>32181</v>
      </c>
      <c r="C3887" s="17" t="s">
        <v>9</v>
      </c>
      <c r="D3887" s="18">
        <v>3619510</v>
      </c>
      <c r="E3887" s="19"/>
      <c r="F3887" s="15">
        <f t="shared" si="65"/>
        <v>-70860436.279999882</v>
      </c>
    </row>
    <row r="3888" spans="1:6" x14ac:dyDescent="0.2">
      <c r="A3888" s="3">
        <v>45867</v>
      </c>
      <c r="B3888" s="43">
        <v>32464</v>
      </c>
      <c r="C3888" s="17" t="s">
        <v>9</v>
      </c>
      <c r="D3888" s="18">
        <v>5005293.4000000004</v>
      </c>
      <c r="E3888" s="19"/>
      <c r="F3888" s="15">
        <f t="shared" si="65"/>
        <v>-75865729.679999888</v>
      </c>
    </row>
    <row r="3889" spans="1:6" x14ac:dyDescent="0.2">
      <c r="A3889" s="3">
        <v>45867</v>
      </c>
      <c r="B3889" s="43">
        <v>32415</v>
      </c>
      <c r="C3889" s="17" t="s">
        <v>9</v>
      </c>
      <c r="D3889" s="18">
        <v>6879129.4199999999</v>
      </c>
      <c r="E3889" s="19"/>
      <c r="F3889" s="15">
        <f t="shared" si="65"/>
        <v>-82744859.09999989</v>
      </c>
    </row>
    <row r="3890" spans="1:6" x14ac:dyDescent="0.2">
      <c r="A3890" s="3">
        <v>45867</v>
      </c>
      <c r="B3890" s="43">
        <v>565345</v>
      </c>
      <c r="C3890" s="20" t="s">
        <v>217</v>
      </c>
      <c r="D3890" s="25"/>
      <c r="E3890" s="25">
        <v>175000000</v>
      </c>
      <c r="F3890" s="15">
        <f t="shared" si="65"/>
        <v>92255140.90000011</v>
      </c>
    </row>
    <row r="3891" spans="1:6" x14ac:dyDescent="0.2">
      <c r="A3891" s="3">
        <v>45867</v>
      </c>
      <c r="B3891" s="43">
        <v>257849</v>
      </c>
      <c r="C3891" s="20" t="s">
        <v>89</v>
      </c>
      <c r="D3891" s="25"/>
      <c r="E3891" s="25">
        <v>2929062.48</v>
      </c>
      <c r="F3891" s="15">
        <f t="shared" si="65"/>
        <v>95184203.380000114</v>
      </c>
    </row>
    <row r="3892" spans="1:6" x14ac:dyDescent="0.2">
      <c r="A3892" s="3">
        <v>45867</v>
      </c>
      <c r="B3892" s="51"/>
      <c r="C3892" s="58" t="s">
        <v>16</v>
      </c>
      <c r="D3892" s="48">
        <v>146187.28</v>
      </c>
      <c r="E3892" s="49"/>
      <c r="F3892" s="15">
        <f t="shared" si="65"/>
        <v>95038016.100000113</v>
      </c>
    </row>
    <row r="3893" spans="1:6" x14ac:dyDescent="0.2">
      <c r="A3893" s="3">
        <v>45867</v>
      </c>
      <c r="B3893" s="50"/>
      <c r="C3893" s="59" t="s">
        <v>22</v>
      </c>
      <c r="D3893" s="23">
        <v>17574.37</v>
      </c>
      <c r="E3893" s="24"/>
      <c r="F3893" s="15">
        <f t="shared" si="65"/>
        <v>95020441.730000108</v>
      </c>
    </row>
    <row r="3894" spans="1:6" x14ac:dyDescent="0.2">
      <c r="A3894" s="3">
        <v>45867</v>
      </c>
      <c r="B3894" s="45"/>
      <c r="C3894" s="20" t="s">
        <v>561</v>
      </c>
      <c r="D3894" s="18">
        <v>2929.06</v>
      </c>
      <c r="E3894" s="19"/>
      <c r="F3894" s="15">
        <f t="shared" si="65"/>
        <v>95017512.670000106</v>
      </c>
    </row>
    <row r="3895" spans="1:6" x14ac:dyDescent="0.2">
      <c r="A3895" s="3">
        <v>45868</v>
      </c>
      <c r="B3895" s="43">
        <v>32234</v>
      </c>
      <c r="C3895" s="17" t="s">
        <v>9</v>
      </c>
      <c r="D3895" s="18">
        <v>231850.28</v>
      </c>
      <c r="E3895" s="19"/>
      <c r="F3895" s="15">
        <f t="shared" si="65"/>
        <v>94785662.390000105</v>
      </c>
    </row>
    <row r="3896" spans="1:6" x14ac:dyDescent="0.2">
      <c r="A3896" s="3">
        <v>45868</v>
      </c>
      <c r="B3896" s="43">
        <v>32327</v>
      </c>
      <c r="C3896" s="17" t="s">
        <v>9</v>
      </c>
      <c r="D3896" s="18">
        <v>422037.42</v>
      </c>
      <c r="E3896" s="19"/>
      <c r="F3896" s="15">
        <f t="shared" si="65"/>
        <v>94363624.970000103</v>
      </c>
    </row>
    <row r="3897" spans="1:6" x14ac:dyDescent="0.2">
      <c r="A3897" s="3">
        <v>45868</v>
      </c>
      <c r="B3897" s="43">
        <v>32208</v>
      </c>
      <c r="C3897" s="17" t="s">
        <v>9</v>
      </c>
      <c r="D3897" s="18">
        <v>3249223.25</v>
      </c>
      <c r="E3897" s="19"/>
      <c r="F3897" s="15">
        <f t="shared" si="65"/>
        <v>91114401.720000103</v>
      </c>
    </row>
    <row r="3898" spans="1:6" x14ac:dyDescent="0.2">
      <c r="A3898" s="3">
        <v>45868</v>
      </c>
      <c r="B3898" s="43">
        <v>32291</v>
      </c>
      <c r="C3898" s="17" t="s">
        <v>9</v>
      </c>
      <c r="D3898" s="18">
        <v>3727432.77</v>
      </c>
      <c r="E3898" s="19"/>
      <c r="F3898" s="15">
        <f t="shared" si="65"/>
        <v>87386968.950000107</v>
      </c>
    </row>
    <row r="3899" spans="1:6" x14ac:dyDescent="0.2">
      <c r="A3899" s="3">
        <v>45868</v>
      </c>
      <c r="B3899" s="45"/>
      <c r="C3899" s="17" t="s">
        <v>92</v>
      </c>
      <c r="D3899" s="18">
        <v>53300</v>
      </c>
      <c r="E3899" s="19"/>
      <c r="F3899" s="15">
        <f t="shared" si="65"/>
        <v>87333668.950000107</v>
      </c>
    </row>
    <row r="3900" spans="1:6" x14ac:dyDescent="0.2">
      <c r="A3900" s="3">
        <v>45868</v>
      </c>
      <c r="B3900" s="45"/>
      <c r="C3900" s="17" t="s">
        <v>36</v>
      </c>
      <c r="D3900" s="18">
        <v>799.5</v>
      </c>
      <c r="E3900" s="19"/>
      <c r="F3900" s="15">
        <f t="shared" si="65"/>
        <v>87332869.450000107</v>
      </c>
    </row>
    <row r="3901" spans="1:6" x14ac:dyDescent="0.2">
      <c r="A3901" s="3">
        <v>45868</v>
      </c>
      <c r="B3901" s="45"/>
      <c r="C3901" s="17" t="s">
        <v>227</v>
      </c>
      <c r="D3901" s="18">
        <v>11193</v>
      </c>
      <c r="E3901" s="19"/>
      <c r="F3901" s="15">
        <f t="shared" si="65"/>
        <v>87321676.450000107</v>
      </c>
    </row>
    <row r="3902" spans="1:6" x14ac:dyDescent="0.2">
      <c r="A3902" s="3">
        <v>45868</v>
      </c>
      <c r="B3902" s="45"/>
      <c r="C3902" s="17" t="s">
        <v>37</v>
      </c>
      <c r="D3902" s="18">
        <v>1599</v>
      </c>
      <c r="E3902" s="19"/>
      <c r="F3902" s="15">
        <f t="shared" si="65"/>
        <v>87320077.450000107</v>
      </c>
    </row>
    <row r="3903" spans="1:6" x14ac:dyDescent="0.2">
      <c r="A3903" s="3">
        <v>45868</v>
      </c>
      <c r="B3903" s="45"/>
      <c r="C3903" s="17" t="s">
        <v>508</v>
      </c>
      <c r="D3903" s="18">
        <v>65010</v>
      </c>
      <c r="E3903" s="19"/>
      <c r="F3903" s="15">
        <f t="shared" si="65"/>
        <v>87255067.450000107</v>
      </c>
    </row>
    <row r="3904" spans="1:6" x14ac:dyDescent="0.2">
      <c r="A3904" s="3">
        <v>45868</v>
      </c>
      <c r="B3904" s="45"/>
      <c r="C3904" s="17" t="s">
        <v>36</v>
      </c>
      <c r="D3904" s="18">
        <v>975.15</v>
      </c>
      <c r="E3904" s="19"/>
      <c r="F3904" s="15">
        <f t="shared" si="65"/>
        <v>87254092.300000101</v>
      </c>
    </row>
    <row r="3905" spans="1:6" x14ac:dyDescent="0.2">
      <c r="A3905" s="3">
        <v>45868</v>
      </c>
      <c r="B3905" s="45"/>
      <c r="C3905" s="17" t="s">
        <v>227</v>
      </c>
      <c r="D3905" s="18">
        <v>13652.1</v>
      </c>
      <c r="E3905" s="19"/>
      <c r="F3905" s="15">
        <f t="shared" si="65"/>
        <v>87240440.200000107</v>
      </c>
    </row>
    <row r="3906" spans="1:6" x14ac:dyDescent="0.2">
      <c r="A3906" s="3">
        <v>45868</v>
      </c>
      <c r="B3906" s="45"/>
      <c r="C3906" s="17" t="s">
        <v>37</v>
      </c>
      <c r="D3906" s="18">
        <v>1950.3</v>
      </c>
      <c r="E3906" s="19"/>
      <c r="F3906" s="15">
        <f t="shared" si="65"/>
        <v>87238489.90000011</v>
      </c>
    </row>
    <row r="3907" spans="1:6" x14ac:dyDescent="0.2">
      <c r="A3907" s="3">
        <v>45868</v>
      </c>
      <c r="B3907" s="43">
        <v>32337</v>
      </c>
      <c r="C3907" s="17" t="s">
        <v>12</v>
      </c>
      <c r="D3907" s="18">
        <v>596895.28</v>
      </c>
      <c r="E3907" s="19"/>
      <c r="F3907" s="15">
        <f t="shared" si="65"/>
        <v>86641594.620000109</v>
      </c>
    </row>
    <row r="3908" spans="1:6" x14ac:dyDescent="0.2">
      <c r="A3908" s="3">
        <v>45868</v>
      </c>
      <c r="B3908" s="43">
        <v>32261</v>
      </c>
      <c r="C3908" s="17" t="s">
        <v>12</v>
      </c>
      <c r="D3908" s="18">
        <v>4823595</v>
      </c>
      <c r="E3908" s="19"/>
      <c r="F3908" s="15">
        <f t="shared" si="65"/>
        <v>81817999.620000109</v>
      </c>
    </row>
    <row r="3909" spans="1:6" x14ac:dyDescent="0.2">
      <c r="A3909" s="3">
        <v>45868</v>
      </c>
      <c r="B3909" s="43">
        <v>32342</v>
      </c>
      <c r="C3909" s="17" t="s">
        <v>12</v>
      </c>
      <c r="D3909" s="18">
        <v>8903456.7200000007</v>
      </c>
      <c r="E3909" s="19"/>
      <c r="F3909" s="15">
        <f t="shared" si="65"/>
        <v>72914542.90000011</v>
      </c>
    </row>
    <row r="3910" spans="1:6" x14ac:dyDescent="0.2">
      <c r="A3910" s="3">
        <v>45868</v>
      </c>
      <c r="B3910" s="45"/>
      <c r="C3910" s="17" t="s">
        <v>16</v>
      </c>
      <c r="D3910" s="18">
        <v>132635.38</v>
      </c>
      <c r="E3910" s="19"/>
      <c r="F3910" s="15">
        <f t="shared" si="65"/>
        <v>72781907.520000115</v>
      </c>
    </row>
    <row r="3911" spans="1:6" x14ac:dyDescent="0.2">
      <c r="A3911" s="3">
        <v>45869</v>
      </c>
      <c r="B3911" s="43">
        <v>32369</v>
      </c>
      <c r="C3911" s="17" t="s">
        <v>9</v>
      </c>
      <c r="D3911" s="18">
        <v>305043.3</v>
      </c>
      <c r="E3911" s="19"/>
      <c r="F3911" s="15">
        <f t="shared" si="65"/>
        <v>72476864.220000118</v>
      </c>
    </row>
    <row r="3912" spans="1:6" x14ac:dyDescent="0.2">
      <c r="A3912" s="3">
        <v>45869</v>
      </c>
      <c r="B3912" s="43">
        <v>32325</v>
      </c>
      <c r="C3912" s="17" t="s">
        <v>9</v>
      </c>
      <c r="D3912" s="18">
        <v>455285.56</v>
      </c>
      <c r="E3912" s="19"/>
      <c r="F3912" s="15">
        <f t="shared" si="65"/>
        <v>72021578.660000116</v>
      </c>
    </row>
    <row r="3913" spans="1:6" x14ac:dyDescent="0.2">
      <c r="A3913" s="3">
        <v>45869</v>
      </c>
      <c r="B3913" s="43">
        <v>32390</v>
      </c>
      <c r="C3913" s="17" t="s">
        <v>9</v>
      </c>
      <c r="D3913" s="18">
        <v>470133.19</v>
      </c>
      <c r="E3913" s="19"/>
      <c r="F3913" s="15">
        <f t="shared" si="65"/>
        <v>71551445.470000118</v>
      </c>
    </row>
    <row r="3914" spans="1:6" x14ac:dyDescent="0.2">
      <c r="A3914" s="3">
        <v>45869</v>
      </c>
      <c r="B3914" s="43">
        <v>32487</v>
      </c>
      <c r="C3914" s="17" t="s">
        <v>9</v>
      </c>
      <c r="D3914" s="18">
        <v>1025948.39</v>
      </c>
      <c r="E3914" s="19"/>
      <c r="F3914" s="15">
        <f t="shared" si="65"/>
        <v>70525497.080000117</v>
      </c>
    </row>
    <row r="3915" spans="1:6" x14ac:dyDescent="0.2">
      <c r="A3915" s="3">
        <v>45869</v>
      </c>
      <c r="B3915" s="43">
        <v>32266</v>
      </c>
      <c r="C3915" s="17" t="s">
        <v>9</v>
      </c>
      <c r="D3915" s="18">
        <v>1183165.2</v>
      </c>
      <c r="E3915" s="19"/>
      <c r="F3915" s="15">
        <f t="shared" si="65"/>
        <v>69342331.880000114</v>
      </c>
    </row>
    <row r="3916" spans="1:6" x14ac:dyDescent="0.2">
      <c r="A3916" s="3">
        <v>45869</v>
      </c>
      <c r="B3916" s="43">
        <v>32282</v>
      </c>
      <c r="C3916" s="17" t="s">
        <v>9</v>
      </c>
      <c r="D3916" s="18">
        <v>1747116</v>
      </c>
      <c r="E3916" s="19"/>
      <c r="F3916" s="15">
        <f t="shared" si="65"/>
        <v>67595215.880000114</v>
      </c>
    </row>
    <row r="3917" spans="1:6" x14ac:dyDescent="0.2">
      <c r="A3917" s="3">
        <v>45869</v>
      </c>
      <c r="B3917" s="43">
        <v>32278</v>
      </c>
      <c r="C3917" s="17" t="s">
        <v>9</v>
      </c>
      <c r="D3917" s="18">
        <v>1875597</v>
      </c>
      <c r="E3917" s="19"/>
      <c r="F3917" s="15">
        <f t="shared" si="65"/>
        <v>65719618.880000114</v>
      </c>
    </row>
    <row r="3918" spans="1:6" x14ac:dyDescent="0.2">
      <c r="A3918" s="3">
        <v>45869</v>
      </c>
      <c r="B3918" s="43">
        <v>32270</v>
      </c>
      <c r="C3918" s="17" t="s">
        <v>9</v>
      </c>
      <c r="D3918" s="18">
        <v>2544616.92</v>
      </c>
      <c r="E3918" s="19"/>
      <c r="F3918" s="15">
        <f t="shared" si="65"/>
        <v>63175001.960000113</v>
      </c>
    </row>
    <row r="3919" spans="1:6" x14ac:dyDescent="0.2">
      <c r="A3919" s="3">
        <v>45869</v>
      </c>
      <c r="B3919" s="43">
        <v>32484</v>
      </c>
      <c r="C3919" s="17" t="s">
        <v>9</v>
      </c>
      <c r="D3919" s="18">
        <v>3431701</v>
      </c>
      <c r="E3919" s="19"/>
      <c r="F3919" s="15">
        <f t="shared" si="65"/>
        <v>59743300.960000113</v>
      </c>
    </row>
    <row r="3920" spans="1:6" x14ac:dyDescent="0.2">
      <c r="A3920" s="3">
        <v>45869</v>
      </c>
      <c r="B3920" s="43">
        <v>32268</v>
      </c>
      <c r="C3920" s="17" t="s">
        <v>9</v>
      </c>
      <c r="D3920" s="18">
        <v>3621337</v>
      </c>
      <c r="E3920" s="19"/>
      <c r="F3920" s="15">
        <f t="shared" si="65"/>
        <v>56121963.960000113</v>
      </c>
    </row>
    <row r="3921" spans="1:6" x14ac:dyDescent="0.2">
      <c r="A3921" s="3">
        <v>45869</v>
      </c>
      <c r="B3921" s="43">
        <v>32425</v>
      </c>
      <c r="C3921" s="17" t="s">
        <v>9</v>
      </c>
      <c r="D3921" s="18">
        <v>6230368.3200000003</v>
      </c>
      <c r="E3921" s="19"/>
      <c r="F3921" s="15">
        <f t="shared" si="65"/>
        <v>49891595.640000112</v>
      </c>
    </row>
    <row r="3922" spans="1:6" x14ac:dyDescent="0.2">
      <c r="A3922" s="3">
        <v>45869</v>
      </c>
      <c r="B3922" s="46">
        <v>6069570</v>
      </c>
      <c r="C3922" s="56" t="s">
        <v>562</v>
      </c>
      <c r="D3922" s="62"/>
      <c r="E3922" s="63">
        <v>473238.61</v>
      </c>
      <c r="F3922" s="15">
        <f t="shared" si="65"/>
        <v>50364834.250000112</v>
      </c>
    </row>
    <row r="3923" spans="1:6" x14ac:dyDescent="0.2">
      <c r="A3923" s="3">
        <v>45869</v>
      </c>
      <c r="B3923" s="44">
        <v>624199</v>
      </c>
      <c r="C3923" s="57" t="s">
        <v>94</v>
      </c>
      <c r="D3923" s="30"/>
      <c r="E3923" s="29">
        <v>628227.69999999995</v>
      </c>
      <c r="F3923" s="15">
        <f t="shared" si="65"/>
        <v>50993061.950000115</v>
      </c>
    </row>
    <row r="3924" spans="1:6" x14ac:dyDescent="0.2">
      <c r="A3924" s="3">
        <v>45869</v>
      </c>
      <c r="B3924" s="45"/>
      <c r="C3924" s="17" t="s">
        <v>95</v>
      </c>
      <c r="D3924" s="25">
        <v>2730</v>
      </c>
      <c r="E3924" s="19"/>
      <c r="F3924" s="15">
        <f t="shared" si="65"/>
        <v>50990331.950000115</v>
      </c>
    </row>
    <row r="3925" spans="1:6" x14ac:dyDescent="0.2">
      <c r="A3925" s="3">
        <v>45869</v>
      </c>
      <c r="B3925" s="45"/>
      <c r="C3925" s="17" t="s">
        <v>232</v>
      </c>
      <c r="D3925" s="25">
        <v>573.29999999999995</v>
      </c>
      <c r="E3925" s="19"/>
      <c r="F3925" s="15">
        <f t="shared" si="65"/>
        <v>50989758.650000118</v>
      </c>
    </row>
    <row r="3926" spans="1:6" x14ac:dyDescent="0.2">
      <c r="A3926" s="3">
        <v>45869</v>
      </c>
      <c r="B3926" s="45"/>
      <c r="C3926" s="17" t="s">
        <v>16</v>
      </c>
      <c r="D3926" s="25">
        <v>137361.69</v>
      </c>
      <c r="E3926" s="19"/>
      <c r="F3926" s="15">
        <f t="shared" si="65"/>
        <v>50852396.96000012</v>
      </c>
    </row>
    <row r="3927" spans="1:6" x14ac:dyDescent="0.2">
      <c r="A3927" s="3">
        <v>45869</v>
      </c>
      <c r="B3927" s="54"/>
      <c r="C3927" s="33" t="s">
        <v>22</v>
      </c>
      <c r="D3927" s="34">
        <v>6608.8</v>
      </c>
      <c r="E3927" s="35"/>
      <c r="F3927" s="15">
        <f t="shared" si="65"/>
        <v>50845788.160000123</v>
      </c>
    </row>
    <row r="3930" spans="1:6" x14ac:dyDescent="0.2">
      <c r="A3930" s="1" t="s">
        <v>0</v>
      </c>
      <c r="B3930" s="1" t="s">
        <v>1</v>
      </c>
      <c r="C3930" s="1" t="s">
        <v>2</v>
      </c>
      <c r="D3930" s="1" t="s">
        <v>3</v>
      </c>
      <c r="E3930" s="1" t="s">
        <v>4</v>
      </c>
      <c r="F3930" s="1" t="s">
        <v>5</v>
      </c>
    </row>
    <row r="3931" spans="1:6" x14ac:dyDescent="0.2">
      <c r="A3931" s="3">
        <v>45870</v>
      </c>
      <c r="B3931" s="41"/>
      <c r="C3931" s="55" t="s">
        <v>6</v>
      </c>
      <c r="D3931" s="6"/>
      <c r="E3931" s="7"/>
      <c r="F3931" s="8">
        <v>50845788.159999996</v>
      </c>
    </row>
    <row r="3932" spans="1:6" x14ac:dyDescent="0.2">
      <c r="A3932" s="3">
        <v>45869</v>
      </c>
      <c r="B3932" s="42"/>
      <c r="C3932" s="12" t="s">
        <v>563</v>
      </c>
      <c r="D3932" s="13">
        <v>1101.47</v>
      </c>
      <c r="E3932" s="14"/>
      <c r="F3932" s="15">
        <f t="shared" ref="F3932:F3995" si="66">+F3931+E3932-D3932</f>
        <v>50844686.689999998</v>
      </c>
    </row>
    <row r="3933" spans="1:6" x14ac:dyDescent="0.2">
      <c r="A3933" s="3">
        <v>45870</v>
      </c>
      <c r="B3933" s="43">
        <v>32447</v>
      </c>
      <c r="C3933" s="17" t="s">
        <v>9</v>
      </c>
      <c r="D3933" s="18">
        <v>89773.25</v>
      </c>
      <c r="E3933" s="19"/>
      <c r="F3933" s="15">
        <f t="shared" si="66"/>
        <v>50754913.439999998</v>
      </c>
    </row>
    <row r="3934" spans="1:6" x14ac:dyDescent="0.2">
      <c r="A3934" s="3">
        <v>45870</v>
      </c>
      <c r="B3934" s="43">
        <v>32391</v>
      </c>
      <c r="C3934" s="17" t="s">
        <v>9</v>
      </c>
      <c r="D3934" s="18">
        <v>140000</v>
      </c>
      <c r="E3934" s="19"/>
      <c r="F3934" s="15">
        <f t="shared" si="66"/>
        <v>50614913.439999998</v>
      </c>
    </row>
    <row r="3935" spans="1:6" x14ac:dyDescent="0.2">
      <c r="A3935" s="3">
        <v>45870</v>
      </c>
      <c r="B3935" s="43">
        <v>32343</v>
      </c>
      <c r="C3935" s="17" t="s">
        <v>9</v>
      </c>
      <c r="D3935" s="18">
        <v>732050</v>
      </c>
      <c r="E3935" s="19"/>
      <c r="F3935" s="15">
        <f t="shared" si="66"/>
        <v>49882863.439999998</v>
      </c>
    </row>
    <row r="3936" spans="1:6" x14ac:dyDescent="0.2">
      <c r="A3936" s="3">
        <v>45870</v>
      </c>
      <c r="B3936" s="43">
        <v>32483</v>
      </c>
      <c r="C3936" s="17" t="s">
        <v>9</v>
      </c>
      <c r="D3936" s="18">
        <v>6623855</v>
      </c>
      <c r="E3936" s="19"/>
      <c r="F3936" s="15">
        <f t="shared" si="66"/>
        <v>43259008.439999998</v>
      </c>
    </row>
    <row r="3937" spans="1:6" x14ac:dyDescent="0.2">
      <c r="A3937" s="3">
        <v>45870</v>
      </c>
      <c r="B3937" s="45"/>
      <c r="C3937" s="17" t="s">
        <v>465</v>
      </c>
      <c r="D3937" s="18">
        <v>1280</v>
      </c>
      <c r="E3937" s="19"/>
      <c r="F3937" s="15">
        <f t="shared" si="66"/>
        <v>43257728.439999998</v>
      </c>
    </row>
    <row r="3938" spans="1:6" x14ac:dyDescent="0.2">
      <c r="A3938" s="3">
        <v>45870</v>
      </c>
      <c r="B3938" s="45"/>
      <c r="C3938" s="17" t="s">
        <v>227</v>
      </c>
      <c r="D3938" s="18">
        <v>268.8</v>
      </c>
      <c r="E3938" s="19"/>
      <c r="F3938" s="15">
        <f t="shared" si="66"/>
        <v>43257459.640000001</v>
      </c>
    </row>
    <row r="3939" spans="1:6" x14ac:dyDescent="0.2">
      <c r="A3939" s="3">
        <v>45870</v>
      </c>
      <c r="B3939" s="45"/>
      <c r="C3939" s="17" t="s">
        <v>468</v>
      </c>
      <c r="D3939" s="18">
        <v>17574.37</v>
      </c>
      <c r="E3939" s="19"/>
      <c r="F3939" s="15">
        <f t="shared" si="66"/>
        <v>43239885.270000003</v>
      </c>
    </row>
    <row r="3940" spans="1:6" x14ac:dyDescent="0.2">
      <c r="A3940" s="3">
        <v>45870</v>
      </c>
      <c r="B3940" s="45"/>
      <c r="C3940" s="17" t="s">
        <v>36</v>
      </c>
      <c r="D3940" s="18">
        <v>263.62</v>
      </c>
      <c r="E3940" s="19"/>
      <c r="F3940" s="15">
        <f t="shared" si="66"/>
        <v>43239621.650000006</v>
      </c>
    </row>
    <row r="3941" spans="1:6" x14ac:dyDescent="0.2">
      <c r="A3941" s="3">
        <v>45870</v>
      </c>
      <c r="B3941" s="45"/>
      <c r="C3941" s="17" t="s">
        <v>227</v>
      </c>
      <c r="D3941" s="18">
        <v>3690.62</v>
      </c>
      <c r="E3941" s="19"/>
      <c r="F3941" s="15">
        <f t="shared" si="66"/>
        <v>43235931.030000009</v>
      </c>
    </row>
    <row r="3942" spans="1:6" x14ac:dyDescent="0.2">
      <c r="A3942" s="3">
        <v>45870</v>
      </c>
      <c r="B3942" s="45"/>
      <c r="C3942" s="17" t="s">
        <v>37</v>
      </c>
      <c r="D3942" s="18">
        <v>527.23</v>
      </c>
      <c r="E3942" s="19"/>
      <c r="F3942" s="15">
        <f t="shared" si="66"/>
        <v>43235403.800000012</v>
      </c>
    </row>
    <row r="3943" spans="1:6" x14ac:dyDescent="0.2">
      <c r="A3943" s="3">
        <v>45870</v>
      </c>
      <c r="B3943" s="45"/>
      <c r="C3943" s="17" t="s">
        <v>16</v>
      </c>
      <c r="D3943" s="18">
        <v>45662.3</v>
      </c>
      <c r="E3943" s="19"/>
      <c r="F3943" s="15">
        <f t="shared" si="66"/>
        <v>43189741.500000015</v>
      </c>
    </row>
    <row r="3944" spans="1:6" x14ac:dyDescent="0.2">
      <c r="A3944" s="3">
        <v>45873</v>
      </c>
      <c r="B3944" s="43">
        <v>32303</v>
      </c>
      <c r="C3944" s="17" t="s">
        <v>9</v>
      </c>
      <c r="D3944" s="18">
        <v>547600</v>
      </c>
      <c r="E3944" s="19"/>
      <c r="F3944" s="15">
        <f t="shared" si="66"/>
        <v>42642141.500000015</v>
      </c>
    </row>
    <row r="3945" spans="1:6" x14ac:dyDescent="0.2">
      <c r="A3945" s="3">
        <v>45873</v>
      </c>
      <c r="B3945" s="43">
        <v>32338</v>
      </c>
      <c r="C3945" s="17" t="s">
        <v>9</v>
      </c>
      <c r="D3945" s="18">
        <v>794925.95</v>
      </c>
      <c r="E3945" s="19"/>
      <c r="F3945" s="15">
        <f t="shared" si="66"/>
        <v>41847215.550000012</v>
      </c>
    </row>
    <row r="3946" spans="1:6" x14ac:dyDescent="0.2">
      <c r="A3946" s="3">
        <v>45873</v>
      </c>
      <c r="B3946" s="43">
        <v>32479</v>
      </c>
      <c r="C3946" s="17" t="s">
        <v>9</v>
      </c>
      <c r="D3946" s="18">
        <v>6298000</v>
      </c>
      <c r="E3946" s="19"/>
      <c r="F3946" s="15">
        <f t="shared" si="66"/>
        <v>35549215.550000012</v>
      </c>
    </row>
    <row r="3947" spans="1:6" x14ac:dyDescent="0.2">
      <c r="A3947" s="3">
        <v>45873</v>
      </c>
      <c r="B3947" s="43">
        <v>32373</v>
      </c>
      <c r="C3947" s="17" t="s">
        <v>9</v>
      </c>
      <c r="D3947" s="18">
        <v>6989318.6799999997</v>
      </c>
      <c r="E3947" s="19"/>
      <c r="F3947" s="15">
        <f t="shared" si="66"/>
        <v>28559896.870000012</v>
      </c>
    </row>
    <row r="3948" spans="1:6" x14ac:dyDescent="0.2">
      <c r="A3948" s="3">
        <v>45873</v>
      </c>
      <c r="B3948" s="43">
        <v>99756214</v>
      </c>
      <c r="C3948" s="20" t="s">
        <v>90</v>
      </c>
      <c r="D3948" s="25"/>
      <c r="E3948" s="25">
        <v>70000000</v>
      </c>
      <c r="F3948" s="15">
        <f t="shared" si="66"/>
        <v>98559896.870000005</v>
      </c>
    </row>
    <row r="3949" spans="1:6" x14ac:dyDescent="0.2">
      <c r="A3949" s="3">
        <v>45873</v>
      </c>
      <c r="B3949" s="43">
        <v>4159020</v>
      </c>
      <c r="C3949" s="20" t="s">
        <v>554</v>
      </c>
      <c r="D3949" s="18">
        <v>480000</v>
      </c>
      <c r="E3949" s="19"/>
      <c r="F3949" s="15">
        <f t="shared" si="66"/>
        <v>98079896.870000005</v>
      </c>
    </row>
    <row r="3950" spans="1:6" x14ac:dyDescent="0.2">
      <c r="A3950" s="3">
        <v>45873</v>
      </c>
      <c r="B3950" s="43">
        <v>99758438</v>
      </c>
      <c r="C3950" s="20" t="s">
        <v>564</v>
      </c>
      <c r="D3950" s="18">
        <v>4240033.5999999996</v>
      </c>
      <c r="E3950" s="19"/>
      <c r="F3950" s="15">
        <f t="shared" si="66"/>
        <v>93839863.270000011</v>
      </c>
    </row>
    <row r="3951" spans="1:6" x14ac:dyDescent="0.2">
      <c r="A3951" s="3">
        <v>45873</v>
      </c>
      <c r="B3951" s="46">
        <v>4159021</v>
      </c>
      <c r="C3951" s="56" t="s">
        <v>554</v>
      </c>
      <c r="D3951" s="48">
        <v>370000</v>
      </c>
      <c r="E3951" s="49"/>
      <c r="F3951" s="15">
        <f t="shared" si="66"/>
        <v>93469863.270000011</v>
      </c>
    </row>
    <row r="3952" spans="1:6" x14ac:dyDescent="0.2">
      <c r="A3952" s="3">
        <v>45873</v>
      </c>
      <c r="B3952" s="44">
        <v>4159022</v>
      </c>
      <c r="C3952" s="57" t="s">
        <v>545</v>
      </c>
      <c r="D3952" s="23">
        <v>1045690.48</v>
      </c>
      <c r="E3952" s="24"/>
      <c r="F3952" s="15">
        <f t="shared" si="66"/>
        <v>92424172.790000007</v>
      </c>
    </row>
    <row r="3953" spans="1:6" x14ac:dyDescent="0.2">
      <c r="A3953" s="3">
        <v>45873</v>
      </c>
      <c r="B3953" s="43">
        <v>99758455</v>
      </c>
      <c r="C3953" s="20" t="s">
        <v>565</v>
      </c>
      <c r="D3953" s="18">
        <v>500000</v>
      </c>
      <c r="E3953" s="19"/>
      <c r="F3953" s="15">
        <f t="shared" si="66"/>
        <v>91924172.790000007</v>
      </c>
    </row>
    <row r="3954" spans="1:6" x14ac:dyDescent="0.2">
      <c r="A3954" s="3">
        <v>45873</v>
      </c>
      <c r="B3954" s="43">
        <v>4159024</v>
      </c>
      <c r="C3954" s="20" t="s">
        <v>380</v>
      </c>
      <c r="D3954" s="18">
        <v>1379630</v>
      </c>
      <c r="E3954" s="19"/>
      <c r="F3954" s="15">
        <f t="shared" si="66"/>
        <v>90544542.790000007</v>
      </c>
    </row>
    <row r="3955" spans="1:6" x14ac:dyDescent="0.2">
      <c r="A3955" s="3">
        <v>45873</v>
      </c>
      <c r="B3955" s="43">
        <v>49527</v>
      </c>
      <c r="C3955" s="20" t="s">
        <v>11</v>
      </c>
      <c r="D3955" s="18">
        <v>11939779</v>
      </c>
      <c r="E3955" s="19"/>
      <c r="F3955" s="15">
        <f t="shared" si="66"/>
        <v>78604763.790000007</v>
      </c>
    </row>
    <row r="3956" spans="1:6" x14ac:dyDescent="0.2">
      <c r="A3956" s="3">
        <v>45873</v>
      </c>
      <c r="B3956" s="43">
        <v>32378</v>
      </c>
      <c r="C3956" s="17" t="s">
        <v>12</v>
      </c>
      <c r="D3956" s="18">
        <v>169079.4</v>
      </c>
      <c r="E3956" s="19"/>
      <c r="F3956" s="15">
        <f t="shared" si="66"/>
        <v>78435684.390000001</v>
      </c>
    </row>
    <row r="3957" spans="1:6" x14ac:dyDescent="0.2">
      <c r="A3957" s="3">
        <v>45873</v>
      </c>
      <c r="B3957" s="43">
        <v>32324</v>
      </c>
      <c r="C3957" s="17" t="s">
        <v>12</v>
      </c>
      <c r="D3957" s="18">
        <v>2588388</v>
      </c>
      <c r="E3957" s="19"/>
      <c r="F3957" s="15">
        <f t="shared" si="66"/>
        <v>75847296.390000001</v>
      </c>
    </row>
    <row r="3958" spans="1:6" x14ac:dyDescent="0.2">
      <c r="A3958" s="3">
        <v>45873</v>
      </c>
      <c r="B3958" s="43">
        <v>32446</v>
      </c>
      <c r="C3958" s="17" t="s">
        <v>12</v>
      </c>
      <c r="D3958" s="18">
        <v>6240062</v>
      </c>
      <c r="E3958" s="19"/>
      <c r="F3958" s="15">
        <f t="shared" si="66"/>
        <v>69607234.390000001</v>
      </c>
    </row>
    <row r="3959" spans="1:6" x14ac:dyDescent="0.2">
      <c r="A3959" s="3">
        <v>45873</v>
      </c>
      <c r="B3959" s="45"/>
      <c r="C3959" s="17" t="s">
        <v>13</v>
      </c>
      <c r="D3959" s="18">
        <v>74071923</v>
      </c>
      <c r="E3959" s="19"/>
      <c r="F3959" s="15">
        <f t="shared" si="66"/>
        <v>-4464688.6099999994</v>
      </c>
    </row>
    <row r="3960" spans="1:6" x14ac:dyDescent="0.2">
      <c r="A3960" s="3">
        <v>45873</v>
      </c>
      <c r="B3960" s="45"/>
      <c r="C3960" s="17" t="s">
        <v>232</v>
      </c>
      <c r="D3960" s="18">
        <v>877.58</v>
      </c>
      <c r="E3960" s="19"/>
      <c r="F3960" s="15">
        <f t="shared" si="66"/>
        <v>-4465566.1899999995</v>
      </c>
    </row>
    <row r="3961" spans="1:6" x14ac:dyDescent="0.2">
      <c r="A3961" s="3">
        <v>45873</v>
      </c>
      <c r="B3961" s="45"/>
      <c r="C3961" s="17" t="s">
        <v>14</v>
      </c>
      <c r="D3961" s="18">
        <v>4178.92</v>
      </c>
      <c r="E3961" s="19"/>
      <c r="F3961" s="15">
        <f t="shared" si="66"/>
        <v>-4469745.1099999994</v>
      </c>
    </row>
    <row r="3962" spans="1:6" x14ac:dyDescent="0.2">
      <c r="A3962" s="3">
        <v>45873</v>
      </c>
      <c r="B3962" s="45"/>
      <c r="C3962" s="17" t="s">
        <v>16</v>
      </c>
      <c r="D3962" s="18">
        <v>705956.92</v>
      </c>
      <c r="E3962" s="19"/>
      <c r="F3962" s="15">
        <f t="shared" si="66"/>
        <v>-5175702.0299999993</v>
      </c>
    </row>
    <row r="3963" spans="1:6" x14ac:dyDescent="0.2">
      <c r="A3963" s="3">
        <v>45873</v>
      </c>
      <c r="B3963" s="45"/>
      <c r="C3963" s="17" t="s">
        <v>22</v>
      </c>
      <c r="D3963" s="18">
        <v>420000</v>
      </c>
      <c r="E3963" s="19"/>
      <c r="F3963" s="15">
        <f t="shared" si="66"/>
        <v>-5595702.0299999993</v>
      </c>
    </row>
    <row r="3964" spans="1:6" x14ac:dyDescent="0.2">
      <c r="A3964" s="3">
        <v>45873</v>
      </c>
      <c r="B3964" s="45"/>
      <c r="C3964" s="20" t="s">
        <v>566</v>
      </c>
      <c r="D3964" s="18">
        <v>140000</v>
      </c>
      <c r="E3964" s="19"/>
      <c r="F3964" s="15">
        <f t="shared" si="66"/>
        <v>-5735702.0299999993</v>
      </c>
    </row>
    <row r="3965" spans="1:6" x14ac:dyDescent="0.2">
      <c r="A3965" s="3">
        <v>45874</v>
      </c>
      <c r="B3965" s="43">
        <v>32385</v>
      </c>
      <c r="C3965" s="17" t="s">
        <v>9</v>
      </c>
      <c r="D3965" s="18">
        <v>108443.4</v>
      </c>
      <c r="E3965" s="19"/>
      <c r="F3965" s="15">
        <f t="shared" si="66"/>
        <v>-5844145.4299999997</v>
      </c>
    </row>
    <row r="3966" spans="1:6" x14ac:dyDescent="0.2">
      <c r="A3966" s="3">
        <v>45874</v>
      </c>
      <c r="B3966" s="43">
        <v>41354424</v>
      </c>
      <c r="C3966" s="17" t="s">
        <v>567</v>
      </c>
      <c r="D3966" s="18">
        <v>56542.76</v>
      </c>
      <c r="E3966" s="19"/>
      <c r="F3966" s="15">
        <f t="shared" si="66"/>
        <v>-5900688.1899999995</v>
      </c>
    </row>
    <row r="3967" spans="1:6" x14ac:dyDescent="0.2">
      <c r="A3967" s="3">
        <v>45874</v>
      </c>
      <c r="B3967" s="43">
        <v>243642</v>
      </c>
      <c r="C3967" s="20" t="s">
        <v>568</v>
      </c>
      <c r="D3967" s="25"/>
      <c r="E3967" s="25">
        <v>10000000</v>
      </c>
      <c r="F3967" s="15">
        <f t="shared" si="66"/>
        <v>4099311.8100000005</v>
      </c>
    </row>
    <row r="3968" spans="1:6" x14ac:dyDescent="0.2">
      <c r="A3968" s="3">
        <v>45874</v>
      </c>
      <c r="B3968" s="43">
        <v>4259129</v>
      </c>
      <c r="C3968" s="20" t="s">
        <v>569</v>
      </c>
      <c r="D3968" s="18">
        <v>2000000</v>
      </c>
      <c r="E3968" s="19"/>
      <c r="F3968" s="15">
        <f t="shared" si="66"/>
        <v>2099311.8100000005</v>
      </c>
    </row>
    <row r="3969" spans="1:6" x14ac:dyDescent="0.2">
      <c r="A3969" s="3">
        <v>45874</v>
      </c>
      <c r="B3969" s="45"/>
      <c r="C3969" s="17" t="s">
        <v>22</v>
      </c>
      <c r="D3969" s="18">
        <v>60000</v>
      </c>
      <c r="E3969" s="19"/>
      <c r="F3969" s="15">
        <f t="shared" si="66"/>
        <v>2039311.8100000005</v>
      </c>
    </row>
    <row r="3970" spans="1:6" x14ac:dyDescent="0.2">
      <c r="A3970" s="3">
        <v>45874</v>
      </c>
      <c r="B3970" s="45"/>
      <c r="C3970" s="17" t="s">
        <v>16</v>
      </c>
      <c r="D3970" s="18">
        <v>13829.92</v>
      </c>
      <c r="E3970" s="19"/>
      <c r="F3970" s="15">
        <f t="shared" si="66"/>
        <v>2025481.8900000006</v>
      </c>
    </row>
    <row r="3971" spans="1:6" x14ac:dyDescent="0.2">
      <c r="A3971" s="3">
        <v>45874</v>
      </c>
      <c r="B3971" s="43">
        <v>11728</v>
      </c>
      <c r="C3971" s="20" t="s">
        <v>477</v>
      </c>
      <c r="D3971" s="18">
        <v>1485</v>
      </c>
      <c r="E3971" s="19"/>
      <c r="F3971" s="15">
        <f t="shared" si="66"/>
        <v>2023996.8900000006</v>
      </c>
    </row>
    <row r="3972" spans="1:6" x14ac:dyDescent="0.2">
      <c r="A3972" s="3">
        <v>45874</v>
      </c>
      <c r="B3972" s="43">
        <v>11728</v>
      </c>
      <c r="C3972" s="17" t="s">
        <v>227</v>
      </c>
      <c r="D3972" s="18">
        <v>311.85000000000002</v>
      </c>
      <c r="E3972" s="19"/>
      <c r="F3972" s="15">
        <f t="shared" si="66"/>
        <v>2023685.0400000005</v>
      </c>
    </row>
    <row r="3973" spans="1:6" x14ac:dyDescent="0.2">
      <c r="A3973" s="3">
        <v>45874</v>
      </c>
      <c r="B3973" s="45"/>
      <c r="C3973" s="20" t="s">
        <v>570</v>
      </c>
      <c r="D3973" s="18">
        <v>20000</v>
      </c>
      <c r="E3973" s="19"/>
      <c r="F3973" s="15">
        <f t="shared" si="66"/>
        <v>2003685.0400000005</v>
      </c>
    </row>
    <row r="3974" spans="1:6" x14ac:dyDescent="0.2">
      <c r="A3974" s="3">
        <v>45875</v>
      </c>
      <c r="B3974" s="43">
        <v>32346</v>
      </c>
      <c r="C3974" s="17" t="s">
        <v>9</v>
      </c>
      <c r="D3974" s="18">
        <v>4127322.19</v>
      </c>
      <c r="E3974" s="19"/>
      <c r="F3974" s="15">
        <f t="shared" si="66"/>
        <v>-2123637.1499999994</v>
      </c>
    </row>
    <row r="3975" spans="1:6" x14ac:dyDescent="0.2">
      <c r="A3975" s="3">
        <v>45875</v>
      </c>
      <c r="B3975" s="43">
        <v>152990</v>
      </c>
      <c r="C3975" s="20" t="s">
        <v>568</v>
      </c>
      <c r="D3975" s="25"/>
      <c r="E3975" s="25">
        <v>3000000</v>
      </c>
      <c r="F3975" s="15">
        <f t="shared" si="66"/>
        <v>876362.85000000056</v>
      </c>
    </row>
    <row r="3976" spans="1:6" x14ac:dyDescent="0.2">
      <c r="A3976" s="3">
        <v>45875</v>
      </c>
      <c r="B3976" s="45"/>
      <c r="C3976" s="17" t="s">
        <v>16</v>
      </c>
      <c r="D3976" s="18">
        <v>24894.71</v>
      </c>
      <c r="E3976" s="19"/>
      <c r="F3976" s="15">
        <f t="shared" si="66"/>
        <v>851468.1400000006</v>
      </c>
    </row>
    <row r="3977" spans="1:6" x14ac:dyDescent="0.2">
      <c r="A3977" s="3">
        <v>45875</v>
      </c>
      <c r="B3977" s="45"/>
      <c r="C3977" s="17" t="s">
        <v>22</v>
      </c>
      <c r="D3977" s="18">
        <v>18000</v>
      </c>
      <c r="E3977" s="19"/>
      <c r="F3977" s="15">
        <f t="shared" si="66"/>
        <v>833468.1400000006</v>
      </c>
    </row>
    <row r="3978" spans="1:6" x14ac:dyDescent="0.2">
      <c r="A3978" s="3">
        <v>45875</v>
      </c>
      <c r="B3978" s="45"/>
      <c r="C3978" s="20" t="s">
        <v>571</v>
      </c>
      <c r="D3978" s="18">
        <v>6000</v>
      </c>
      <c r="E3978" s="19"/>
      <c r="F3978" s="15">
        <f t="shared" si="66"/>
        <v>827468.1400000006</v>
      </c>
    </row>
    <row r="3979" spans="1:6" x14ac:dyDescent="0.2">
      <c r="A3979" s="3">
        <v>45876</v>
      </c>
      <c r="B3979" s="45"/>
      <c r="C3979" s="20" t="s">
        <v>572</v>
      </c>
      <c r="D3979" s="18">
        <v>135954.16</v>
      </c>
      <c r="E3979" s="19"/>
      <c r="F3979" s="15">
        <f t="shared" si="66"/>
        <v>691513.98000000056</v>
      </c>
    </row>
    <row r="3980" spans="1:6" x14ac:dyDescent="0.2">
      <c r="A3980" s="3">
        <v>45876</v>
      </c>
      <c r="B3980" s="45"/>
      <c r="C3980" s="17" t="s">
        <v>36</v>
      </c>
      <c r="D3980" s="18">
        <v>2039.31</v>
      </c>
      <c r="E3980" s="19"/>
      <c r="F3980" s="15">
        <f t="shared" si="66"/>
        <v>689474.67000000051</v>
      </c>
    </row>
    <row r="3981" spans="1:6" x14ac:dyDescent="0.2">
      <c r="A3981" s="3">
        <v>45876</v>
      </c>
      <c r="B3981" s="45"/>
      <c r="C3981" s="17" t="s">
        <v>339</v>
      </c>
      <c r="D3981" s="18">
        <v>14275.19</v>
      </c>
      <c r="E3981" s="19"/>
      <c r="F3981" s="15">
        <f t="shared" si="66"/>
        <v>675199.48000000056</v>
      </c>
    </row>
    <row r="3982" spans="1:6" x14ac:dyDescent="0.2">
      <c r="A3982" s="3">
        <v>45876</v>
      </c>
      <c r="B3982" s="45"/>
      <c r="C3982" s="17" t="s">
        <v>153</v>
      </c>
      <c r="D3982" s="18">
        <v>2039.31</v>
      </c>
      <c r="E3982" s="19"/>
      <c r="F3982" s="15">
        <f t="shared" si="66"/>
        <v>673160.17000000051</v>
      </c>
    </row>
    <row r="3983" spans="1:6" x14ac:dyDescent="0.2">
      <c r="A3983" s="3">
        <v>45876</v>
      </c>
      <c r="B3983" s="45"/>
      <c r="C3983" s="17" t="s">
        <v>154</v>
      </c>
      <c r="D3983" s="18">
        <v>1919.35</v>
      </c>
      <c r="E3983" s="19"/>
      <c r="F3983" s="15">
        <f t="shared" si="66"/>
        <v>671240.82000000053</v>
      </c>
    </row>
    <row r="3984" spans="1:6" x14ac:dyDescent="0.2">
      <c r="A3984" s="3">
        <v>45876</v>
      </c>
      <c r="B3984" s="45"/>
      <c r="C3984" s="17" t="s">
        <v>16</v>
      </c>
      <c r="D3984" s="18">
        <v>973.37</v>
      </c>
      <c r="E3984" s="19"/>
      <c r="F3984" s="15">
        <f t="shared" si="66"/>
        <v>670267.45000000054</v>
      </c>
    </row>
    <row r="3985" spans="1:6" x14ac:dyDescent="0.2">
      <c r="A3985" s="3">
        <v>45877</v>
      </c>
      <c r="B3985" s="45"/>
      <c r="C3985" s="17" t="s">
        <v>468</v>
      </c>
      <c r="D3985" s="18">
        <v>650.66</v>
      </c>
      <c r="E3985" s="19"/>
      <c r="F3985" s="15">
        <f t="shared" si="66"/>
        <v>669616.7900000005</v>
      </c>
    </row>
    <row r="3986" spans="1:6" x14ac:dyDescent="0.2">
      <c r="A3986" s="3">
        <v>45877</v>
      </c>
      <c r="B3986" s="45"/>
      <c r="C3986" s="17" t="s">
        <v>227</v>
      </c>
      <c r="D3986" s="18">
        <v>136.63999999999999</v>
      </c>
      <c r="E3986" s="19"/>
      <c r="F3986" s="15">
        <f t="shared" si="66"/>
        <v>669480.15000000049</v>
      </c>
    </row>
    <row r="3987" spans="1:6" x14ac:dyDescent="0.2">
      <c r="A3987" s="3">
        <v>45877</v>
      </c>
      <c r="B3987" s="43">
        <v>32402</v>
      </c>
      <c r="C3987" s="17" t="s">
        <v>12</v>
      </c>
      <c r="D3987" s="18">
        <v>1214714.1599999999</v>
      </c>
      <c r="E3987" s="19"/>
      <c r="F3987" s="15">
        <f t="shared" si="66"/>
        <v>-545234.00999999943</v>
      </c>
    </row>
    <row r="3988" spans="1:6" x14ac:dyDescent="0.2">
      <c r="A3988" s="3">
        <v>45877</v>
      </c>
      <c r="B3988" s="45"/>
      <c r="C3988" s="17" t="s">
        <v>16</v>
      </c>
      <c r="D3988" s="18">
        <v>7293</v>
      </c>
      <c r="E3988" s="19"/>
      <c r="F3988" s="15">
        <f t="shared" si="66"/>
        <v>-552527.00999999943</v>
      </c>
    </row>
    <row r="3989" spans="1:6" x14ac:dyDescent="0.2">
      <c r="A3989" s="3">
        <v>45880</v>
      </c>
      <c r="B3989" s="43">
        <v>32458</v>
      </c>
      <c r="C3989" s="17" t="s">
        <v>9</v>
      </c>
      <c r="D3989" s="18">
        <v>140000</v>
      </c>
      <c r="E3989" s="19"/>
      <c r="F3989" s="15">
        <f t="shared" si="66"/>
        <v>-692527.00999999943</v>
      </c>
    </row>
    <row r="3990" spans="1:6" x14ac:dyDescent="0.2">
      <c r="A3990" s="3">
        <v>45880</v>
      </c>
      <c r="B3990" s="45"/>
      <c r="C3990" s="17" t="s">
        <v>468</v>
      </c>
      <c r="D3990" s="18">
        <v>12741.82</v>
      </c>
      <c r="E3990" s="19"/>
      <c r="F3990" s="15">
        <f t="shared" si="66"/>
        <v>-705268.82999999938</v>
      </c>
    </row>
    <row r="3991" spans="1:6" x14ac:dyDescent="0.2">
      <c r="A3991" s="3">
        <v>45880</v>
      </c>
      <c r="B3991" s="45"/>
      <c r="C3991" s="17" t="s">
        <v>36</v>
      </c>
      <c r="D3991" s="18">
        <v>191.13</v>
      </c>
      <c r="E3991" s="19"/>
      <c r="F3991" s="15">
        <f t="shared" si="66"/>
        <v>-705459.95999999938</v>
      </c>
    </row>
    <row r="3992" spans="1:6" x14ac:dyDescent="0.2">
      <c r="A3992" s="3">
        <v>45880</v>
      </c>
      <c r="B3992" s="45"/>
      <c r="C3992" s="17" t="s">
        <v>227</v>
      </c>
      <c r="D3992" s="18">
        <v>2675.78</v>
      </c>
      <c r="E3992" s="19"/>
      <c r="F3992" s="15">
        <f t="shared" si="66"/>
        <v>-708135.73999999941</v>
      </c>
    </row>
    <row r="3993" spans="1:6" x14ac:dyDescent="0.2">
      <c r="A3993" s="3">
        <v>45880</v>
      </c>
      <c r="B3993" s="51"/>
      <c r="C3993" s="58" t="s">
        <v>37</v>
      </c>
      <c r="D3993" s="48">
        <v>382.25</v>
      </c>
      <c r="E3993" s="49"/>
      <c r="F3993" s="15">
        <f t="shared" si="66"/>
        <v>-708517.98999999941</v>
      </c>
    </row>
    <row r="3994" spans="1:6" x14ac:dyDescent="0.2">
      <c r="A3994" s="3">
        <v>45880</v>
      </c>
      <c r="B3994" s="44">
        <v>605847</v>
      </c>
      <c r="C3994" s="57" t="s">
        <v>568</v>
      </c>
      <c r="D3994" s="53"/>
      <c r="E3994" s="53">
        <v>6000000</v>
      </c>
      <c r="F3994" s="15">
        <f t="shared" si="66"/>
        <v>5291482.0100000007</v>
      </c>
    </row>
    <row r="3995" spans="1:6" x14ac:dyDescent="0.2">
      <c r="A3995" s="3">
        <v>45880</v>
      </c>
      <c r="B3995" s="43">
        <v>4107295</v>
      </c>
      <c r="C3995" s="20" t="s">
        <v>146</v>
      </c>
      <c r="D3995" s="18">
        <v>4325936.6399999997</v>
      </c>
      <c r="E3995" s="19"/>
      <c r="F3995" s="15">
        <f t="shared" si="66"/>
        <v>965545.37000000104</v>
      </c>
    </row>
    <row r="3996" spans="1:6" x14ac:dyDescent="0.2">
      <c r="A3996" s="3">
        <v>45880</v>
      </c>
      <c r="B3996" s="45"/>
      <c r="C3996" s="17" t="s">
        <v>22</v>
      </c>
      <c r="D3996" s="18">
        <v>36000</v>
      </c>
      <c r="E3996" s="19"/>
      <c r="F3996" s="15">
        <f t="shared" ref="F3996:F4059" si="67">+F3995+E3996-D3996</f>
        <v>929545.37000000104</v>
      </c>
    </row>
    <row r="3997" spans="1:6" x14ac:dyDescent="0.2">
      <c r="A3997" s="3">
        <v>45880</v>
      </c>
      <c r="B3997" s="45"/>
      <c r="C3997" s="17" t="s">
        <v>16</v>
      </c>
      <c r="D3997" s="18">
        <v>26891.56</v>
      </c>
      <c r="E3997" s="19"/>
      <c r="F3997" s="15">
        <f t="shared" si="67"/>
        <v>902653.81000000099</v>
      </c>
    </row>
    <row r="3998" spans="1:6" x14ac:dyDescent="0.2">
      <c r="A3998" s="3">
        <v>45880</v>
      </c>
      <c r="B3998" s="43">
        <v>16361</v>
      </c>
      <c r="C3998" s="20" t="s">
        <v>477</v>
      </c>
      <c r="D3998" s="18">
        <v>1485</v>
      </c>
      <c r="E3998" s="19"/>
      <c r="F3998" s="15">
        <f t="shared" si="67"/>
        <v>901168.81000000099</v>
      </c>
    </row>
    <row r="3999" spans="1:6" x14ac:dyDescent="0.2">
      <c r="A3999" s="3">
        <v>45880</v>
      </c>
      <c r="B3999" s="43">
        <v>16361</v>
      </c>
      <c r="C3999" s="17" t="s">
        <v>227</v>
      </c>
      <c r="D3999" s="18">
        <v>311.85000000000002</v>
      </c>
      <c r="E3999" s="19"/>
      <c r="F3999" s="15">
        <f t="shared" si="67"/>
        <v>900856.96000000101</v>
      </c>
    </row>
    <row r="4000" spans="1:6" x14ac:dyDescent="0.2">
      <c r="A4000" s="3">
        <v>45880</v>
      </c>
      <c r="B4000" s="45"/>
      <c r="C4000" s="20" t="s">
        <v>573</v>
      </c>
      <c r="D4000" s="18">
        <v>12000</v>
      </c>
      <c r="E4000" s="19"/>
      <c r="F4000" s="15">
        <f t="shared" si="67"/>
        <v>888856.96000000101</v>
      </c>
    </row>
    <row r="4001" spans="1:6" x14ac:dyDescent="0.2">
      <c r="A4001" s="3">
        <v>45881</v>
      </c>
      <c r="B4001" s="43">
        <v>32518</v>
      </c>
      <c r="C4001" s="17" t="s">
        <v>9</v>
      </c>
      <c r="D4001" s="18">
        <v>1423178.96</v>
      </c>
      <c r="E4001" s="19"/>
      <c r="F4001" s="15">
        <f t="shared" si="67"/>
        <v>-534321.99999999895</v>
      </c>
    </row>
    <row r="4002" spans="1:6" x14ac:dyDescent="0.2">
      <c r="A4002" s="3">
        <v>45881</v>
      </c>
      <c r="B4002" s="43">
        <v>500559</v>
      </c>
      <c r="C4002" s="20" t="s">
        <v>568</v>
      </c>
      <c r="D4002" s="25"/>
      <c r="E4002" s="25">
        <v>1000000</v>
      </c>
      <c r="F4002" s="15">
        <f t="shared" si="67"/>
        <v>465678.00000000105</v>
      </c>
    </row>
    <row r="4003" spans="1:6" x14ac:dyDescent="0.2">
      <c r="A4003" s="3">
        <v>45881</v>
      </c>
      <c r="B4003" s="43">
        <v>8023841</v>
      </c>
      <c r="C4003" s="20" t="s">
        <v>574</v>
      </c>
      <c r="D4003" s="19"/>
      <c r="E4003" s="18">
        <v>62918.28</v>
      </c>
      <c r="F4003" s="15">
        <f t="shared" si="67"/>
        <v>528596.28000000108</v>
      </c>
    </row>
    <row r="4004" spans="1:6" x14ac:dyDescent="0.2">
      <c r="A4004" s="3">
        <v>45881</v>
      </c>
      <c r="B4004" s="43">
        <v>8072357</v>
      </c>
      <c r="C4004" s="20" t="s">
        <v>575</v>
      </c>
      <c r="D4004" s="19"/>
      <c r="E4004" s="18">
        <v>168639.33</v>
      </c>
      <c r="F4004" s="15">
        <f t="shared" si="67"/>
        <v>697235.61000000103</v>
      </c>
    </row>
    <row r="4005" spans="1:6" x14ac:dyDescent="0.2">
      <c r="A4005" s="3">
        <v>45881</v>
      </c>
      <c r="B4005" s="43">
        <v>84660866</v>
      </c>
      <c r="C4005" s="20" t="s">
        <v>576</v>
      </c>
      <c r="D4005" s="19"/>
      <c r="E4005" s="18">
        <v>32000</v>
      </c>
      <c r="F4005" s="15">
        <f t="shared" si="67"/>
        <v>729235.61000000103</v>
      </c>
    </row>
    <row r="4006" spans="1:6" x14ac:dyDescent="0.2">
      <c r="A4006" s="3">
        <v>45881</v>
      </c>
      <c r="B4006" s="43">
        <v>227211</v>
      </c>
      <c r="C4006" s="20" t="s">
        <v>577</v>
      </c>
      <c r="D4006" s="19"/>
      <c r="E4006" s="18">
        <v>38895.910000000003</v>
      </c>
      <c r="F4006" s="15">
        <f t="shared" si="67"/>
        <v>768131.52000000107</v>
      </c>
    </row>
    <row r="4007" spans="1:6" x14ac:dyDescent="0.2">
      <c r="A4007" s="3">
        <v>45881</v>
      </c>
      <c r="B4007" s="45"/>
      <c r="C4007" s="17" t="s">
        <v>22</v>
      </c>
      <c r="D4007" s="18">
        <v>7814.73</v>
      </c>
      <c r="E4007" s="19"/>
      <c r="F4007" s="15">
        <f t="shared" si="67"/>
        <v>760316.79000000108</v>
      </c>
    </row>
    <row r="4008" spans="1:6" x14ac:dyDescent="0.2">
      <c r="A4008" s="3">
        <v>45881</v>
      </c>
      <c r="B4008" s="45"/>
      <c r="C4008" s="17" t="s">
        <v>16</v>
      </c>
      <c r="D4008" s="18">
        <v>8621.85</v>
      </c>
      <c r="E4008" s="19"/>
      <c r="F4008" s="15">
        <f t="shared" si="67"/>
        <v>751694.94000000111</v>
      </c>
    </row>
    <row r="4009" spans="1:6" x14ac:dyDescent="0.2">
      <c r="A4009" s="3">
        <v>45881</v>
      </c>
      <c r="B4009" s="45"/>
      <c r="C4009" s="20" t="s">
        <v>578</v>
      </c>
      <c r="D4009" s="18">
        <v>2604.91</v>
      </c>
      <c r="E4009" s="19"/>
      <c r="F4009" s="15">
        <f t="shared" si="67"/>
        <v>749090.03000000108</v>
      </c>
    </row>
    <row r="4010" spans="1:6" x14ac:dyDescent="0.2">
      <c r="A4010" s="3">
        <v>45882</v>
      </c>
      <c r="B4010" s="45"/>
      <c r="C4010" s="17" t="s">
        <v>16</v>
      </c>
      <c r="D4010" s="18">
        <v>15.63</v>
      </c>
      <c r="E4010" s="19"/>
      <c r="F4010" s="15">
        <f t="shared" si="67"/>
        <v>749074.40000000107</v>
      </c>
    </row>
    <row r="4011" spans="1:6" x14ac:dyDescent="0.2">
      <c r="A4011" s="3">
        <v>45883</v>
      </c>
      <c r="B4011" s="45"/>
      <c r="C4011" s="17" t="s">
        <v>468</v>
      </c>
      <c r="D4011" s="18">
        <v>840</v>
      </c>
      <c r="E4011" s="19"/>
      <c r="F4011" s="15">
        <f t="shared" si="67"/>
        <v>748234.40000000107</v>
      </c>
    </row>
    <row r="4012" spans="1:6" x14ac:dyDescent="0.2">
      <c r="A4012" s="3">
        <v>45883</v>
      </c>
      <c r="B4012" s="45"/>
      <c r="C4012" s="17" t="s">
        <v>227</v>
      </c>
      <c r="D4012" s="18">
        <v>176.4</v>
      </c>
      <c r="E4012" s="19"/>
      <c r="F4012" s="15">
        <f t="shared" si="67"/>
        <v>748058.00000000105</v>
      </c>
    </row>
    <row r="4013" spans="1:6" x14ac:dyDescent="0.2">
      <c r="A4013" s="3">
        <v>45883</v>
      </c>
      <c r="B4013" s="43">
        <v>32366</v>
      </c>
      <c r="C4013" s="17" t="s">
        <v>12</v>
      </c>
      <c r="D4013" s="18">
        <v>3431701.68</v>
      </c>
      <c r="E4013" s="19"/>
      <c r="F4013" s="15">
        <f t="shared" si="67"/>
        <v>-2683643.6799999992</v>
      </c>
    </row>
    <row r="4014" spans="1:6" x14ac:dyDescent="0.2">
      <c r="A4014" s="3">
        <v>45883</v>
      </c>
      <c r="B4014" s="45"/>
      <c r="C4014" s="17" t="s">
        <v>16</v>
      </c>
      <c r="D4014" s="18">
        <v>20596.310000000001</v>
      </c>
      <c r="E4014" s="19"/>
      <c r="F4014" s="15">
        <f t="shared" si="67"/>
        <v>-2704239.9899999993</v>
      </c>
    </row>
    <row r="4015" spans="1:6" x14ac:dyDescent="0.2">
      <c r="A4015" s="3">
        <v>45884</v>
      </c>
      <c r="B4015" s="43">
        <v>10336261</v>
      </c>
      <c r="C4015" s="20" t="s">
        <v>332</v>
      </c>
      <c r="D4015" s="25"/>
      <c r="E4015" s="25">
        <v>3000000</v>
      </c>
      <c r="F4015" s="15">
        <f t="shared" si="67"/>
        <v>295760.01000000071</v>
      </c>
    </row>
    <row r="4016" spans="1:6" x14ac:dyDescent="0.2">
      <c r="A4016" s="3">
        <v>45884</v>
      </c>
      <c r="B4016" s="43">
        <v>14482404</v>
      </c>
      <c r="C4016" s="20" t="s">
        <v>579</v>
      </c>
      <c r="D4016" s="19"/>
      <c r="E4016" s="18">
        <v>57800</v>
      </c>
      <c r="F4016" s="15">
        <f t="shared" si="67"/>
        <v>353560.01000000071</v>
      </c>
    </row>
    <row r="4017" spans="1:6" x14ac:dyDescent="0.2">
      <c r="A4017" s="3">
        <v>45887</v>
      </c>
      <c r="B4017" s="45"/>
      <c r="C4017" s="17" t="s">
        <v>468</v>
      </c>
      <c r="D4017" s="18">
        <v>3205.93</v>
      </c>
      <c r="E4017" s="19"/>
      <c r="F4017" s="15">
        <f t="shared" si="67"/>
        <v>350354.08000000071</v>
      </c>
    </row>
    <row r="4018" spans="1:6" x14ac:dyDescent="0.2">
      <c r="A4018" s="3">
        <v>45887</v>
      </c>
      <c r="B4018" s="45"/>
      <c r="C4018" s="17" t="s">
        <v>227</v>
      </c>
      <c r="D4018" s="18">
        <v>673.25</v>
      </c>
      <c r="E4018" s="19"/>
      <c r="F4018" s="15">
        <f t="shared" si="67"/>
        <v>349680.83000000071</v>
      </c>
    </row>
    <row r="4019" spans="1:6" x14ac:dyDescent="0.2">
      <c r="A4019" s="3">
        <v>45887</v>
      </c>
      <c r="B4019" s="45"/>
      <c r="C4019" s="17" t="s">
        <v>37</v>
      </c>
      <c r="D4019" s="18">
        <v>96.18</v>
      </c>
      <c r="E4019" s="19"/>
      <c r="F4019" s="15">
        <f t="shared" si="67"/>
        <v>349584.65000000072</v>
      </c>
    </row>
    <row r="4020" spans="1:6" x14ac:dyDescent="0.2">
      <c r="A4020" s="3">
        <v>45887</v>
      </c>
      <c r="B4020" s="46">
        <v>445934</v>
      </c>
      <c r="C4020" s="56" t="s">
        <v>351</v>
      </c>
      <c r="D4020" s="62"/>
      <c r="E4020" s="63">
        <v>29020.9</v>
      </c>
      <c r="F4020" s="15">
        <f t="shared" si="67"/>
        <v>378605.55000000075</v>
      </c>
    </row>
    <row r="4021" spans="1:6" x14ac:dyDescent="0.2">
      <c r="A4021" s="3">
        <v>45887</v>
      </c>
      <c r="B4021" s="50"/>
      <c r="C4021" s="59" t="s">
        <v>16</v>
      </c>
      <c r="D4021" s="23">
        <v>23.86</v>
      </c>
      <c r="E4021" s="24"/>
      <c r="F4021" s="15">
        <f t="shared" si="67"/>
        <v>378581.69000000076</v>
      </c>
    </row>
    <row r="4022" spans="1:6" x14ac:dyDescent="0.2">
      <c r="A4022" s="3">
        <v>45887</v>
      </c>
      <c r="B4022" s="45"/>
      <c r="C4022" s="17" t="s">
        <v>22</v>
      </c>
      <c r="D4022" s="18">
        <v>18520.93</v>
      </c>
      <c r="E4022" s="19"/>
      <c r="F4022" s="15">
        <f t="shared" si="67"/>
        <v>360060.76000000077</v>
      </c>
    </row>
    <row r="4023" spans="1:6" x14ac:dyDescent="0.2">
      <c r="A4023" s="3">
        <v>45887</v>
      </c>
      <c r="B4023" s="45"/>
      <c r="C4023" s="20" t="s">
        <v>580</v>
      </c>
      <c r="D4023" s="18">
        <v>6173.64</v>
      </c>
      <c r="E4023" s="19"/>
      <c r="F4023" s="15">
        <f t="shared" si="67"/>
        <v>353887.12000000075</v>
      </c>
    </row>
    <row r="4024" spans="1:6" x14ac:dyDescent="0.2">
      <c r="A4024" s="3">
        <v>45888</v>
      </c>
      <c r="B4024" s="43">
        <v>32400</v>
      </c>
      <c r="C4024" s="17" t="s">
        <v>9</v>
      </c>
      <c r="D4024" s="18">
        <v>14250</v>
      </c>
      <c r="E4024" s="19"/>
      <c r="F4024" s="15">
        <f t="shared" si="67"/>
        <v>339637.12000000075</v>
      </c>
    </row>
    <row r="4025" spans="1:6" x14ac:dyDescent="0.2">
      <c r="A4025" s="3">
        <v>45888</v>
      </c>
      <c r="B4025" s="43">
        <v>535379</v>
      </c>
      <c r="C4025" s="20" t="s">
        <v>217</v>
      </c>
      <c r="D4025" s="25"/>
      <c r="E4025" s="25">
        <v>10000000</v>
      </c>
      <c r="F4025" s="15">
        <f t="shared" si="67"/>
        <v>10339637.120000001</v>
      </c>
    </row>
    <row r="4026" spans="1:6" x14ac:dyDescent="0.2">
      <c r="A4026" s="3">
        <v>45888</v>
      </c>
      <c r="B4026" s="43">
        <v>552909</v>
      </c>
      <c r="C4026" s="20" t="s">
        <v>217</v>
      </c>
      <c r="D4026" s="25"/>
      <c r="E4026" s="25">
        <v>30000000</v>
      </c>
      <c r="F4026" s="15">
        <f t="shared" si="67"/>
        <v>40339637.120000005</v>
      </c>
    </row>
    <row r="4027" spans="1:6" x14ac:dyDescent="0.2">
      <c r="A4027" s="3">
        <v>45888</v>
      </c>
      <c r="B4027" s="45"/>
      <c r="C4027" s="17" t="s">
        <v>16</v>
      </c>
      <c r="D4027" s="18">
        <v>122.54</v>
      </c>
      <c r="E4027" s="19"/>
      <c r="F4027" s="15">
        <f t="shared" si="67"/>
        <v>40339514.580000006</v>
      </c>
    </row>
    <row r="4028" spans="1:6" x14ac:dyDescent="0.2">
      <c r="A4028" s="3">
        <v>45889</v>
      </c>
      <c r="B4028" s="43">
        <v>404405</v>
      </c>
      <c r="C4028" s="20" t="s">
        <v>581</v>
      </c>
      <c r="D4028" s="19"/>
      <c r="E4028" s="18">
        <v>17000</v>
      </c>
      <c r="F4028" s="15">
        <f t="shared" si="67"/>
        <v>40356514.580000006</v>
      </c>
    </row>
    <row r="4029" spans="1:6" x14ac:dyDescent="0.2">
      <c r="A4029" s="3">
        <v>45889</v>
      </c>
      <c r="B4029" s="43">
        <v>553128</v>
      </c>
      <c r="C4029" s="20" t="s">
        <v>582</v>
      </c>
      <c r="D4029" s="25"/>
      <c r="E4029" s="25">
        <v>2322960.0699999998</v>
      </c>
      <c r="F4029" s="15">
        <f t="shared" si="67"/>
        <v>42679474.650000006</v>
      </c>
    </row>
    <row r="4030" spans="1:6" x14ac:dyDescent="0.2">
      <c r="A4030" s="3">
        <v>45889</v>
      </c>
      <c r="B4030" s="43">
        <v>32521</v>
      </c>
      <c r="C4030" s="20" t="s">
        <v>97</v>
      </c>
      <c r="D4030" s="18">
        <v>50000</v>
      </c>
      <c r="E4030" s="19"/>
      <c r="F4030" s="15">
        <f t="shared" si="67"/>
        <v>42629474.650000006</v>
      </c>
    </row>
    <row r="4031" spans="1:6" x14ac:dyDescent="0.2">
      <c r="A4031" s="3">
        <v>45889</v>
      </c>
      <c r="B4031" s="43">
        <v>43425339</v>
      </c>
      <c r="C4031" s="20" t="s">
        <v>583</v>
      </c>
      <c r="D4031" s="19"/>
      <c r="E4031" s="18">
        <v>17000</v>
      </c>
      <c r="F4031" s="15">
        <f t="shared" si="67"/>
        <v>42646474.650000006</v>
      </c>
    </row>
    <row r="4032" spans="1:6" x14ac:dyDescent="0.2">
      <c r="A4032" s="3">
        <v>45889</v>
      </c>
      <c r="B4032" s="43">
        <v>618746</v>
      </c>
      <c r="C4032" s="20" t="s">
        <v>217</v>
      </c>
      <c r="D4032" s="25"/>
      <c r="E4032" s="25">
        <v>50000000</v>
      </c>
      <c r="F4032" s="15">
        <f t="shared" si="67"/>
        <v>92646474.650000006</v>
      </c>
    </row>
    <row r="4033" spans="1:6" x14ac:dyDescent="0.2">
      <c r="A4033" s="3">
        <v>45889</v>
      </c>
      <c r="B4033" s="43">
        <v>619191</v>
      </c>
      <c r="C4033" s="20" t="s">
        <v>217</v>
      </c>
      <c r="D4033" s="25"/>
      <c r="E4033" s="25">
        <v>100000000</v>
      </c>
      <c r="F4033" s="15">
        <f t="shared" si="67"/>
        <v>192646474.65000001</v>
      </c>
    </row>
    <row r="4034" spans="1:6" x14ac:dyDescent="0.2">
      <c r="A4034" s="3">
        <v>45889</v>
      </c>
      <c r="B4034" s="43">
        <v>44618821</v>
      </c>
      <c r="C4034" s="17" t="s">
        <v>41</v>
      </c>
      <c r="D4034" s="18">
        <v>110000000</v>
      </c>
      <c r="E4034" s="19"/>
      <c r="F4034" s="15">
        <f t="shared" si="67"/>
        <v>82646474.650000006</v>
      </c>
    </row>
    <row r="4035" spans="1:6" x14ac:dyDescent="0.2">
      <c r="A4035" s="3">
        <v>45889</v>
      </c>
      <c r="B4035" s="43">
        <v>4033116</v>
      </c>
      <c r="C4035" s="20" t="s">
        <v>51</v>
      </c>
      <c r="D4035" s="18">
        <v>240000</v>
      </c>
      <c r="E4035" s="19"/>
      <c r="F4035" s="15">
        <f t="shared" si="67"/>
        <v>82406474.650000006</v>
      </c>
    </row>
    <row r="4036" spans="1:6" x14ac:dyDescent="0.2">
      <c r="A4036" s="3">
        <v>45889</v>
      </c>
      <c r="B4036" s="43">
        <v>4033118</v>
      </c>
      <c r="C4036" s="20" t="s">
        <v>584</v>
      </c>
      <c r="D4036" s="18">
        <v>1139735.3</v>
      </c>
      <c r="E4036" s="19"/>
      <c r="F4036" s="15">
        <f t="shared" si="67"/>
        <v>81266739.350000009</v>
      </c>
    </row>
    <row r="4037" spans="1:6" x14ac:dyDescent="0.2">
      <c r="A4037" s="3">
        <v>45889</v>
      </c>
      <c r="B4037" s="43">
        <v>4033119</v>
      </c>
      <c r="C4037" s="20" t="s">
        <v>431</v>
      </c>
      <c r="D4037" s="18">
        <v>253000</v>
      </c>
      <c r="E4037" s="19"/>
      <c r="F4037" s="15">
        <f t="shared" si="67"/>
        <v>81013739.350000009</v>
      </c>
    </row>
    <row r="4038" spans="1:6" x14ac:dyDescent="0.2">
      <c r="A4038" s="3">
        <v>45889</v>
      </c>
      <c r="B4038" s="43">
        <v>67084768</v>
      </c>
      <c r="C4038" s="20" t="s">
        <v>585</v>
      </c>
      <c r="D4038" s="18">
        <v>85000</v>
      </c>
      <c r="E4038" s="19"/>
      <c r="F4038" s="15">
        <f t="shared" si="67"/>
        <v>80928739.350000009</v>
      </c>
    </row>
    <row r="4039" spans="1:6" x14ac:dyDescent="0.2">
      <c r="A4039" s="3">
        <v>45889</v>
      </c>
      <c r="B4039" s="43">
        <v>4033120</v>
      </c>
      <c r="C4039" s="20" t="s">
        <v>59</v>
      </c>
      <c r="D4039" s="18">
        <v>3171423.51</v>
      </c>
      <c r="E4039" s="19"/>
      <c r="F4039" s="15">
        <f t="shared" si="67"/>
        <v>77757315.840000004</v>
      </c>
    </row>
    <row r="4040" spans="1:6" x14ac:dyDescent="0.2">
      <c r="A4040" s="3">
        <v>45889</v>
      </c>
      <c r="B4040" s="43">
        <v>4033121</v>
      </c>
      <c r="C4040" s="20" t="s">
        <v>139</v>
      </c>
      <c r="D4040" s="18">
        <v>555331.49</v>
      </c>
      <c r="E4040" s="19"/>
      <c r="F4040" s="15">
        <f t="shared" si="67"/>
        <v>77201984.350000009</v>
      </c>
    </row>
    <row r="4041" spans="1:6" x14ac:dyDescent="0.2">
      <c r="A4041" s="3">
        <v>45889</v>
      </c>
      <c r="B4041" s="43">
        <v>16339863</v>
      </c>
      <c r="C4041" s="20" t="s">
        <v>470</v>
      </c>
      <c r="D4041" s="18">
        <v>290000</v>
      </c>
      <c r="E4041" s="19"/>
      <c r="F4041" s="15">
        <f t="shared" si="67"/>
        <v>76911984.350000009</v>
      </c>
    </row>
    <row r="4042" spans="1:6" x14ac:dyDescent="0.2">
      <c r="A4042" s="3">
        <v>45889</v>
      </c>
      <c r="B4042" s="43">
        <v>67085070</v>
      </c>
      <c r="C4042" s="20" t="s">
        <v>565</v>
      </c>
      <c r="D4042" s="18">
        <v>500000</v>
      </c>
      <c r="E4042" s="19"/>
      <c r="F4042" s="15">
        <f t="shared" si="67"/>
        <v>76411984.350000009</v>
      </c>
    </row>
    <row r="4043" spans="1:6" x14ac:dyDescent="0.2">
      <c r="A4043" s="3">
        <v>45889</v>
      </c>
      <c r="B4043" s="46">
        <v>69803633</v>
      </c>
      <c r="C4043" s="56" t="s">
        <v>117</v>
      </c>
      <c r="D4043" s="48">
        <v>226756.36</v>
      </c>
      <c r="E4043" s="49"/>
      <c r="F4043" s="15">
        <f t="shared" si="67"/>
        <v>76185227.99000001</v>
      </c>
    </row>
    <row r="4044" spans="1:6" x14ac:dyDescent="0.2">
      <c r="A4044" s="3">
        <v>45889</v>
      </c>
      <c r="B4044" s="44">
        <v>70868485</v>
      </c>
      <c r="C4044" s="57" t="s">
        <v>65</v>
      </c>
      <c r="D4044" s="23">
        <v>198401.7</v>
      </c>
      <c r="E4044" s="24"/>
      <c r="F4044" s="15">
        <f t="shared" si="67"/>
        <v>75986826.290000007</v>
      </c>
    </row>
    <row r="4045" spans="1:6" x14ac:dyDescent="0.2">
      <c r="A4045" s="3">
        <v>45889</v>
      </c>
      <c r="B4045" s="43">
        <v>71946600</v>
      </c>
      <c r="C4045" s="20" t="s">
        <v>66</v>
      </c>
      <c r="D4045" s="18">
        <v>717412.58</v>
      </c>
      <c r="E4045" s="19"/>
      <c r="F4045" s="15">
        <f t="shared" si="67"/>
        <v>75269413.710000008</v>
      </c>
    </row>
    <row r="4046" spans="1:6" x14ac:dyDescent="0.2">
      <c r="A4046" s="3">
        <v>45889</v>
      </c>
      <c r="B4046" s="43">
        <v>72931876</v>
      </c>
      <c r="C4046" s="20" t="s">
        <v>63</v>
      </c>
      <c r="D4046" s="18">
        <v>24530.11</v>
      </c>
      <c r="E4046" s="19"/>
      <c r="F4046" s="15">
        <f t="shared" si="67"/>
        <v>75244883.600000009</v>
      </c>
    </row>
    <row r="4047" spans="1:6" x14ac:dyDescent="0.2">
      <c r="A4047" s="3">
        <v>45889</v>
      </c>
      <c r="B4047" s="43">
        <v>73935758</v>
      </c>
      <c r="C4047" s="20" t="s">
        <v>222</v>
      </c>
      <c r="D4047" s="18">
        <v>575641.56000000006</v>
      </c>
      <c r="E4047" s="19"/>
      <c r="F4047" s="15">
        <f t="shared" si="67"/>
        <v>74669242.040000007</v>
      </c>
    </row>
    <row r="4048" spans="1:6" x14ac:dyDescent="0.2">
      <c r="A4048" s="3">
        <v>45889</v>
      </c>
      <c r="B4048" s="43">
        <v>74925794</v>
      </c>
      <c r="C4048" s="20" t="s">
        <v>168</v>
      </c>
      <c r="D4048" s="18">
        <v>168783</v>
      </c>
      <c r="E4048" s="19"/>
      <c r="F4048" s="15">
        <f t="shared" si="67"/>
        <v>74500459.040000007</v>
      </c>
    </row>
    <row r="4049" spans="1:6" x14ac:dyDescent="0.2">
      <c r="A4049" s="3">
        <v>45889</v>
      </c>
      <c r="B4049" s="43">
        <v>75869125</v>
      </c>
      <c r="C4049" s="20" t="s">
        <v>169</v>
      </c>
      <c r="D4049" s="18">
        <v>137047.6</v>
      </c>
      <c r="E4049" s="19"/>
      <c r="F4049" s="15">
        <f t="shared" si="67"/>
        <v>74363411.440000013</v>
      </c>
    </row>
    <row r="4050" spans="1:6" x14ac:dyDescent="0.2">
      <c r="A4050" s="3">
        <v>45889</v>
      </c>
      <c r="B4050" s="43">
        <v>76834604</v>
      </c>
      <c r="C4050" s="20" t="s">
        <v>166</v>
      </c>
      <c r="D4050" s="18">
        <v>420721.4</v>
      </c>
      <c r="E4050" s="19"/>
      <c r="F4050" s="15">
        <f t="shared" si="67"/>
        <v>73942690.040000007</v>
      </c>
    </row>
    <row r="4051" spans="1:6" x14ac:dyDescent="0.2">
      <c r="A4051" s="3">
        <v>45889</v>
      </c>
      <c r="B4051" s="43">
        <v>483</v>
      </c>
      <c r="C4051" s="20" t="s">
        <v>11</v>
      </c>
      <c r="D4051" s="18">
        <v>1846913</v>
      </c>
      <c r="E4051" s="19"/>
      <c r="F4051" s="15">
        <f t="shared" si="67"/>
        <v>72095777.040000007</v>
      </c>
    </row>
    <row r="4052" spans="1:6" x14ac:dyDescent="0.2">
      <c r="A4052" s="3">
        <v>45889</v>
      </c>
      <c r="B4052" s="43">
        <v>2958700</v>
      </c>
      <c r="C4052" s="20" t="s">
        <v>165</v>
      </c>
      <c r="D4052" s="18">
        <v>281254.5</v>
      </c>
      <c r="E4052" s="19"/>
      <c r="F4052" s="15">
        <f t="shared" si="67"/>
        <v>71814522.540000007</v>
      </c>
    </row>
    <row r="4053" spans="1:6" x14ac:dyDescent="0.2">
      <c r="A4053" s="3">
        <v>45889</v>
      </c>
      <c r="B4053" s="43">
        <v>4545225</v>
      </c>
      <c r="C4053" s="20" t="s">
        <v>117</v>
      </c>
      <c r="D4053" s="18">
        <v>491347.72</v>
      </c>
      <c r="E4053" s="19"/>
      <c r="F4053" s="15">
        <f t="shared" si="67"/>
        <v>71323174.820000008</v>
      </c>
    </row>
    <row r="4054" spans="1:6" x14ac:dyDescent="0.2">
      <c r="A4054" s="3">
        <v>45889</v>
      </c>
      <c r="B4054" s="43">
        <v>5630406</v>
      </c>
      <c r="C4054" s="20" t="s">
        <v>64</v>
      </c>
      <c r="D4054" s="18">
        <v>371400.55</v>
      </c>
      <c r="E4054" s="19"/>
      <c r="F4054" s="15">
        <f t="shared" si="67"/>
        <v>70951774.270000011</v>
      </c>
    </row>
    <row r="4055" spans="1:6" x14ac:dyDescent="0.2">
      <c r="A4055" s="3">
        <v>45889</v>
      </c>
      <c r="B4055" s="43">
        <v>7720947</v>
      </c>
      <c r="C4055" s="20" t="s">
        <v>67</v>
      </c>
      <c r="D4055" s="18">
        <v>26147.14</v>
      </c>
      <c r="E4055" s="19"/>
      <c r="F4055" s="15">
        <f t="shared" si="67"/>
        <v>70925627.13000001</v>
      </c>
    </row>
    <row r="4056" spans="1:6" x14ac:dyDescent="0.2">
      <c r="A4056" s="3">
        <v>45889</v>
      </c>
      <c r="B4056" s="43">
        <v>9192962</v>
      </c>
      <c r="C4056" s="20" t="s">
        <v>177</v>
      </c>
      <c r="D4056" s="18">
        <v>2681645.7000000002</v>
      </c>
      <c r="E4056" s="19"/>
      <c r="F4056" s="15">
        <f t="shared" si="67"/>
        <v>68243981.430000007</v>
      </c>
    </row>
    <row r="4057" spans="1:6" x14ac:dyDescent="0.2">
      <c r="A4057" s="3">
        <v>45889</v>
      </c>
      <c r="B4057" s="43">
        <v>10144597</v>
      </c>
      <c r="C4057" s="20" t="s">
        <v>100</v>
      </c>
      <c r="D4057" s="18">
        <v>480969.3</v>
      </c>
      <c r="E4057" s="19"/>
      <c r="F4057" s="15">
        <f t="shared" si="67"/>
        <v>67763012.13000001</v>
      </c>
    </row>
    <row r="4058" spans="1:6" x14ac:dyDescent="0.2">
      <c r="A4058" s="3">
        <v>45889</v>
      </c>
      <c r="B4058" s="43">
        <v>11121736</v>
      </c>
      <c r="C4058" s="20" t="s">
        <v>68</v>
      </c>
      <c r="D4058" s="18">
        <v>36162.68</v>
      </c>
      <c r="E4058" s="19"/>
      <c r="F4058" s="15">
        <f t="shared" si="67"/>
        <v>67726849.450000003</v>
      </c>
    </row>
    <row r="4059" spans="1:6" x14ac:dyDescent="0.2">
      <c r="A4059" s="3">
        <v>45889</v>
      </c>
      <c r="B4059" s="43">
        <v>12188317</v>
      </c>
      <c r="C4059" s="20" t="s">
        <v>69</v>
      </c>
      <c r="D4059" s="18">
        <v>32322.12</v>
      </c>
      <c r="E4059" s="19"/>
      <c r="F4059" s="15">
        <f t="shared" si="67"/>
        <v>67694527.329999998</v>
      </c>
    </row>
    <row r="4060" spans="1:6" x14ac:dyDescent="0.2">
      <c r="A4060" s="3">
        <v>45889</v>
      </c>
      <c r="B4060" s="43">
        <v>25093633</v>
      </c>
      <c r="C4060" s="20" t="s">
        <v>101</v>
      </c>
      <c r="D4060" s="18">
        <v>176169.48</v>
      </c>
      <c r="E4060" s="19"/>
      <c r="F4060" s="15">
        <f t="shared" ref="F4060:F4123" si="68">+F4059+E4060-D4060</f>
        <v>67518357.849999994</v>
      </c>
    </row>
    <row r="4061" spans="1:6" x14ac:dyDescent="0.2">
      <c r="A4061" s="3">
        <v>45889</v>
      </c>
      <c r="B4061" s="43">
        <v>26065133</v>
      </c>
      <c r="C4061" s="20" t="s">
        <v>71</v>
      </c>
      <c r="D4061" s="18">
        <v>61305.65</v>
      </c>
      <c r="E4061" s="19"/>
      <c r="F4061" s="15">
        <f t="shared" si="68"/>
        <v>67457052.199999988</v>
      </c>
    </row>
    <row r="4062" spans="1:6" x14ac:dyDescent="0.2">
      <c r="A4062" s="3">
        <v>45889</v>
      </c>
      <c r="B4062" s="43">
        <v>28025810</v>
      </c>
      <c r="C4062" s="20" t="s">
        <v>70</v>
      </c>
      <c r="D4062" s="18">
        <v>23552.3</v>
      </c>
      <c r="E4062" s="19"/>
      <c r="F4062" s="15">
        <f t="shared" si="68"/>
        <v>67433499.899999991</v>
      </c>
    </row>
    <row r="4063" spans="1:6" x14ac:dyDescent="0.2">
      <c r="A4063" s="3">
        <v>45889</v>
      </c>
      <c r="B4063" s="43">
        <v>29159115</v>
      </c>
      <c r="C4063" s="20" t="s">
        <v>61</v>
      </c>
      <c r="D4063" s="18">
        <v>122647.5</v>
      </c>
      <c r="E4063" s="19"/>
      <c r="F4063" s="15">
        <f t="shared" si="68"/>
        <v>67310852.399999991</v>
      </c>
    </row>
    <row r="4064" spans="1:6" x14ac:dyDescent="0.2">
      <c r="A4064" s="3">
        <v>45889</v>
      </c>
      <c r="B4064" s="43">
        <v>12074</v>
      </c>
      <c r="C4064" s="20" t="s">
        <v>21</v>
      </c>
      <c r="D4064" s="19"/>
      <c r="E4064" s="18">
        <v>678234.79</v>
      </c>
      <c r="F4064" s="15">
        <f t="shared" si="68"/>
        <v>67989087.189999998</v>
      </c>
    </row>
    <row r="4065" spans="1:6" x14ac:dyDescent="0.2">
      <c r="A4065" s="3">
        <v>45889</v>
      </c>
      <c r="B4065" s="43">
        <v>32520</v>
      </c>
      <c r="C4065" s="17" t="s">
        <v>12</v>
      </c>
      <c r="D4065" s="18">
        <v>229785.58</v>
      </c>
      <c r="E4065" s="19"/>
      <c r="F4065" s="15">
        <f t="shared" si="68"/>
        <v>67759301.609999999</v>
      </c>
    </row>
    <row r="4066" spans="1:6" x14ac:dyDescent="0.2">
      <c r="A4066" s="3">
        <v>45889</v>
      </c>
      <c r="B4066" s="45"/>
      <c r="C4066" s="17" t="s">
        <v>13</v>
      </c>
      <c r="D4066" s="18">
        <v>27750727</v>
      </c>
      <c r="E4066" s="19"/>
      <c r="F4066" s="15">
        <f t="shared" si="68"/>
        <v>40008574.609999999</v>
      </c>
    </row>
    <row r="4067" spans="1:6" x14ac:dyDescent="0.2">
      <c r="A4067" s="3">
        <v>45889</v>
      </c>
      <c r="B4067" s="45"/>
      <c r="C4067" s="17" t="s">
        <v>232</v>
      </c>
      <c r="D4067" s="18">
        <v>135.75</v>
      </c>
      <c r="E4067" s="19"/>
      <c r="F4067" s="15">
        <f t="shared" si="68"/>
        <v>40008438.859999999</v>
      </c>
    </row>
    <row r="4068" spans="1:6" x14ac:dyDescent="0.2">
      <c r="A4068" s="3">
        <v>45889</v>
      </c>
      <c r="B4068" s="45"/>
      <c r="C4068" s="17" t="s">
        <v>14</v>
      </c>
      <c r="D4068" s="18">
        <v>646.42999999999995</v>
      </c>
      <c r="E4068" s="19"/>
      <c r="F4068" s="15">
        <f t="shared" si="68"/>
        <v>40007792.43</v>
      </c>
    </row>
    <row r="4069" spans="1:6" x14ac:dyDescent="0.2">
      <c r="A4069" s="3">
        <v>45889</v>
      </c>
      <c r="B4069" s="51"/>
      <c r="C4069" s="58" t="s">
        <v>22</v>
      </c>
      <c r="D4069" s="48">
        <v>18211.169999999998</v>
      </c>
      <c r="E4069" s="49"/>
      <c r="F4069" s="15">
        <f t="shared" si="68"/>
        <v>39989581.259999998</v>
      </c>
    </row>
    <row r="4070" spans="1:6" x14ac:dyDescent="0.2">
      <c r="A4070" s="3">
        <v>45889</v>
      </c>
      <c r="B4070" s="50"/>
      <c r="C4070" s="59" t="s">
        <v>16</v>
      </c>
      <c r="D4070" s="23">
        <v>259901.51</v>
      </c>
      <c r="E4070" s="24"/>
      <c r="F4070" s="15">
        <f t="shared" si="68"/>
        <v>39729679.75</v>
      </c>
    </row>
    <row r="4071" spans="1:6" x14ac:dyDescent="0.2">
      <c r="A4071" s="3">
        <v>45889</v>
      </c>
      <c r="B4071" s="45"/>
      <c r="C4071" s="17" t="s">
        <v>34</v>
      </c>
      <c r="D4071" s="18">
        <v>600</v>
      </c>
      <c r="E4071" s="19"/>
      <c r="F4071" s="15">
        <f t="shared" si="68"/>
        <v>39729079.75</v>
      </c>
    </row>
    <row r="4072" spans="1:6" x14ac:dyDescent="0.2">
      <c r="A4072" s="3">
        <v>45889</v>
      </c>
      <c r="B4072" s="43">
        <v>14308</v>
      </c>
      <c r="C4072" s="20" t="s">
        <v>477</v>
      </c>
      <c r="D4072" s="18">
        <v>720</v>
      </c>
      <c r="E4072" s="19"/>
      <c r="F4072" s="15">
        <f t="shared" si="68"/>
        <v>39728359.75</v>
      </c>
    </row>
    <row r="4073" spans="1:6" x14ac:dyDescent="0.2">
      <c r="A4073" s="3">
        <v>45889</v>
      </c>
      <c r="B4073" s="43">
        <v>14308</v>
      </c>
      <c r="C4073" s="17" t="s">
        <v>227</v>
      </c>
      <c r="D4073" s="18">
        <v>151.19999999999999</v>
      </c>
      <c r="E4073" s="19"/>
      <c r="F4073" s="15">
        <f t="shared" si="68"/>
        <v>39728208.549999997</v>
      </c>
    </row>
    <row r="4074" spans="1:6" x14ac:dyDescent="0.2">
      <c r="A4074" s="3">
        <v>45889</v>
      </c>
      <c r="B4074" s="43">
        <v>14309</v>
      </c>
      <c r="C4074" s="20" t="s">
        <v>477</v>
      </c>
      <c r="D4074" s="18">
        <v>720</v>
      </c>
      <c r="E4074" s="19"/>
      <c r="F4074" s="15">
        <f t="shared" si="68"/>
        <v>39727488.549999997</v>
      </c>
    </row>
    <row r="4075" spans="1:6" x14ac:dyDescent="0.2">
      <c r="A4075" s="3">
        <v>45889</v>
      </c>
      <c r="B4075" s="43">
        <v>14309</v>
      </c>
      <c r="C4075" s="17" t="s">
        <v>227</v>
      </c>
      <c r="D4075" s="18">
        <v>151.19999999999999</v>
      </c>
      <c r="E4075" s="19"/>
      <c r="F4075" s="15">
        <f t="shared" si="68"/>
        <v>39727337.349999994</v>
      </c>
    </row>
    <row r="4076" spans="1:6" x14ac:dyDescent="0.2">
      <c r="A4076" s="3">
        <v>45889</v>
      </c>
      <c r="B4076" s="43">
        <v>14310</v>
      </c>
      <c r="C4076" s="20" t="s">
        <v>477</v>
      </c>
      <c r="D4076" s="18">
        <v>1485</v>
      </c>
      <c r="E4076" s="19"/>
      <c r="F4076" s="15">
        <f t="shared" si="68"/>
        <v>39725852.349999994</v>
      </c>
    </row>
    <row r="4077" spans="1:6" x14ac:dyDescent="0.2">
      <c r="A4077" s="3">
        <v>45889</v>
      </c>
      <c r="B4077" s="43">
        <v>14310</v>
      </c>
      <c r="C4077" s="17" t="s">
        <v>227</v>
      </c>
      <c r="D4077" s="18">
        <v>311.85000000000002</v>
      </c>
      <c r="E4077" s="19"/>
      <c r="F4077" s="15">
        <f t="shared" si="68"/>
        <v>39725540.499999993</v>
      </c>
    </row>
    <row r="4078" spans="1:6" x14ac:dyDescent="0.2">
      <c r="A4078" s="3">
        <v>45889</v>
      </c>
      <c r="B4078" s="43">
        <v>14311</v>
      </c>
      <c r="C4078" s="20" t="s">
        <v>477</v>
      </c>
      <c r="D4078" s="18">
        <v>1485</v>
      </c>
      <c r="E4078" s="19"/>
      <c r="F4078" s="15">
        <f t="shared" si="68"/>
        <v>39724055.499999993</v>
      </c>
    </row>
    <row r="4079" spans="1:6" x14ac:dyDescent="0.2">
      <c r="A4079" s="3">
        <v>45889</v>
      </c>
      <c r="B4079" s="43">
        <v>14311</v>
      </c>
      <c r="C4079" s="17" t="s">
        <v>227</v>
      </c>
      <c r="D4079" s="18">
        <v>311.85000000000002</v>
      </c>
      <c r="E4079" s="19"/>
      <c r="F4079" s="15">
        <f t="shared" si="68"/>
        <v>39723743.649999991</v>
      </c>
    </row>
    <row r="4080" spans="1:6" x14ac:dyDescent="0.2">
      <c r="A4080" s="3">
        <v>45889</v>
      </c>
      <c r="B4080" s="43">
        <v>14312</v>
      </c>
      <c r="C4080" s="20" t="s">
        <v>477</v>
      </c>
      <c r="D4080" s="18">
        <v>1485</v>
      </c>
      <c r="E4080" s="19"/>
      <c r="F4080" s="15">
        <f t="shared" si="68"/>
        <v>39722258.649999991</v>
      </c>
    </row>
    <row r="4081" spans="1:6" x14ac:dyDescent="0.2">
      <c r="A4081" s="3">
        <v>45889</v>
      </c>
      <c r="B4081" s="43">
        <v>14312</v>
      </c>
      <c r="C4081" s="17" t="s">
        <v>227</v>
      </c>
      <c r="D4081" s="18">
        <v>311.85000000000002</v>
      </c>
      <c r="E4081" s="19"/>
      <c r="F4081" s="15">
        <f t="shared" si="68"/>
        <v>39721946.79999999</v>
      </c>
    </row>
    <row r="4082" spans="1:6" x14ac:dyDescent="0.2">
      <c r="A4082" s="3">
        <v>45889</v>
      </c>
      <c r="B4082" s="45"/>
      <c r="C4082" s="20" t="s">
        <v>586</v>
      </c>
      <c r="D4082" s="18">
        <v>6070.39</v>
      </c>
      <c r="E4082" s="19"/>
      <c r="F4082" s="15">
        <f t="shared" si="68"/>
        <v>39715876.409999989</v>
      </c>
    </row>
    <row r="4083" spans="1:6" x14ac:dyDescent="0.2">
      <c r="A4083" s="3">
        <v>45890</v>
      </c>
      <c r="B4083" s="43">
        <v>1307</v>
      </c>
      <c r="C4083" s="17" t="s">
        <v>24</v>
      </c>
      <c r="D4083" s="19"/>
      <c r="E4083" s="18">
        <v>33742.6</v>
      </c>
      <c r="F4083" s="15">
        <f t="shared" si="68"/>
        <v>39749619.00999999</v>
      </c>
    </row>
    <row r="4084" spans="1:6" x14ac:dyDescent="0.2">
      <c r="A4084" s="3">
        <v>45890</v>
      </c>
      <c r="B4084" s="43">
        <v>32421</v>
      </c>
      <c r="C4084" s="17" t="s">
        <v>9</v>
      </c>
      <c r="D4084" s="18">
        <v>1202427.04</v>
      </c>
      <c r="E4084" s="19"/>
      <c r="F4084" s="15">
        <f t="shared" si="68"/>
        <v>38547191.969999991</v>
      </c>
    </row>
    <row r="4085" spans="1:6" x14ac:dyDescent="0.2">
      <c r="A4085" s="3">
        <v>45890</v>
      </c>
      <c r="B4085" s="43">
        <v>32475</v>
      </c>
      <c r="C4085" s="17" t="s">
        <v>9</v>
      </c>
      <c r="D4085" s="18">
        <v>1393050</v>
      </c>
      <c r="E4085" s="19"/>
      <c r="F4085" s="15">
        <f t="shared" si="68"/>
        <v>37154141.969999991</v>
      </c>
    </row>
    <row r="4086" spans="1:6" x14ac:dyDescent="0.2">
      <c r="A4086" s="3">
        <v>45890</v>
      </c>
      <c r="B4086" s="43">
        <v>32473</v>
      </c>
      <c r="C4086" s="17" t="s">
        <v>9</v>
      </c>
      <c r="D4086" s="18">
        <v>2113600</v>
      </c>
      <c r="E4086" s="19"/>
      <c r="F4086" s="15">
        <f t="shared" si="68"/>
        <v>35040541.969999991</v>
      </c>
    </row>
    <row r="4087" spans="1:6" x14ac:dyDescent="0.2">
      <c r="A4087" s="3">
        <v>45890</v>
      </c>
      <c r="B4087" s="45"/>
      <c r="C4087" s="20" t="s">
        <v>493</v>
      </c>
      <c r="D4087" s="18">
        <v>1320</v>
      </c>
      <c r="E4087" s="19"/>
      <c r="F4087" s="15">
        <f t="shared" si="68"/>
        <v>35039221.969999991</v>
      </c>
    </row>
    <row r="4088" spans="1:6" x14ac:dyDescent="0.2">
      <c r="A4088" s="3">
        <v>45890</v>
      </c>
      <c r="B4088" s="45"/>
      <c r="C4088" s="17" t="s">
        <v>227</v>
      </c>
      <c r="D4088" s="18">
        <v>277.2</v>
      </c>
      <c r="E4088" s="19"/>
      <c r="F4088" s="15">
        <f t="shared" si="68"/>
        <v>35038944.769999988</v>
      </c>
    </row>
    <row r="4089" spans="1:6" x14ac:dyDescent="0.2">
      <c r="A4089" s="3">
        <v>45890</v>
      </c>
      <c r="B4089" s="43">
        <v>591334</v>
      </c>
      <c r="C4089" s="20" t="s">
        <v>217</v>
      </c>
      <c r="D4089" s="25"/>
      <c r="E4089" s="25">
        <v>150000000</v>
      </c>
      <c r="F4089" s="15">
        <f t="shared" si="68"/>
        <v>185038944.76999998</v>
      </c>
    </row>
    <row r="4090" spans="1:6" x14ac:dyDescent="0.2">
      <c r="A4090" s="3">
        <v>45890</v>
      </c>
      <c r="B4090" s="43">
        <v>44638928</v>
      </c>
      <c r="C4090" s="17" t="s">
        <v>41</v>
      </c>
      <c r="D4090" s="18">
        <v>175000000</v>
      </c>
      <c r="E4090" s="18"/>
      <c r="F4090" s="15">
        <f t="shared" si="68"/>
        <v>10038944.769999981</v>
      </c>
    </row>
    <row r="4091" spans="1:6" x14ac:dyDescent="0.2">
      <c r="A4091" s="3">
        <v>45890</v>
      </c>
      <c r="B4091" s="43">
        <v>32522</v>
      </c>
      <c r="C4091" s="20" t="s">
        <v>97</v>
      </c>
      <c r="D4091" s="18">
        <v>50000</v>
      </c>
      <c r="E4091" s="19"/>
      <c r="F4091" s="15">
        <f t="shared" si="68"/>
        <v>9988944.7699999809</v>
      </c>
    </row>
    <row r="4092" spans="1:6" x14ac:dyDescent="0.2">
      <c r="A4092" s="3">
        <v>45890</v>
      </c>
      <c r="B4092" s="45"/>
      <c r="C4092" s="17" t="s">
        <v>34</v>
      </c>
      <c r="D4092" s="18">
        <v>600</v>
      </c>
      <c r="E4092" s="19"/>
      <c r="F4092" s="15">
        <f t="shared" si="68"/>
        <v>9988344.7699999809</v>
      </c>
    </row>
    <row r="4093" spans="1:6" x14ac:dyDescent="0.2">
      <c r="A4093" s="3">
        <v>45890</v>
      </c>
      <c r="B4093" s="45"/>
      <c r="C4093" s="17" t="s">
        <v>22</v>
      </c>
      <c r="D4093" s="18">
        <v>202.46</v>
      </c>
      <c r="E4093" s="19"/>
      <c r="F4093" s="15">
        <f t="shared" si="68"/>
        <v>9988142.30999998</v>
      </c>
    </row>
    <row r="4094" spans="1:6" x14ac:dyDescent="0.2">
      <c r="A4094" s="3">
        <v>45890</v>
      </c>
      <c r="B4094" s="45"/>
      <c r="C4094" s="17" t="s">
        <v>16</v>
      </c>
      <c r="D4094" s="18">
        <v>28343.26</v>
      </c>
      <c r="E4094" s="19"/>
      <c r="F4094" s="15">
        <f t="shared" si="68"/>
        <v>9959799.0499999803</v>
      </c>
    </row>
    <row r="4095" spans="1:6" x14ac:dyDescent="0.2">
      <c r="A4095" s="3">
        <v>45890</v>
      </c>
      <c r="B4095" s="45"/>
      <c r="C4095" s="20" t="s">
        <v>587</v>
      </c>
      <c r="D4095" s="18">
        <v>67.489999999999995</v>
      </c>
      <c r="E4095" s="19"/>
      <c r="F4095" s="15">
        <f t="shared" si="68"/>
        <v>9959731.55999998</v>
      </c>
    </row>
    <row r="4096" spans="1:6" x14ac:dyDescent="0.2">
      <c r="A4096" s="3">
        <v>45891</v>
      </c>
      <c r="B4096" s="46">
        <v>4184</v>
      </c>
      <c r="C4096" s="56" t="s">
        <v>76</v>
      </c>
      <c r="D4096" s="48">
        <v>603588.34</v>
      </c>
      <c r="E4096" s="49"/>
      <c r="F4096" s="15">
        <f t="shared" si="68"/>
        <v>9356143.2199999802</v>
      </c>
    </row>
    <row r="4097" spans="1:6" x14ac:dyDescent="0.2">
      <c r="A4097" s="3">
        <v>45891</v>
      </c>
      <c r="B4097" s="50"/>
      <c r="C4097" s="57" t="s">
        <v>493</v>
      </c>
      <c r="D4097" s="23">
        <v>1320</v>
      </c>
      <c r="E4097" s="24"/>
      <c r="F4097" s="15">
        <f t="shared" si="68"/>
        <v>9354823.2199999802</v>
      </c>
    </row>
    <row r="4098" spans="1:6" x14ac:dyDescent="0.2">
      <c r="A4098" s="3">
        <v>45891</v>
      </c>
      <c r="B4098" s="45"/>
      <c r="C4098" s="17" t="s">
        <v>227</v>
      </c>
      <c r="D4098" s="18">
        <v>277.2</v>
      </c>
      <c r="E4098" s="19"/>
      <c r="F4098" s="15">
        <f t="shared" si="68"/>
        <v>9354546.0199999809</v>
      </c>
    </row>
    <row r="4099" spans="1:6" x14ac:dyDescent="0.2">
      <c r="A4099" s="3">
        <v>45891</v>
      </c>
      <c r="B4099" s="43">
        <v>32523</v>
      </c>
      <c r="C4099" s="20" t="s">
        <v>97</v>
      </c>
      <c r="D4099" s="18">
        <v>50000</v>
      </c>
      <c r="E4099" s="19"/>
      <c r="F4099" s="15">
        <f t="shared" si="68"/>
        <v>9304546.0199999809</v>
      </c>
    </row>
    <row r="4100" spans="1:6" x14ac:dyDescent="0.2">
      <c r="A4100" s="3">
        <v>45891</v>
      </c>
      <c r="B4100" s="45"/>
      <c r="C4100" s="17" t="s">
        <v>16</v>
      </c>
      <c r="D4100" s="18">
        <v>3631.51</v>
      </c>
      <c r="E4100" s="19"/>
      <c r="F4100" s="15">
        <f t="shared" si="68"/>
        <v>9300914.5099999812</v>
      </c>
    </row>
    <row r="4101" spans="1:6" x14ac:dyDescent="0.2">
      <c r="A4101" s="3">
        <v>45891</v>
      </c>
      <c r="B4101" s="45"/>
      <c r="C4101" s="17" t="s">
        <v>34</v>
      </c>
      <c r="D4101" s="18">
        <v>600</v>
      </c>
      <c r="E4101" s="19"/>
      <c r="F4101" s="15">
        <f t="shared" si="68"/>
        <v>9300314.5099999812</v>
      </c>
    </row>
    <row r="4102" spans="1:6" x14ac:dyDescent="0.2">
      <c r="A4102" s="3">
        <v>45893</v>
      </c>
      <c r="B4102" s="43">
        <v>79609631</v>
      </c>
      <c r="C4102" s="20" t="s">
        <v>588</v>
      </c>
      <c r="D4102" s="19"/>
      <c r="E4102" s="18">
        <v>22100</v>
      </c>
      <c r="F4102" s="15">
        <f t="shared" si="68"/>
        <v>9322414.5099999812</v>
      </c>
    </row>
    <row r="4103" spans="1:6" x14ac:dyDescent="0.2">
      <c r="A4103" s="3">
        <v>45894</v>
      </c>
      <c r="B4103" s="45"/>
      <c r="C4103" s="20" t="s">
        <v>493</v>
      </c>
      <c r="D4103" s="18">
        <v>1320</v>
      </c>
      <c r="E4103" s="19"/>
      <c r="F4103" s="15">
        <f t="shared" si="68"/>
        <v>9321094.5099999812</v>
      </c>
    </row>
    <row r="4104" spans="1:6" x14ac:dyDescent="0.2">
      <c r="A4104" s="3">
        <v>45894</v>
      </c>
      <c r="B4104" s="45"/>
      <c r="C4104" s="17" t="s">
        <v>227</v>
      </c>
      <c r="D4104" s="18">
        <v>277.2</v>
      </c>
      <c r="E4104" s="19"/>
      <c r="F4104" s="15">
        <f t="shared" si="68"/>
        <v>9320817.3099999819</v>
      </c>
    </row>
    <row r="4105" spans="1:6" x14ac:dyDescent="0.2">
      <c r="A4105" s="3">
        <v>45894</v>
      </c>
      <c r="B4105" s="43">
        <v>719628</v>
      </c>
      <c r="C4105" s="20" t="s">
        <v>589</v>
      </c>
      <c r="D4105" s="19"/>
      <c r="E4105" s="18">
        <v>101088.8</v>
      </c>
      <c r="F4105" s="15">
        <f t="shared" si="68"/>
        <v>9421906.1099999826</v>
      </c>
    </row>
    <row r="4106" spans="1:6" x14ac:dyDescent="0.2">
      <c r="A4106" s="3">
        <v>45894</v>
      </c>
      <c r="B4106" s="43">
        <v>32524</v>
      </c>
      <c r="C4106" s="20" t="s">
        <v>98</v>
      </c>
      <c r="D4106" s="18">
        <v>50000</v>
      </c>
      <c r="E4106" s="19"/>
      <c r="F4106" s="15">
        <f t="shared" si="68"/>
        <v>9371906.1099999826</v>
      </c>
    </row>
    <row r="4107" spans="1:6" x14ac:dyDescent="0.2">
      <c r="A4107" s="3">
        <v>45894</v>
      </c>
      <c r="B4107" s="43">
        <v>745042</v>
      </c>
      <c r="C4107" s="20" t="s">
        <v>217</v>
      </c>
      <c r="D4107" s="25"/>
      <c r="E4107" s="25">
        <v>56000000</v>
      </c>
      <c r="F4107" s="15">
        <f t="shared" si="68"/>
        <v>65371906.109999985</v>
      </c>
    </row>
    <row r="4108" spans="1:6" x14ac:dyDescent="0.2">
      <c r="A4108" s="3">
        <v>45894</v>
      </c>
      <c r="B4108" s="43">
        <v>4280177</v>
      </c>
      <c r="C4108" s="20" t="s">
        <v>451</v>
      </c>
      <c r="D4108" s="18">
        <v>60000000</v>
      </c>
      <c r="E4108" s="19"/>
      <c r="F4108" s="15">
        <f t="shared" si="68"/>
        <v>5371906.1099999845</v>
      </c>
    </row>
    <row r="4109" spans="1:6" x14ac:dyDescent="0.2">
      <c r="A4109" s="3">
        <v>45894</v>
      </c>
      <c r="B4109" s="43">
        <v>32257</v>
      </c>
      <c r="C4109" s="17" t="s">
        <v>12</v>
      </c>
      <c r="D4109" s="18">
        <v>11856716</v>
      </c>
      <c r="E4109" s="19"/>
      <c r="F4109" s="15">
        <f t="shared" si="68"/>
        <v>-6484809.8900000155</v>
      </c>
    </row>
    <row r="4110" spans="1:6" x14ac:dyDescent="0.2">
      <c r="A4110" s="3">
        <v>45894</v>
      </c>
      <c r="B4110" s="45"/>
      <c r="C4110" s="17" t="s">
        <v>22</v>
      </c>
      <c r="D4110" s="18">
        <v>739.13</v>
      </c>
      <c r="E4110" s="19"/>
      <c r="F4110" s="15">
        <f t="shared" si="68"/>
        <v>-6485549.0200000154</v>
      </c>
    </row>
    <row r="4111" spans="1:6" x14ac:dyDescent="0.2">
      <c r="A4111" s="3">
        <v>45894</v>
      </c>
      <c r="B4111" s="45"/>
      <c r="C4111" s="17" t="s">
        <v>16</v>
      </c>
      <c r="D4111" s="18">
        <v>71449.88</v>
      </c>
      <c r="E4111" s="19"/>
      <c r="F4111" s="15">
        <f t="shared" si="68"/>
        <v>-6556998.9000000153</v>
      </c>
    </row>
    <row r="4112" spans="1:6" x14ac:dyDescent="0.2">
      <c r="A4112" s="3">
        <v>45894</v>
      </c>
      <c r="B4112" s="45"/>
      <c r="C4112" s="20" t="s">
        <v>590</v>
      </c>
      <c r="D4112" s="18">
        <v>246.38</v>
      </c>
      <c r="E4112" s="19"/>
      <c r="F4112" s="15">
        <f t="shared" si="68"/>
        <v>-6557245.2800000152</v>
      </c>
    </row>
    <row r="4113" spans="1:6" x14ac:dyDescent="0.2">
      <c r="A4113" s="3">
        <v>45895</v>
      </c>
      <c r="B4113" s="43">
        <v>32512</v>
      </c>
      <c r="C4113" s="17" t="s">
        <v>9</v>
      </c>
      <c r="D4113" s="18">
        <v>97928.19</v>
      </c>
      <c r="E4113" s="19"/>
      <c r="F4113" s="15">
        <f t="shared" si="68"/>
        <v>-6655173.4700000156</v>
      </c>
    </row>
    <row r="4114" spans="1:6" x14ac:dyDescent="0.2">
      <c r="A4114" s="3">
        <v>45895</v>
      </c>
      <c r="B4114" s="43">
        <v>32459</v>
      </c>
      <c r="C4114" s="17" t="s">
        <v>9</v>
      </c>
      <c r="D4114" s="18">
        <v>119836.85</v>
      </c>
      <c r="E4114" s="19"/>
      <c r="F4114" s="15">
        <f t="shared" si="68"/>
        <v>-6775010.3200000152</v>
      </c>
    </row>
    <row r="4115" spans="1:6" x14ac:dyDescent="0.2">
      <c r="A4115" s="3">
        <v>45895</v>
      </c>
      <c r="B4115" s="43">
        <v>32286</v>
      </c>
      <c r="C4115" s="17" t="s">
        <v>9</v>
      </c>
      <c r="D4115" s="18">
        <v>235396.42</v>
      </c>
      <c r="E4115" s="19"/>
      <c r="F4115" s="15">
        <f t="shared" si="68"/>
        <v>-7010406.7400000151</v>
      </c>
    </row>
    <row r="4116" spans="1:6" x14ac:dyDescent="0.2">
      <c r="A4116" s="3">
        <v>45895</v>
      </c>
      <c r="B4116" s="43">
        <v>32418</v>
      </c>
      <c r="C4116" s="17" t="s">
        <v>9</v>
      </c>
      <c r="D4116" s="18">
        <v>982065</v>
      </c>
      <c r="E4116" s="19"/>
      <c r="F4116" s="15">
        <f t="shared" si="68"/>
        <v>-7992471.7400000151</v>
      </c>
    </row>
    <row r="4117" spans="1:6" x14ac:dyDescent="0.2">
      <c r="A4117" s="3">
        <v>45895</v>
      </c>
      <c r="B4117" s="43">
        <v>32427</v>
      </c>
      <c r="C4117" s="17" t="s">
        <v>9</v>
      </c>
      <c r="D4117" s="18">
        <v>5697441.2699999996</v>
      </c>
      <c r="E4117" s="19"/>
      <c r="F4117" s="15">
        <f t="shared" si="68"/>
        <v>-13689913.010000015</v>
      </c>
    </row>
    <row r="4118" spans="1:6" x14ac:dyDescent="0.2">
      <c r="A4118" s="3">
        <v>45895</v>
      </c>
      <c r="B4118" s="43">
        <v>32540</v>
      </c>
      <c r="C4118" s="17" t="s">
        <v>9</v>
      </c>
      <c r="D4118" s="18">
        <v>6592068</v>
      </c>
      <c r="E4118" s="19"/>
      <c r="F4118" s="15">
        <f t="shared" si="68"/>
        <v>-20281981.010000013</v>
      </c>
    </row>
    <row r="4119" spans="1:6" x14ac:dyDescent="0.2">
      <c r="A4119" s="3">
        <v>45895</v>
      </c>
      <c r="B4119" s="43">
        <v>9998618</v>
      </c>
      <c r="C4119" s="20" t="s">
        <v>591</v>
      </c>
      <c r="D4119" s="19"/>
      <c r="E4119" s="18">
        <v>929973.24</v>
      </c>
      <c r="F4119" s="15">
        <f t="shared" si="68"/>
        <v>-19352007.770000014</v>
      </c>
    </row>
    <row r="4120" spans="1:6" x14ac:dyDescent="0.2">
      <c r="A4120" s="3">
        <v>45895</v>
      </c>
      <c r="B4120" s="43">
        <v>32542</v>
      </c>
      <c r="C4120" s="20" t="s">
        <v>97</v>
      </c>
      <c r="D4120" s="18">
        <v>50000</v>
      </c>
      <c r="E4120" s="19"/>
      <c r="F4120" s="15">
        <f t="shared" si="68"/>
        <v>-19402007.770000014</v>
      </c>
    </row>
    <row r="4121" spans="1:6" x14ac:dyDescent="0.2">
      <c r="A4121" s="3">
        <v>45895</v>
      </c>
      <c r="B4121" s="43">
        <v>59539</v>
      </c>
      <c r="C4121" s="20" t="s">
        <v>46</v>
      </c>
      <c r="D4121" s="18">
        <v>416482.69</v>
      </c>
      <c r="E4121" s="19"/>
      <c r="F4121" s="15">
        <f t="shared" si="68"/>
        <v>-19818490.460000016</v>
      </c>
    </row>
    <row r="4122" spans="1:6" x14ac:dyDescent="0.2">
      <c r="A4122" s="3">
        <v>45895</v>
      </c>
      <c r="B4122" s="43">
        <v>31610</v>
      </c>
      <c r="C4122" s="20" t="s">
        <v>46</v>
      </c>
      <c r="D4122" s="18">
        <v>780172.04</v>
      </c>
      <c r="E4122" s="19"/>
      <c r="F4122" s="15">
        <f t="shared" si="68"/>
        <v>-20598662.500000015</v>
      </c>
    </row>
    <row r="4123" spans="1:6" x14ac:dyDescent="0.2">
      <c r="A4123" s="3">
        <v>45895</v>
      </c>
      <c r="B4123" s="46">
        <v>7789486</v>
      </c>
      <c r="C4123" s="58" t="s">
        <v>106</v>
      </c>
      <c r="D4123" s="52"/>
      <c r="E4123" s="52">
        <v>21039421.16</v>
      </c>
      <c r="F4123" s="15">
        <f t="shared" si="68"/>
        <v>440758.65999998525</v>
      </c>
    </row>
    <row r="4124" spans="1:6" x14ac:dyDescent="0.2">
      <c r="A4124" s="3">
        <v>45895</v>
      </c>
      <c r="B4124" s="50"/>
      <c r="C4124" s="59" t="s">
        <v>34</v>
      </c>
      <c r="D4124" s="23">
        <v>600</v>
      </c>
      <c r="E4124" s="24"/>
      <c r="F4124" s="15">
        <f t="shared" ref="F4124:F4187" si="69">+F4123+E4124-D4124</f>
        <v>440158.65999998525</v>
      </c>
    </row>
    <row r="4125" spans="1:6" x14ac:dyDescent="0.2">
      <c r="A4125" s="3">
        <v>45895</v>
      </c>
      <c r="B4125" s="45"/>
      <c r="C4125" s="17" t="s">
        <v>22</v>
      </c>
      <c r="D4125" s="18">
        <v>5579.84</v>
      </c>
      <c r="E4125" s="19"/>
      <c r="F4125" s="15">
        <f t="shared" si="69"/>
        <v>434578.81999998522</v>
      </c>
    </row>
    <row r="4126" spans="1:6" x14ac:dyDescent="0.2">
      <c r="A4126" s="3">
        <v>45895</v>
      </c>
      <c r="B4126" s="45"/>
      <c r="C4126" s="17" t="s">
        <v>16</v>
      </c>
      <c r="D4126" s="18">
        <v>89529.83</v>
      </c>
      <c r="E4126" s="19"/>
      <c r="F4126" s="15">
        <f t="shared" si="69"/>
        <v>345048.98999998521</v>
      </c>
    </row>
    <row r="4127" spans="1:6" x14ac:dyDescent="0.2">
      <c r="A4127" s="3">
        <v>45895</v>
      </c>
      <c r="B4127" s="45"/>
      <c r="C4127" s="20" t="s">
        <v>592</v>
      </c>
      <c r="D4127" s="18">
        <v>1859.95</v>
      </c>
      <c r="E4127" s="19"/>
      <c r="F4127" s="15">
        <f t="shared" si="69"/>
        <v>343189.03999998519</v>
      </c>
    </row>
    <row r="4128" spans="1:6" x14ac:dyDescent="0.2">
      <c r="A4128" s="3">
        <v>45896</v>
      </c>
      <c r="B4128" s="43">
        <v>32417</v>
      </c>
      <c r="C4128" s="17" t="s">
        <v>9</v>
      </c>
      <c r="D4128" s="18">
        <v>273718.09999999998</v>
      </c>
      <c r="E4128" s="19"/>
      <c r="F4128" s="15">
        <f t="shared" si="69"/>
        <v>69470.939999985218</v>
      </c>
    </row>
    <row r="4129" spans="1:6" x14ac:dyDescent="0.2">
      <c r="A4129" s="3">
        <v>45896</v>
      </c>
      <c r="B4129" s="45"/>
      <c r="C4129" s="20" t="s">
        <v>493</v>
      </c>
      <c r="D4129" s="18">
        <v>1320</v>
      </c>
      <c r="E4129" s="19"/>
      <c r="F4129" s="15">
        <f t="shared" si="69"/>
        <v>68150.939999985218</v>
      </c>
    </row>
    <row r="4130" spans="1:6" x14ac:dyDescent="0.2">
      <c r="A4130" s="3">
        <v>45896</v>
      </c>
      <c r="B4130" s="45"/>
      <c r="C4130" s="17" t="s">
        <v>227</v>
      </c>
      <c r="D4130" s="18">
        <v>277.2</v>
      </c>
      <c r="E4130" s="19"/>
      <c r="F4130" s="15">
        <f t="shared" si="69"/>
        <v>67873.73999998522</v>
      </c>
    </row>
    <row r="4131" spans="1:6" x14ac:dyDescent="0.2">
      <c r="A4131" s="3">
        <v>45896</v>
      </c>
      <c r="B4131" s="43">
        <v>871007</v>
      </c>
      <c r="C4131" s="20" t="s">
        <v>217</v>
      </c>
      <c r="D4131" s="25"/>
      <c r="E4131" s="25">
        <v>60000000</v>
      </c>
      <c r="F4131" s="15">
        <f t="shared" si="69"/>
        <v>60067873.739999987</v>
      </c>
    </row>
    <row r="4132" spans="1:6" x14ac:dyDescent="0.2">
      <c r="A4132" s="3">
        <v>45896</v>
      </c>
      <c r="B4132" s="43">
        <v>20039819</v>
      </c>
      <c r="C4132" s="20" t="s">
        <v>319</v>
      </c>
      <c r="D4132" s="18">
        <v>250000</v>
      </c>
      <c r="E4132" s="19"/>
      <c r="F4132" s="15">
        <f t="shared" si="69"/>
        <v>59817873.739999987</v>
      </c>
    </row>
    <row r="4133" spans="1:6" x14ac:dyDescent="0.2">
      <c r="A4133" s="3">
        <v>45896</v>
      </c>
      <c r="B4133" s="43">
        <v>20039820</v>
      </c>
      <c r="C4133" s="20" t="s">
        <v>319</v>
      </c>
      <c r="D4133" s="18">
        <v>2092500</v>
      </c>
      <c r="E4133" s="19"/>
      <c r="F4133" s="15">
        <f t="shared" si="69"/>
        <v>57725373.739999987</v>
      </c>
    </row>
    <row r="4134" spans="1:6" x14ac:dyDescent="0.2">
      <c r="A4134" s="3">
        <v>45896</v>
      </c>
      <c r="B4134" s="43">
        <v>20039821</v>
      </c>
      <c r="C4134" s="20" t="s">
        <v>319</v>
      </c>
      <c r="D4134" s="18">
        <v>222000</v>
      </c>
      <c r="E4134" s="19"/>
      <c r="F4134" s="15">
        <f t="shared" si="69"/>
        <v>57503373.739999987</v>
      </c>
    </row>
    <row r="4135" spans="1:6" x14ac:dyDescent="0.2">
      <c r="A4135" s="3">
        <v>45896</v>
      </c>
      <c r="B4135" s="43">
        <v>20039822</v>
      </c>
      <c r="C4135" s="20" t="s">
        <v>319</v>
      </c>
      <c r="D4135" s="18">
        <v>741000</v>
      </c>
      <c r="E4135" s="19"/>
      <c r="F4135" s="15">
        <f t="shared" si="69"/>
        <v>56762373.739999987</v>
      </c>
    </row>
    <row r="4136" spans="1:6" x14ac:dyDescent="0.2">
      <c r="A4136" s="3">
        <v>45896</v>
      </c>
      <c r="B4136" s="43">
        <v>20039823</v>
      </c>
      <c r="C4136" s="20" t="s">
        <v>319</v>
      </c>
      <c r="D4136" s="18">
        <v>2985000</v>
      </c>
      <c r="E4136" s="19"/>
      <c r="F4136" s="15">
        <f t="shared" si="69"/>
        <v>53777373.739999987</v>
      </c>
    </row>
    <row r="4137" spans="1:6" x14ac:dyDescent="0.2">
      <c r="A4137" s="3">
        <v>45896</v>
      </c>
      <c r="B4137" s="43">
        <v>20039824</v>
      </c>
      <c r="C4137" s="20" t="s">
        <v>319</v>
      </c>
      <c r="D4137" s="18">
        <v>1880000</v>
      </c>
      <c r="E4137" s="19"/>
      <c r="F4137" s="15">
        <f t="shared" si="69"/>
        <v>51897373.739999987</v>
      </c>
    </row>
    <row r="4138" spans="1:6" x14ac:dyDescent="0.2">
      <c r="A4138" s="3">
        <v>45896</v>
      </c>
      <c r="B4138" s="43">
        <v>20039825</v>
      </c>
      <c r="C4138" s="20" t="s">
        <v>319</v>
      </c>
      <c r="D4138" s="18">
        <v>1288000</v>
      </c>
      <c r="E4138" s="19"/>
      <c r="F4138" s="15">
        <f t="shared" si="69"/>
        <v>50609373.739999987</v>
      </c>
    </row>
    <row r="4139" spans="1:6" x14ac:dyDescent="0.2">
      <c r="A4139" s="3">
        <v>45896</v>
      </c>
      <c r="B4139" s="43">
        <v>20039826</v>
      </c>
      <c r="C4139" s="20" t="s">
        <v>319</v>
      </c>
      <c r="D4139" s="18">
        <v>142500</v>
      </c>
      <c r="E4139" s="19"/>
      <c r="F4139" s="15">
        <f t="shared" si="69"/>
        <v>50466873.739999987</v>
      </c>
    </row>
    <row r="4140" spans="1:6" x14ac:dyDescent="0.2">
      <c r="A4140" s="3">
        <v>45896</v>
      </c>
      <c r="B4140" s="43">
        <v>20039827</v>
      </c>
      <c r="C4140" s="20" t="s">
        <v>319</v>
      </c>
      <c r="D4140" s="18">
        <v>713000</v>
      </c>
      <c r="E4140" s="19"/>
      <c r="F4140" s="15">
        <f t="shared" si="69"/>
        <v>49753873.739999987</v>
      </c>
    </row>
    <row r="4141" spans="1:6" x14ac:dyDescent="0.2">
      <c r="A4141" s="3">
        <v>45896</v>
      </c>
      <c r="B4141" s="43">
        <v>20039828</v>
      </c>
      <c r="C4141" s="20" t="s">
        <v>319</v>
      </c>
      <c r="D4141" s="18">
        <v>2800000</v>
      </c>
      <c r="E4141" s="19"/>
      <c r="F4141" s="15">
        <f t="shared" si="69"/>
        <v>46953873.739999987</v>
      </c>
    </row>
    <row r="4142" spans="1:6" x14ac:dyDescent="0.2">
      <c r="A4142" s="3">
        <v>45896</v>
      </c>
      <c r="B4142" s="43">
        <v>20039829</v>
      </c>
      <c r="C4142" s="20" t="s">
        <v>319</v>
      </c>
      <c r="D4142" s="18">
        <v>1282500</v>
      </c>
      <c r="E4142" s="19"/>
      <c r="F4142" s="15">
        <f t="shared" si="69"/>
        <v>45671373.739999987</v>
      </c>
    </row>
    <row r="4143" spans="1:6" x14ac:dyDescent="0.2">
      <c r="A4143" s="3">
        <v>45896</v>
      </c>
      <c r="B4143" s="43">
        <v>20039830</v>
      </c>
      <c r="C4143" s="20" t="s">
        <v>319</v>
      </c>
      <c r="D4143" s="18">
        <v>500000</v>
      </c>
      <c r="E4143" s="19"/>
      <c r="F4143" s="15">
        <f t="shared" si="69"/>
        <v>45171373.739999987</v>
      </c>
    </row>
    <row r="4144" spans="1:6" x14ac:dyDescent="0.2">
      <c r="A4144" s="3">
        <v>45896</v>
      </c>
      <c r="B4144" s="43">
        <v>20039831</v>
      </c>
      <c r="C4144" s="20" t="s">
        <v>319</v>
      </c>
      <c r="D4144" s="18">
        <v>370000</v>
      </c>
      <c r="E4144" s="19"/>
      <c r="F4144" s="15">
        <f t="shared" si="69"/>
        <v>44801373.739999987</v>
      </c>
    </row>
    <row r="4145" spans="1:6" x14ac:dyDescent="0.2">
      <c r="A4145" s="3">
        <v>45896</v>
      </c>
      <c r="B4145" s="43">
        <v>20039832</v>
      </c>
      <c r="C4145" s="20" t="s">
        <v>319</v>
      </c>
      <c r="D4145" s="18">
        <v>2000000</v>
      </c>
      <c r="E4145" s="19"/>
      <c r="F4145" s="15">
        <f t="shared" si="69"/>
        <v>42801373.739999987</v>
      </c>
    </row>
    <row r="4146" spans="1:6" x14ac:dyDescent="0.2">
      <c r="A4146" s="3">
        <v>45896</v>
      </c>
      <c r="B4146" s="46">
        <v>20039833</v>
      </c>
      <c r="C4146" s="56" t="s">
        <v>319</v>
      </c>
      <c r="D4146" s="48">
        <v>1792000</v>
      </c>
      <c r="E4146" s="49"/>
      <c r="F4146" s="15">
        <f t="shared" si="69"/>
        <v>41009373.739999987</v>
      </c>
    </row>
    <row r="4147" spans="1:6" x14ac:dyDescent="0.2">
      <c r="A4147" s="3">
        <v>45896</v>
      </c>
      <c r="B4147" s="44">
        <v>20039834</v>
      </c>
      <c r="C4147" s="57" t="s">
        <v>319</v>
      </c>
      <c r="D4147" s="23">
        <v>1000000</v>
      </c>
      <c r="E4147" s="24"/>
      <c r="F4147" s="15">
        <f t="shared" si="69"/>
        <v>40009373.739999987</v>
      </c>
    </row>
    <row r="4148" spans="1:6" x14ac:dyDescent="0.2">
      <c r="A4148" s="3">
        <v>45896</v>
      </c>
      <c r="B4148" s="43">
        <v>20039835</v>
      </c>
      <c r="C4148" s="20" t="s">
        <v>319</v>
      </c>
      <c r="D4148" s="18">
        <v>2392000</v>
      </c>
      <c r="E4148" s="19"/>
      <c r="F4148" s="15">
        <f t="shared" si="69"/>
        <v>37617373.739999987</v>
      </c>
    </row>
    <row r="4149" spans="1:6" x14ac:dyDescent="0.2">
      <c r="A4149" s="3">
        <v>45896</v>
      </c>
      <c r="B4149" s="43">
        <v>20039836</v>
      </c>
      <c r="C4149" s="20" t="s">
        <v>319</v>
      </c>
      <c r="D4149" s="18">
        <v>500000</v>
      </c>
      <c r="E4149" s="19"/>
      <c r="F4149" s="15">
        <f t="shared" si="69"/>
        <v>37117373.739999987</v>
      </c>
    </row>
    <row r="4150" spans="1:6" x14ac:dyDescent="0.2">
      <c r="A4150" s="3">
        <v>45896</v>
      </c>
      <c r="B4150" s="43">
        <v>20039837</v>
      </c>
      <c r="C4150" s="20" t="s">
        <v>319</v>
      </c>
      <c r="D4150" s="18">
        <v>1056000</v>
      </c>
      <c r="E4150" s="19"/>
      <c r="F4150" s="15">
        <f t="shared" si="69"/>
        <v>36061373.739999987</v>
      </c>
    </row>
    <row r="4151" spans="1:6" x14ac:dyDescent="0.2">
      <c r="A4151" s="3">
        <v>45896</v>
      </c>
      <c r="B4151" s="43">
        <v>20039838</v>
      </c>
      <c r="C4151" s="20" t="s">
        <v>319</v>
      </c>
      <c r="D4151" s="18">
        <v>242000</v>
      </c>
      <c r="E4151" s="19"/>
      <c r="F4151" s="15">
        <f t="shared" si="69"/>
        <v>35819373.739999987</v>
      </c>
    </row>
    <row r="4152" spans="1:6" x14ac:dyDescent="0.2">
      <c r="A4152" s="3">
        <v>45896</v>
      </c>
      <c r="B4152" s="43">
        <v>20039839</v>
      </c>
      <c r="C4152" s="20" t="s">
        <v>319</v>
      </c>
      <c r="D4152" s="18">
        <v>142500</v>
      </c>
      <c r="E4152" s="19"/>
      <c r="F4152" s="15">
        <f t="shared" si="69"/>
        <v>35676873.739999987</v>
      </c>
    </row>
    <row r="4153" spans="1:6" x14ac:dyDescent="0.2">
      <c r="A4153" s="3">
        <v>45896</v>
      </c>
      <c r="B4153" s="43">
        <v>20039840</v>
      </c>
      <c r="C4153" s="20" t="s">
        <v>319</v>
      </c>
      <c r="D4153" s="18">
        <v>180000</v>
      </c>
      <c r="E4153" s="19"/>
      <c r="F4153" s="15">
        <f t="shared" si="69"/>
        <v>35496873.739999987</v>
      </c>
    </row>
    <row r="4154" spans="1:6" x14ac:dyDescent="0.2">
      <c r="A4154" s="3">
        <v>45896</v>
      </c>
      <c r="B4154" s="43">
        <v>20039841</v>
      </c>
      <c r="C4154" s="20" t="s">
        <v>319</v>
      </c>
      <c r="D4154" s="18">
        <v>1400000</v>
      </c>
      <c r="E4154" s="19"/>
      <c r="F4154" s="15">
        <f t="shared" si="69"/>
        <v>34096873.739999987</v>
      </c>
    </row>
    <row r="4155" spans="1:6" x14ac:dyDescent="0.2">
      <c r="A4155" s="3">
        <v>45896</v>
      </c>
      <c r="B4155" s="43">
        <v>20039842</v>
      </c>
      <c r="C4155" s="20" t="s">
        <v>319</v>
      </c>
      <c r="D4155" s="18">
        <v>1894000</v>
      </c>
      <c r="E4155" s="19"/>
      <c r="F4155" s="15">
        <f t="shared" si="69"/>
        <v>32202873.739999987</v>
      </c>
    </row>
    <row r="4156" spans="1:6" x14ac:dyDescent="0.2">
      <c r="A4156" s="3">
        <v>45896</v>
      </c>
      <c r="B4156" s="43">
        <v>20039843</v>
      </c>
      <c r="C4156" s="20" t="s">
        <v>319</v>
      </c>
      <c r="D4156" s="18">
        <v>640000</v>
      </c>
      <c r="E4156" s="19"/>
      <c r="F4156" s="15">
        <f t="shared" si="69"/>
        <v>31562873.739999987</v>
      </c>
    </row>
    <row r="4157" spans="1:6" x14ac:dyDescent="0.2">
      <c r="A4157" s="3">
        <v>45896</v>
      </c>
      <c r="B4157" s="43">
        <v>20039844</v>
      </c>
      <c r="C4157" s="20" t="s">
        <v>319</v>
      </c>
      <c r="D4157" s="18">
        <v>855000</v>
      </c>
      <c r="E4157" s="19"/>
      <c r="F4157" s="15">
        <f t="shared" si="69"/>
        <v>30707873.739999987</v>
      </c>
    </row>
    <row r="4158" spans="1:6" x14ac:dyDescent="0.2">
      <c r="A4158" s="3">
        <v>45896</v>
      </c>
      <c r="B4158" s="43">
        <v>32509</v>
      </c>
      <c r="C4158" s="17" t="s">
        <v>12</v>
      </c>
      <c r="D4158" s="18">
        <v>732349.15</v>
      </c>
      <c r="E4158" s="19"/>
      <c r="F4158" s="15">
        <f t="shared" si="69"/>
        <v>29975524.589999989</v>
      </c>
    </row>
    <row r="4159" spans="1:6" x14ac:dyDescent="0.2">
      <c r="A4159" s="3">
        <v>45896</v>
      </c>
      <c r="B4159" s="45"/>
      <c r="C4159" s="17" t="s">
        <v>88</v>
      </c>
      <c r="D4159" s="18">
        <v>15714700</v>
      </c>
      <c r="E4159" s="19"/>
      <c r="F4159" s="15">
        <f t="shared" si="69"/>
        <v>14260824.589999989</v>
      </c>
    </row>
    <row r="4160" spans="1:6" x14ac:dyDescent="0.2">
      <c r="A4160" s="3">
        <v>45896</v>
      </c>
      <c r="B4160" s="45"/>
      <c r="C4160" s="17" t="s">
        <v>16</v>
      </c>
      <c r="D4160" s="18">
        <v>276505.34000000003</v>
      </c>
      <c r="E4160" s="19"/>
      <c r="F4160" s="15">
        <f t="shared" si="69"/>
        <v>13984319.249999989</v>
      </c>
    </row>
    <row r="4161" spans="1:6" x14ac:dyDescent="0.2">
      <c r="A4161" s="3">
        <v>45897</v>
      </c>
      <c r="B4161" s="43">
        <v>32322</v>
      </c>
      <c r="C4161" s="17" t="s">
        <v>9</v>
      </c>
      <c r="D4161" s="18">
        <v>372067.22</v>
      </c>
      <c r="E4161" s="19"/>
      <c r="F4161" s="15">
        <f t="shared" si="69"/>
        <v>13612252.029999988</v>
      </c>
    </row>
    <row r="4162" spans="1:6" x14ac:dyDescent="0.2">
      <c r="A4162" s="3">
        <v>45897</v>
      </c>
      <c r="B4162" s="45"/>
      <c r="C4162" s="17" t="s">
        <v>92</v>
      </c>
      <c r="D4162" s="18">
        <v>53300</v>
      </c>
      <c r="E4162" s="19"/>
      <c r="F4162" s="15">
        <f t="shared" si="69"/>
        <v>13558952.029999988</v>
      </c>
    </row>
    <row r="4163" spans="1:6" x14ac:dyDescent="0.2">
      <c r="A4163" s="3">
        <v>45897</v>
      </c>
      <c r="B4163" s="45"/>
      <c r="C4163" s="17" t="s">
        <v>36</v>
      </c>
      <c r="D4163" s="18">
        <v>799.5</v>
      </c>
      <c r="E4163" s="19"/>
      <c r="F4163" s="15">
        <f t="shared" si="69"/>
        <v>13558152.529999988</v>
      </c>
    </row>
    <row r="4164" spans="1:6" x14ac:dyDescent="0.2">
      <c r="A4164" s="3">
        <v>45897</v>
      </c>
      <c r="B4164" s="45"/>
      <c r="C4164" s="17" t="s">
        <v>227</v>
      </c>
      <c r="D4164" s="18">
        <v>11193</v>
      </c>
      <c r="E4164" s="19"/>
      <c r="F4164" s="15">
        <f t="shared" si="69"/>
        <v>13546959.529999988</v>
      </c>
    </row>
    <row r="4165" spans="1:6" x14ac:dyDescent="0.2">
      <c r="A4165" s="3">
        <v>45897</v>
      </c>
      <c r="B4165" s="45"/>
      <c r="C4165" s="17" t="s">
        <v>37</v>
      </c>
      <c r="D4165" s="18">
        <v>1599</v>
      </c>
      <c r="E4165" s="19"/>
      <c r="F4165" s="15">
        <f t="shared" si="69"/>
        <v>13545360.529999988</v>
      </c>
    </row>
    <row r="4166" spans="1:6" x14ac:dyDescent="0.2">
      <c r="A4166" s="3">
        <v>45897</v>
      </c>
      <c r="B4166" s="45"/>
      <c r="C4166" s="17" t="s">
        <v>508</v>
      </c>
      <c r="D4166" s="18">
        <v>40385</v>
      </c>
      <c r="E4166" s="19"/>
      <c r="F4166" s="15">
        <f t="shared" si="69"/>
        <v>13504975.529999988</v>
      </c>
    </row>
    <row r="4167" spans="1:6" x14ac:dyDescent="0.2">
      <c r="A4167" s="3">
        <v>45897</v>
      </c>
      <c r="B4167" s="45"/>
      <c r="C4167" s="17" t="s">
        <v>36</v>
      </c>
      <c r="D4167" s="18">
        <v>605.78</v>
      </c>
      <c r="E4167" s="19"/>
      <c r="F4167" s="15">
        <f t="shared" si="69"/>
        <v>13504369.749999989</v>
      </c>
    </row>
    <row r="4168" spans="1:6" x14ac:dyDescent="0.2">
      <c r="A4168" s="3">
        <v>45897</v>
      </c>
      <c r="B4168" s="45"/>
      <c r="C4168" s="17" t="s">
        <v>227</v>
      </c>
      <c r="D4168" s="18">
        <v>8480.85</v>
      </c>
      <c r="E4168" s="19"/>
      <c r="F4168" s="15">
        <f t="shared" si="69"/>
        <v>13495888.899999989</v>
      </c>
    </row>
    <row r="4169" spans="1:6" x14ac:dyDescent="0.2">
      <c r="A4169" s="3">
        <v>45897</v>
      </c>
      <c r="B4169" s="45"/>
      <c r="C4169" s="17" t="s">
        <v>37</v>
      </c>
      <c r="D4169" s="18">
        <v>1211.55</v>
      </c>
      <c r="E4169" s="19"/>
      <c r="F4169" s="15">
        <f t="shared" si="69"/>
        <v>13494677.349999988</v>
      </c>
    </row>
    <row r="4170" spans="1:6" x14ac:dyDescent="0.2">
      <c r="A4170" s="3">
        <v>45897</v>
      </c>
      <c r="B4170" s="43">
        <v>1374045</v>
      </c>
      <c r="C4170" s="20" t="s">
        <v>593</v>
      </c>
      <c r="D4170" s="19"/>
      <c r="E4170" s="18">
        <v>19800</v>
      </c>
      <c r="F4170" s="15">
        <f t="shared" si="69"/>
        <v>13514477.349999988</v>
      </c>
    </row>
    <row r="4171" spans="1:6" x14ac:dyDescent="0.2">
      <c r="A4171" s="3">
        <v>45897</v>
      </c>
      <c r="B4171" s="43">
        <v>542429</v>
      </c>
      <c r="C4171" s="20" t="s">
        <v>89</v>
      </c>
      <c r="D4171" s="25"/>
      <c r="E4171" s="25">
        <v>3370990.2</v>
      </c>
      <c r="F4171" s="15">
        <f t="shared" si="69"/>
        <v>16885467.54999999</v>
      </c>
    </row>
    <row r="4172" spans="1:6" x14ac:dyDescent="0.2">
      <c r="A4172" s="3">
        <v>45897</v>
      </c>
      <c r="B4172" s="46">
        <v>5349925</v>
      </c>
      <c r="C4172" s="56" t="s">
        <v>594</v>
      </c>
      <c r="D4172" s="62"/>
      <c r="E4172" s="63">
        <v>24910.400000000001</v>
      </c>
      <c r="F4172" s="15">
        <f t="shared" si="69"/>
        <v>16910377.949999988</v>
      </c>
    </row>
    <row r="4173" spans="1:6" x14ac:dyDescent="0.2">
      <c r="A4173" s="3">
        <v>45897</v>
      </c>
      <c r="B4173" s="44">
        <v>32543</v>
      </c>
      <c r="C4173" s="57" t="s">
        <v>97</v>
      </c>
      <c r="D4173" s="23">
        <v>50000</v>
      </c>
      <c r="E4173" s="24"/>
      <c r="F4173" s="15">
        <f t="shared" si="69"/>
        <v>16860377.949999988</v>
      </c>
    </row>
    <row r="4174" spans="1:6" x14ac:dyDescent="0.2">
      <c r="A4174" s="3">
        <v>45897</v>
      </c>
      <c r="B4174" s="43">
        <v>4155741</v>
      </c>
      <c r="C4174" s="20" t="s">
        <v>289</v>
      </c>
      <c r="D4174" s="18">
        <v>63000</v>
      </c>
      <c r="E4174" s="19"/>
      <c r="F4174" s="15">
        <f t="shared" si="69"/>
        <v>16797377.949999988</v>
      </c>
    </row>
    <row r="4175" spans="1:6" x14ac:dyDescent="0.2">
      <c r="A4175" s="3">
        <v>45897</v>
      </c>
      <c r="B4175" s="43">
        <v>4155742</v>
      </c>
      <c r="C4175" s="20" t="s">
        <v>123</v>
      </c>
      <c r="D4175" s="18">
        <v>1045690.48</v>
      </c>
      <c r="E4175" s="19"/>
      <c r="F4175" s="15">
        <f t="shared" si="69"/>
        <v>15751687.469999988</v>
      </c>
    </row>
    <row r="4176" spans="1:6" x14ac:dyDescent="0.2">
      <c r="A4176" s="3">
        <v>45897</v>
      </c>
      <c r="B4176" s="43">
        <v>72133551</v>
      </c>
      <c r="C4176" s="20" t="s">
        <v>318</v>
      </c>
      <c r="D4176" s="18">
        <v>222000</v>
      </c>
      <c r="E4176" s="19"/>
      <c r="F4176" s="15">
        <f t="shared" si="69"/>
        <v>15529687.469999988</v>
      </c>
    </row>
    <row r="4177" spans="1:6" x14ac:dyDescent="0.2">
      <c r="A4177" s="3">
        <v>45897</v>
      </c>
      <c r="B4177" s="43">
        <v>4155743</v>
      </c>
      <c r="C4177" s="20" t="s">
        <v>85</v>
      </c>
      <c r="D4177" s="18">
        <v>2000000</v>
      </c>
      <c r="E4177" s="19"/>
      <c r="F4177" s="15">
        <f t="shared" si="69"/>
        <v>13529687.469999988</v>
      </c>
    </row>
    <row r="4178" spans="1:6" x14ac:dyDescent="0.2">
      <c r="A4178" s="3">
        <v>45897</v>
      </c>
      <c r="B4178" s="43">
        <v>4155744</v>
      </c>
      <c r="C4178" s="20" t="s">
        <v>86</v>
      </c>
      <c r="D4178" s="18">
        <v>390000</v>
      </c>
      <c r="E4178" s="19"/>
      <c r="F4178" s="15">
        <f t="shared" si="69"/>
        <v>13139687.469999988</v>
      </c>
    </row>
    <row r="4179" spans="1:6" x14ac:dyDescent="0.2">
      <c r="A4179" s="3">
        <v>45897</v>
      </c>
      <c r="B4179" s="43">
        <v>72133555</v>
      </c>
      <c r="C4179" s="20" t="s">
        <v>595</v>
      </c>
      <c r="D4179" s="18">
        <v>825247</v>
      </c>
      <c r="E4179" s="19"/>
      <c r="F4179" s="15">
        <f t="shared" si="69"/>
        <v>12314440.469999988</v>
      </c>
    </row>
    <row r="4180" spans="1:6" x14ac:dyDescent="0.2">
      <c r="A4180" s="3">
        <v>45897</v>
      </c>
      <c r="B4180" s="43">
        <v>4155745</v>
      </c>
      <c r="C4180" s="20" t="s">
        <v>33</v>
      </c>
      <c r="D4180" s="18">
        <v>3134000</v>
      </c>
      <c r="E4180" s="19"/>
      <c r="F4180" s="15">
        <f t="shared" si="69"/>
        <v>9180440.4699999876</v>
      </c>
    </row>
    <row r="4181" spans="1:6" x14ac:dyDescent="0.2">
      <c r="A4181" s="3">
        <v>45897</v>
      </c>
      <c r="B4181" s="43">
        <v>4155746</v>
      </c>
      <c r="C4181" s="20" t="s">
        <v>116</v>
      </c>
      <c r="D4181" s="18">
        <v>18150</v>
      </c>
      <c r="E4181" s="19"/>
      <c r="F4181" s="15">
        <f t="shared" si="69"/>
        <v>9162290.4699999876</v>
      </c>
    </row>
    <row r="4182" spans="1:6" x14ac:dyDescent="0.2">
      <c r="A4182" s="3">
        <v>45897</v>
      </c>
      <c r="B4182" s="43">
        <v>4155747</v>
      </c>
      <c r="C4182" s="20" t="s">
        <v>85</v>
      </c>
      <c r="D4182" s="18">
        <v>596386.62</v>
      </c>
      <c r="E4182" s="19"/>
      <c r="F4182" s="15">
        <f t="shared" si="69"/>
        <v>8565903.8499999885</v>
      </c>
    </row>
    <row r="4183" spans="1:6" x14ac:dyDescent="0.2">
      <c r="A4183" s="3">
        <v>45897</v>
      </c>
      <c r="B4183" s="43">
        <v>3245373</v>
      </c>
      <c r="C4183" s="20" t="s">
        <v>596</v>
      </c>
      <c r="D4183" s="19"/>
      <c r="E4183" s="18">
        <v>34735.68</v>
      </c>
      <c r="F4183" s="15">
        <f t="shared" si="69"/>
        <v>8600639.5299999882</v>
      </c>
    </row>
    <row r="4184" spans="1:6" x14ac:dyDescent="0.2">
      <c r="A4184" s="3">
        <v>45897</v>
      </c>
      <c r="B4184" s="43">
        <v>32333</v>
      </c>
      <c r="C4184" s="17" t="s">
        <v>12</v>
      </c>
      <c r="D4184" s="18">
        <v>9093897</v>
      </c>
      <c r="E4184" s="19"/>
      <c r="F4184" s="15">
        <f t="shared" si="69"/>
        <v>-493257.47000001185</v>
      </c>
    </row>
    <row r="4185" spans="1:6" x14ac:dyDescent="0.2">
      <c r="A4185" s="3">
        <v>45897</v>
      </c>
      <c r="B4185" s="43">
        <v>32335</v>
      </c>
      <c r="C4185" s="17" t="s">
        <v>12</v>
      </c>
      <c r="D4185" s="18">
        <v>11808565</v>
      </c>
      <c r="E4185" s="19"/>
      <c r="F4185" s="15">
        <f t="shared" si="69"/>
        <v>-12301822.470000012</v>
      </c>
    </row>
    <row r="4186" spans="1:6" x14ac:dyDescent="0.2">
      <c r="A4186" s="3">
        <v>45897</v>
      </c>
      <c r="B4186" s="45"/>
      <c r="C4186" s="17" t="s">
        <v>22</v>
      </c>
      <c r="D4186" s="18">
        <v>20702.61</v>
      </c>
      <c r="E4186" s="19"/>
      <c r="F4186" s="15">
        <f t="shared" si="69"/>
        <v>-12322525.080000011</v>
      </c>
    </row>
    <row r="4187" spans="1:6" x14ac:dyDescent="0.2">
      <c r="A4187" s="3">
        <v>45897</v>
      </c>
      <c r="B4187" s="45"/>
      <c r="C4187" s="17" t="s">
        <v>16</v>
      </c>
      <c r="D4187" s="18">
        <v>178119.46</v>
      </c>
      <c r="E4187" s="19"/>
      <c r="F4187" s="15">
        <f t="shared" si="69"/>
        <v>-12500644.540000012</v>
      </c>
    </row>
    <row r="4188" spans="1:6" x14ac:dyDescent="0.2">
      <c r="A4188" s="3">
        <v>45897</v>
      </c>
      <c r="B4188" s="45"/>
      <c r="C4188" s="17" t="s">
        <v>34</v>
      </c>
      <c r="D4188" s="18">
        <v>600</v>
      </c>
      <c r="E4188" s="19"/>
      <c r="F4188" s="15">
        <f t="shared" ref="F4188:F4251" si="70">+F4187+E4188-D4188</f>
        <v>-12501244.540000012</v>
      </c>
    </row>
    <row r="4189" spans="1:6" x14ac:dyDescent="0.2">
      <c r="A4189" s="3">
        <v>45897</v>
      </c>
      <c r="B4189" s="45"/>
      <c r="C4189" s="20" t="s">
        <v>597</v>
      </c>
      <c r="D4189" s="18">
        <v>6900.87</v>
      </c>
      <c r="E4189" s="19"/>
      <c r="F4189" s="15">
        <f t="shared" si="70"/>
        <v>-12508145.410000011</v>
      </c>
    </row>
    <row r="4190" spans="1:6" x14ac:dyDescent="0.2">
      <c r="A4190" s="3">
        <v>45898</v>
      </c>
      <c r="B4190" s="43">
        <v>32448</v>
      </c>
      <c r="C4190" s="17" t="s">
        <v>9</v>
      </c>
      <c r="D4190" s="18">
        <v>263857.40000000002</v>
      </c>
      <c r="E4190" s="19"/>
      <c r="F4190" s="15">
        <f t="shared" si="70"/>
        <v>-12772002.810000012</v>
      </c>
    </row>
    <row r="4191" spans="1:6" x14ac:dyDescent="0.2">
      <c r="A4191" s="3">
        <v>45898</v>
      </c>
      <c r="B4191" s="43">
        <v>32460</v>
      </c>
      <c r="C4191" s="17" t="s">
        <v>9</v>
      </c>
      <c r="D4191" s="18">
        <v>1050000</v>
      </c>
      <c r="E4191" s="19"/>
      <c r="F4191" s="15">
        <f t="shared" si="70"/>
        <v>-13822002.810000012</v>
      </c>
    </row>
    <row r="4192" spans="1:6" x14ac:dyDescent="0.2">
      <c r="A4192" s="3">
        <v>45898</v>
      </c>
      <c r="B4192" s="43">
        <v>32340</v>
      </c>
      <c r="C4192" s="17" t="s">
        <v>9</v>
      </c>
      <c r="D4192" s="18">
        <v>1350443.16</v>
      </c>
      <c r="E4192" s="19"/>
      <c r="F4192" s="15">
        <f t="shared" si="70"/>
        <v>-15172445.970000012</v>
      </c>
    </row>
    <row r="4193" spans="1:6" x14ac:dyDescent="0.2">
      <c r="A4193" s="3">
        <v>45898</v>
      </c>
      <c r="B4193" s="43">
        <v>32313</v>
      </c>
      <c r="C4193" s="17" t="s">
        <v>9</v>
      </c>
      <c r="D4193" s="18">
        <v>3468097.06</v>
      </c>
      <c r="E4193" s="19"/>
      <c r="F4193" s="15">
        <f t="shared" si="70"/>
        <v>-18640543.030000012</v>
      </c>
    </row>
    <row r="4194" spans="1:6" x14ac:dyDescent="0.2">
      <c r="A4194" s="3">
        <v>45898</v>
      </c>
      <c r="B4194" s="43">
        <v>32476</v>
      </c>
      <c r="C4194" s="17" t="s">
        <v>9</v>
      </c>
      <c r="D4194" s="18">
        <v>5875774.0599999996</v>
      </c>
      <c r="E4194" s="19"/>
      <c r="F4194" s="15">
        <f t="shared" si="70"/>
        <v>-24516317.090000011</v>
      </c>
    </row>
    <row r="4195" spans="1:6" x14ac:dyDescent="0.2">
      <c r="A4195" s="3">
        <v>45898</v>
      </c>
      <c r="B4195" s="45"/>
      <c r="C4195" s="20" t="s">
        <v>493</v>
      </c>
      <c r="D4195" s="18">
        <v>1320</v>
      </c>
      <c r="E4195" s="19"/>
      <c r="F4195" s="15">
        <f t="shared" si="70"/>
        <v>-24517637.090000011</v>
      </c>
    </row>
    <row r="4196" spans="1:6" x14ac:dyDescent="0.2">
      <c r="A4196" s="3">
        <v>45898</v>
      </c>
      <c r="B4196" s="45"/>
      <c r="C4196" s="17" t="s">
        <v>227</v>
      </c>
      <c r="D4196" s="18">
        <v>277.2</v>
      </c>
      <c r="E4196" s="19"/>
      <c r="F4196" s="15">
        <f t="shared" si="70"/>
        <v>-24517914.29000001</v>
      </c>
    </row>
    <row r="4197" spans="1:6" x14ac:dyDescent="0.2">
      <c r="A4197" s="3">
        <v>45898</v>
      </c>
      <c r="B4197" s="45"/>
      <c r="C4197" s="17" t="s">
        <v>468</v>
      </c>
      <c r="D4197" s="18">
        <v>5579.84</v>
      </c>
      <c r="E4197" s="19"/>
      <c r="F4197" s="15">
        <f t="shared" si="70"/>
        <v>-24523494.13000001</v>
      </c>
    </row>
    <row r="4198" spans="1:6" x14ac:dyDescent="0.2">
      <c r="A4198" s="3">
        <v>45898</v>
      </c>
      <c r="B4198" s="45"/>
      <c r="C4198" s="17" t="s">
        <v>36</v>
      </c>
      <c r="D4198" s="18">
        <v>83.7</v>
      </c>
      <c r="E4198" s="19"/>
      <c r="F4198" s="15">
        <f t="shared" si="70"/>
        <v>-24523577.830000009</v>
      </c>
    </row>
    <row r="4199" spans="1:6" x14ac:dyDescent="0.2">
      <c r="A4199" s="3">
        <v>45898</v>
      </c>
      <c r="B4199" s="51"/>
      <c r="C4199" s="58" t="s">
        <v>227</v>
      </c>
      <c r="D4199" s="48">
        <v>1171.77</v>
      </c>
      <c r="E4199" s="49"/>
      <c r="F4199" s="15">
        <f t="shared" si="70"/>
        <v>-24524749.600000009</v>
      </c>
    </row>
    <row r="4200" spans="1:6" x14ac:dyDescent="0.2">
      <c r="A4200" s="3">
        <v>45898</v>
      </c>
      <c r="B4200" s="50"/>
      <c r="C4200" s="59" t="s">
        <v>37</v>
      </c>
      <c r="D4200" s="23">
        <v>167.4</v>
      </c>
      <c r="E4200" s="24"/>
      <c r="F4200" s="15">
        <f t="shared" si="70"/>
        <v>-24524917.000000007</v>
      </c>
    </row>
    <row r="4201" spans="1:6" x14ac:dyDescent="0.2">
      <c r="A4201" s="3">
        <v>45898</v>
      </c>
      <c r="B4201" s="43">
        <v>20079934</v>
      </c>
      <c r="C4201" s="20" t="s">
        <v>319</v>
      </c>
      <c r="D4201" s="18">
        <v>1733000</v>
      </c>
      <c r="E4201" s="19"/>
      <c r="F4201" s="15">
        <f t="shared" si="70"/>
        <v>-26257917.000000007</v>
      </c>
    </row>
    <row r="4202" spans="1:6" x14ac:dyDescent="0.2">
      <c r="A4202" s="3">
        <v>45898</v>
      </c>
      <c r="B4202" s="43">
        <v>20079935</v>
      </c>
      <c r="C4202" s="20" t="s">
        <v>319</v>
      </c>
      <c r="D4202" s="18">
        <v>375410</v>
      </c>
      <c r="E4202" s="19"/>
      <c r="F4202" s="15">
        <f t="shared" si="70"/>
        <v>-26633327.000000007</v>
      </c>
    </row>
    <row r="4203" spans="1:6" x14ac:dyDescent="0.2">
      <c r="A4203" s="3">
        <v>45898</v>
      </c>
      <c r="B4203" s="43">
        <v>20079936</v>
      </c>
      <c r="C4203" s="20" t="s">
        <v>319</v>
      </c>
      <c r="D4203" s="18">
        <v>1012290</v>
      </c>
      <c r="E4203" s="19"/>
      <c r="F4203" s="15">
        <f t="shared" si="70"/>
        <v>-27645617.000000007</v>
      </c>
    </row>
    <row r="4204" spans="1:6" x14ac:dyDescent="0.2">
      <c r="A4204" s="3">
        <v>45898</v>
      </c>
      <c r="B4204" s="43">
        <v>20079937</v>
      </c>
      <c r="C4204" s="20" t="s">
        <v>319</v>
      </c>
      <c r="D4204" s="18">
        <v>2085535</v>
      </c>
      <c r="E4204" s="19"/>
      <c r="F4204" s="15">
        <f t="shared" si="70"/>
        <v>-29731152.000000007</v>
      </c>
    </row>
    <row r="4205" spans="1:6" x14ac:dyDescent="0.2">
      <c r="A4205" s="3">
        <v>45898</v>
      </c>
      <c r="B4205" s="43">
        <v>20079938</v>
      </c>
      <c r="C4205" s="20" t="s">
        <v>319</v>
      </c>
      <c r="D4205" s="18">
        <v>2956400</v>
      </c>
      <c r="E4205" s="19"/>
      <c r="F4205" s="15">
        <f t="shared" si="70"/>
        <v>-32687552.000000007</v>
      </c>
    </row>
    <row r="4206" spans="1:6" x14ac:dyDescent="0.2">
      <c r="A4206" s="3">
        <v>45898</v>
      </c>
      <c r="B4206" s="43">
        <v>20079939</v>
      </c>
      <c r="C4206" s="20" t="s">
        <v>319</v>
      </c>
      <c r="D4206" s="18">
        <v>1859625</v>
      </c>
      <c r="E4206" s="19"/>
      <c r="F4206" s="15">
        <f t="shared" si="70"/>
        <v>-34547177.000000007</v>
      </c>
    </row>
    <row r="4207" spans="1:6" x14ac:dyDescent="0.2">
      <c r="A4207" s="3">
        <v>45898</v>
      </c>
      <c r="B4207" s="43">
        <v>20079940</v>
      </c>
      <c r="C4207" s="20" t="s">
        <v>319</v>
      </c>
      <c r="D4207" s="18">
        <v>495900</v>
      </c>
      <c r="E4207" s="19"/>
      <c r="F4207" s="15">
        <f t="shared" si="70"/>
        <v>-35043077.000000007</v>
      </c>
    </row>
    <row r="4208" spans="1:6" x14ac:dyDescent="0.2">
      <c r="A4208" s="3">
        <v>45898</v>
      </c>
      <c r="B4208" s="43">
        <v>20079941</v>
      </c>
      <c r="C4208" s="20" t="s">
        <v>319</v>
      </c>
      <c r="D4208" s="18">
        <v>587100</v>
      </c>
      <c r="E4208" s="19"/>
      <c r="F4208" s="15">
        <f t="shared" si="70"/>
        <v>-35630177.000000007</v>
      </c>
    </row>
    <row r="4209" spans="1:6" x14ac:dyDescent="0.2">
      <c r="A4209" s="3">
        <v>45898</v>
      </c>
      <c r="B4209" s="43">
        <v>20079942</v>
      </c>
      <c r="C4209" s="20" t="s">
        <v>319</v>
      </c>
      <c r="D4209" s="18">
        <v>150000</v>
      </c>
      <c r="E4209" s="19"/>
      <c r="F4209" s="15">
        <f t="shared" si="70"/>
        <v>-35780177.000000007</v>
      </c>
    </row>
    <row r="4210" spans="1:6" x14ac:dyDescent="0.2">
      <c r="A4210" s="3">
        <v>45898</v>
      </c>
      <c r="B4210" s="43">
        <v>20079943</v>
      </c>
      <c r="C4210" s="20" t="s">
        <v>319</v>
      </c>
      <c r="D4210" s="18">
        <v>600000</v>
      </c>
      <c r="E4210" s="19"/>
      <c r="F4210" s="15">
        <f t="shared" si="70"/>
        <v>-36380177.000000007</v>
      </c>
    </row>
    <row r="4211" spans="1:6" x14ac:dyDescent="0.2">
      <c r="A4211" s="3">
        <v>45898</v>
      </c>
      <c r="B4211" s="43">
        <v>20079944</v>
      </c>
      <c r="C4211" s="20" t="s">
        <v>319</v>
      </c>
      <c r="D4211" s="18">
        <v>877800</v>
      </c>
      <c r="E4211" s="19"/>
      <c r="F4211" s="15">
        <f t="shared" si="70"/>
        <v>-37257977.000000007</v>
      </c>
    </row>
    <row r="4212" spans="1:6" x14ac:dyDescent="0.2">
      <c r="A4212" s="3">
        <v>45898</v>
      </c>
      <c r="B4212" s="43">
        <v>20079945</v>
      </c>
      <c r="C4212" s="20" t="s">
        <v>319</v>
      </c>
      <c r="D4212" s="18">
        <v>285000</v>
      </c>
      <c r="E4212" s="19"/>
      <c r="F4212" s="15">
        <f t="shared" si="70"/>
        <v>-37542977.000000007</v>
      </c>
    </row>
    <row r="4213" spans="1:6" x14ac:dyDescent="0.2">
      <c r="A4213" s="3">
        <v>45898</v>
      </c>
      <c r="B4213" s="43">
        <v>20079946</v>
      </c>
      <c r="C4213" s="20" t="s">
        <v>319</v>
      </c>
      <c r="D4213" s="18">
        <v>704900</v>
      </c>
      <c r="E4213" s="19"/>
      <c r="F4213" s="15">
        <f t="shared" si="70"/>
        <v>-38247877.000000007</v>
      </c>
    </row>
    <row r="4214" spans="1:6" x14ac:dyDescent="0.2">
      <c r="A4214" s="3">
        <v>45898</v>
      </c>
      <c r="B4214" s="43">
        <v>20079947</v>
      </c>
      <c r="C4214" s="20" t="s">
        <v>319</v>
      </c>
      <c r="D4214" s="18">
        <v>305200</v>
      </c>
      <c r="E4214" s="19"/>
      <c r="F4214" s="15">
        <f t="shared" si="70"/>
        <v>-38553077.000000007</v>
      </c>
    </row>
    <row r="4215" spans="1:6" x14ac:dyDescent="0.2">
      <c r="A4215" s="3">
        <v>45898</v>
      </c>
      <c r="B4215" s="43">
        <v>20079948</v>
      </c>
      <c r="C4215" s="20" t="s">
        <v>319</v>
      </c>
      <c r="D4215" s="18">
        <v>1197950</v>
      </c>
      <c r="E4215" s="19"/>
      <c r="F4215" s="15">
        <f t="shared" si="70"/>
        <v>-39751027.000000007</v>
      </c>
    </row>
    <row r="4216" spans="1:6" x14ac:dyDescent="0.2">
      <c r="A4216" s="3">
        <v>45898</v>
      </c>
      <c r="B4216" s="43">
        <v>20079949</v>
      </c>
      <c r="C4216" s="20" t="s">
        <v>319</v>
      </c>
      <c r="D4216" s="18">
        <v>715600</v>
      </c>
      <c r="E4216" s="19"/>
      <c r="F4216" s="15">
        <f t="shared" si="70"/>
        <v>-40466627.000000007</v>
      </c>
    </row>
    <row r="4217" spans="1:6" x14ac:dyDescent="0.2">
      <c r="A4217" s="3">
        <v>45898</v>
      </c>
      <c r="B4217" s="43">
        <v>20079950</v>
      </c>
      <c r="C4217" s="20" t="s">
        <v>319</v>
      </c>
      <c r="D4217" s="18">
        <v>504000</v>
      </c>
      <c r="E4217" s="19"/>
      <c r="F4217" s="15">
        <f t="shared" si="70"/>
        <v>-40970627.000000007</v>
      </c>
    </row>
    <row r="4218" spans="1:6" x14ac:dyDescent="0.2">
      <c r="A4218" s="3">
        <v>45898</v>
      </c>
      <c r="B4218" s="43">
        <v>20079951</v>
      </c>
      <c r="C4218" s="20" t="s">
        <v>319</v>
      </c>
      <c r="D4218" s="18">
        <v>2632545</v>
      </c>
      <c r="E4218" s="19"/>
      <c r="F4218" s="15">
        <f t="shared" si="70"/>
        <v>-43603172.000000007</v>
      </c>
    </row>
    <row r="4219" spans="1:6" x14ac:dyDescent="0.2">
      <c r="A4219" s="3">
        <v>45898</v>
      </c>
      <c r="B4219" s="43">
        <v>20079952</v>
      </c>
      <c r="C4219" s="20" t="s">
        <v>319</v>
      </c>
      <c r="D4219" s="18">
        <v>211000</v>
      </c>
      <c r="E4219" s="19"/>
      <c r="F4219" s="15">
        <f t="shared" si="70"/>
        <v>-43814172.000000007</v>
      </c>
    </row>
    <row r="4220" spans="1:6" x14ac:dyDescent="0.2">
      <c r="A4220" s="3">
        <v>45898</v>
      </c>
      <c r="B4220" s="43">
        <v>20079953</v>
      </c>
      <c r="C4220" s="20" t="s">
        <v>319</v>
      </c>
      <c r="D4220" s="18">
        <v>367200</v>
      </c>
      <c r="E4220" s="19"/>
      <c r="F4220" s="15">
        <f t="shared" si="70"/>
        <v>-44181372.000000007</v>
      </c>
    </row>
    <row r="4221" spans="1:6" x14ac:dyDescent="0.2">
      <c r="A4221" s="3">
        <v>45898</v>
      </c>
      <c r="B4221" s="43">
        <v>20079954</v>
      </c>
      <c r="C4221" s="20" t="s">
        <v>319</v>
      </c>
      <c r="D4221" s="18">
        <v>120000</v>
      </c>
      <c r="E4221" s="19"/>
      <c r="F4221" s="15">
        <f t="shared" si="70"/>
        <v>-44301372.000000007</v>
      </c>
    </row>
    <row r="4222" spans="1:6" x14ac:dyDescent="0.2">
      <c r="A4222" s="3">
        <v>45898</v>
      </c>
      <c r="B4222" s="46">
        <v>20079955</v>
      </c>
      <c r="C4222" s="56" t="s">
        <v>319</v>
      </c>
      <c r="D4222" s="48">
        <v>1338690</v>
      </c>
      <c r="E4222" s="49"/>
      <c r="F4222" s="15">
        <f t="shared" si="70"/>
        <v>-45640062.000000007</v>
      </c>
    </row>
    <row r="4223" spans="1:6" x14ac:dyDescent="0.2">
      <c r="A4223" s="3">
        <v>45898</v>
      </c>
      <c r="B4223" s="44">
        <v>20079956</v>
      </c>
      <c r="C4223" s="57" t="s">
        <v>319</v>
      </c>
      <c r="D4223" s="23">
        <v>320000</v>
      </c>
      <c r="E4223" s="24"/>
      <c r="F4223" s="15">
        <f t="shared" si="70"/>
        <v>-45960062.000000007</v>
      </c>
    </row>
    <row r="4224" spans="1:6" x14ac:dyDescent="0.2">
      <c r="A4224" s="3">
        <v>45898</v>
      </c>
      <c r="B4224" s="43">
        <v>20079957</v>
      </c>
      <c r="C4224" s="20" t="s">
        <v>319</v>
      </c>
      <c r="D4224" s="18">
        <v>190000</v>
      </c>
      <c r="E4224" s="19"/>
      <c r="F4224" s="15">
        <f t="shared" si="70"/>
        <v>-46150062.000000007</v>
      </c>
    </row>
    <row r="4225" spans="1:6" x14ac:dyDescent="0.2">
      <c r="A4225" s="3">
        <v>45898</v>
      </c>
      <c r="B4225" s="43">
        <v>20079958</v>
      </c>
      <c r="C4225" s="20" t="s">
        <v>319</v>
      </c>
      <c r="D4225" s="18">
        <v>1459200</v>
      </c>
      <c r="E4225" s="19"/>
      <c r="F4225" s="15">
        <f t="shared" si="70"/>
        <v>-47609262.000000007</v>
      </c>
    </row>
    <row r="4226" spans="1:6" x14ac:dyDescent="0.2">
      <c r="A4226" s="3">
        <v>45898</v>
      </c>
      <c r="B4226" s="43">
        <v>20079959</v>
      </c>
      <c r="C4226" s="20" t="s">
        <v>319</v>
      </c>
      <c r="D4226" s="18">
        <v>1419700</v>
      </c>
      <c r="E4226" s="19"/>
      <c r="F4226" s="15">
        <f t="shared" si="70"/>
        <v>-49028962.000000007</v>
      </c>
    </row>
    <row r="4227" spans="1:6" x14ac:dyDescent="0.2">
      <c r="A4227" s="3">
        <v>45898</v>
      </c>
      <c r="B4227" s="43">
        <v>20079960</v>
      </c>
      <c r="C4227" s="20" t="s">
        <v>319</v>
      </c>
      <c r="D4227" s="18">
        <v>480890</v>
      </c>
      <c r="E4227" s="19"/>
      <c r="F4227" s="15">
        <f t="shared" si="70"/>
        <v>-49509852.000000007</v>
      </c>
    </row>
    <row r="4228" spans="1:6" x14ac:dyDescent="0.2">
      <c r="A4228" s="3">
        <v>45898</v>
      </c>
      <c r="B4228" s="43">
        <v>20079961</v>
      </c>
      <c r="C4228" s="20" t="s">
        <v>319</v>
      </c>
      <c r="D4228" s="18">
        <v>3240100</v>
      </c>
      <c r="E4228" s="19"/>
      <c r="F4228" s="15">
        <f t="shared" si="70"/>
        <v>-52749952.000000007</v>
      </c>
    </row>
    <row r="4229" spans="1:6" x14ac:dyDescent="0.2">
      <c r="A4229" s="3">
        <v>45898</v>
      </c>
      <c r="B4229" s="43">
        <v>20079962</v>
      </c>
      <c r="C4229" s="20" t="s">
        <v>319</v>
      </c>
      <c r="D4229" s="18">
        <v>815170</v>
      </c>
      <c r="E4229" s="19"/>
      <c r="F4229" s="15">
        <f t="shared" si="70"/>
        <v>-53565122.000000007</v>
      </c>
    </row>
    <row r="4230" spans="1:6" x14ac:dyDescent="0.2">
      <c r="A4230" s="3">
        <v>45898</v>
      </c>
      <c r="B4230" s="43">
        <v>20079963</v>
      </c>
      <c r="C4230" s="20" t="s">
        <v>319</v>
      </c>
      <c r="D4230" s="18">
        <v>1393000</v>
      </c>
      <c r="E4230" s="19"/>
      <c r="F4230" s="15">
        <f t="shared" si="70"/>
        <v>-54958122.000000007</v>
      </c>
    </row>
    <row r="4231" spans="1:6" x14ac:dyDescent="0.2">
      <c r="A4231" s="3">
        <v>45898</v>
      </c>
      <c r="B4231" s="43">
        <v>20079964</v>
      </c>
      <c r="C4231" s="20" t="s">
        <v>319</v>
      </c>
      <c r="D4231" s="18">
        <v>57000</v>
      </c>
      <c r="E4231" s="19"/>
      <c r="F4231" s="15">
        <f t="shared" si="70"/>
        <v>-55015122.000000007</v>
      </c>
    </row>
    <row r="4232" spans="1:6" x14ac:dyDescent="0.2">
      <c r="A4232" s="3">
        <v>45898</v>
      </c>
      <c r="B4232" s="43">
        <v>20079965</v>
      </c>
      <c r="C4232" s="20" t="s">
        <v>319</v>
      </c>
      <c r="D4232" s="18">
        <v>366700</v>
      </c>
      <c r="E4232" s="19"/>
      <c r="F4232" s="15">
        <f t="shared" si="70"/>
        <v>-55381822.000000007</v>
      </c>
    </row>
    <row r="4233" spans="1:6" x14ac:dyDescent="0.2">
      <c r="A4233" s="3">
        <v>45898</v>
      </c>
      <c r="B4233" s="43">
        <v>20079966</v>
      </c>
      <c r="C4233" s="20" t="s">
        <v>319</v>
      </c>
      <c r="D4233" s="18">
        <v>76000</v>
      </c>
      <c r="E4233" s="19"/>
      <c r="F4233" s="15">
        <f t="shared" si="70"/>
        <v>-55457822.000000007</v>
      </c>
    </row>
    <row r="4234" spans="1:6" x14ac:dyDescent="0.2">
      <c r="A4234" s="3">
        <v>45898</v>
      </c>
      <c r="B4234" s="43">
        <v>20079967</v>
      </c>
      <c r="C4234" s="20" t="s">
        <v>319</v>
      </c>
      <c r="D4234" s="18">
        <v>2426500</v>
      </c>
      <c r="E4234" s="19"/>
      <c r="F4234" s="15">
        <f t="shared" si="70"/>
        <v>-57884322.000000007</v>
      </c>
    </row>
    <row r="4235" spans="1:6" x14ac:dyDescent="0.2">
      <c r="A4235" s="3">
        <v>45898</v>
      </c>
      <c r="B4235" s="43">
        <v>20079968</v>
      </c>
      <c r="C4235" s="20" t="s">
        <v>319</v>
      </c>
      <c r="D4235" s="18">
        <v>2183200</v>
      </c>
      <c r="E4235" s="19"/>
      <c r="F4235" s="15">
        <f t="shared" si="70"/>
        <v>-60067522.000000007</v>
      </c>
    </row>
    <row r="4236" spans="1:6" x14ac:dyDescent="0.2">
      <c r="A4236" s="3">
        <v>45898</v>
      </c>
      <c r="B4236" s="43">
        <v>20079969</v>
      </c>
      <c r="C4236" s="20" t="s">
        <v>319</v>
      </c>
      <c r="D4236" s="18">
        <v>2337000</v>
      </c>
      <c r="E4236" s="19"/>
      <c r="F4236" s="15">
        <f t="shared" si="70"/>
        <v>-62404522.000000007</v>
      </c>
    </row>
    <row r="4237" spans="1:6" x14ac:dyDescent="0.2">
      <c r="A4237" s="3">
        <v>45898</v>
      </c>
      <c r="B4237" s="43">
        <v>20079970</v>
      </c>
      <c r="C4237" s="20" t="s">
        <v>319</v>
      </c>
      <c r="D4237" s="18">
        <v>99750</v>
      </c>
      <c r="E4237" s="19"/>
      <c r="F4237" s="15">
        <f t="shared" si="70"/>
        <v>-62504272.000000007</v>
      </c>
    </row>
    <row r="4238" spans="1:6" x14ac:dyDescent="0.2">
      <c r="A4238" s="3">
        <v>45898</v>
      </c>
      <c r="B4238" s="43">
        <v>20079971</v>
      </c>
      <c r="C4238" s="20" t="s">
        <v>319</v>
      </c>
      <c r="D4238" s="18">
        <v>90250</v>
      </c>
      <c r="E4238" s="19"/>
      <c r="F4238" s="15">
        <f t="shared" si="70"/>
        <v>-62594522.000000007</v>
      </c>
    </row>
    <row r="4239" spans="1:6" x14ac:dyDescent="0.2">
      <c r="A4239" s="3">
        <v>45898</v>
      </c>
      <c r="B4239" s="43">
        <v>20079972</v>
      </c>
      <c r="C4239" s="20" t="s">
        <v>319</v>
      </c>
      <c r="D4239" s="18">
        <v>540000</v>
      </c>
      <c r="E4239" s="19"/>
      <c r="F4239" s="15">
        <f t="shared" si="70"/>
        <v>-63134522.000000007</v>
      </c>
    </row>
    <row r="4240" spans="1:6" x14ac:dyDescent="0.2">
      <c r="A4240" s="3">
        <v>45898</v>
      </c>
      <c r="B4240" s="43">
        <v>20079973</v>
      </c>
      <c r="C4240" s="20" t="s">
        <v>319</v>
      </c>
      <c r="D4240" s="18">
        <v>2071000</v>
      </c>
      <c r="E4240" s="19"/>
      <c r="F4240" s="15">
        <f t="shared" si="70"/>
        <v>-65205522.000000007</v>
      </c>
    </row>
    <row r="4241" spans="1:6" x14ac:dyDescent="0.2">
      <c r="A4241" s="3">
        <v>45898</v>
      </c>
      <c r="B4241" s="43">
        <v>20079974</v>
      </c>
      <c r="C4241" s="20" t="s">
        <v>319</v>
      </c>
      <c r="D4241" s="18">
        <v>1664865</v>
      </c>
      <c r="E4241" s="19"/>
      <c r="F4241" s="15">
        <f t="shared" si="70"/>
        <v>-66870387.000000007</v>
      </c>
    </row>
    <row r="4242" spans="1:6" x14ac:dyDescent="0.2">
      <c r="A4242" s="3">
        <v>45898</v>
      </c>
      <c r="B4242" s="43">
        <v>20079975</v>
      </c>
      <c r="C4242" s="20" t="s">
        <v>319</v>
      </c>
      <c r="D4242" s="18">
        <v>486000</v>
      </c>
      <c r="E4242" s="19"/>
      <c r="F4242" s="15">
        <f t="shared" si="70"/>
        <v>-67356387</v>
      </c>
    </row>
    <row r="4243" spans="1:6" x14ac:dyDescent="0.2">
      <c r="A4243" s="3">
        <v>45898</v>
      </c>
      <c r="B4243" s="43">
        <v>20079976</v>
      </c>
      <c r="C4243" s="20" t="s">
        <v>319</v>
      </c>
      <c r="D4243" s="18">
        <v>100000</v>
      </c>
      <c r="E4243" s="19"/>
      <c r="F4243" s="15">
        <f t="shared" si="70"/>
        <v>-67456387</v>
      </c>
    </row>
    <row r="4244" spans="1:6" x14ac:dyDescent="0.2">
      <c r="A4244" s="3">
        <v>45898</v>
      </c>
      <c r="B4244" s="43">
        <v>20079977</v>
      </c>
      <c r="C4244" s="20" t="s">
        <v>319</v>
      </c>
      <c r="D4244" s="18">
        <v>358000</v>
      </c>
      <c r="E4244" s="19"/>
      <c r="F4244" s="15">
        <f t="shared" si="70"/>
        <v>-67814387</v>
      </c>
    </row>
    <row r="4245" spans="1:6" x14ac:dyDescent="0.2">
      <c r="A4245" s="3">
        <v>45898</v>
      </c>
      <c r="B4245" s="46">
        <v>7810670</v>
      </c>
      <c r="C4245" s="58" t="s">
        <v>106</v>
      </c>
      <c r="D4245" s="52"/>
      <c r="E4245" s="52">
        <v>100318931.38</v>
      </c>
      <c r="F4245" s="15">
        <f t="shared" si="70"/>
        <v>32504544.379999995</v>
      </c>
    </row>
    <row r="4246" spans="1:6" x14ac:dyDescent="0.2">
      <c r="A4246" s="3">
        <v>45898</v>
      </c>
      <c r="B4246" s="44">
        <v>32559</v>
      </c>
      <c r="C4246" s="59" t="s">
        <v>12</v>
      </c>
      <c r="D4246" s="53">
        <v>551132.42000000004</v>
      </c>
      <c r="E4246" s="24"/>
      <c r="F4246" s="15">
        <f t="shared" si="70"/>
        <v>31953411.959999993</v>
      </c>
    </row>
    <row r="4247" spans="1:6" x14ac:dyDescent="0.2">
      <c r="A4247" s="3">
        <v>45898</v>
      </c>
      <c r="B4247" s="43">
        <v>32318</v>
      </c>
      <c r="C4247" s="17" t="s">
        <v>12</v>
      </c>
      <c r="D4247" s="25">
        <v>3961980.63</v>
      </c>
      <c r="E4247" s="19"/>
      <c r="F4247" s="15">
        <f t="shared" si="70"/>
        <v>27991431.329999994</v>
      </c>
    </row>
    <row r="4248" spans="1:6" x14ac:dyDescent="0.2">
      <c r="A4248" s="3">
        <v>45898</v>
      </c>
      <c r="B4248" s="43">
        <v>32470</v>
      </c>
      <c r="C4248" s="17" t="s">
        <v>12</v>
      </c>
      <c r="D4248" s="25">
        <v>4806624.38</v>
      </c>
      <c r="E4248" s="19"/>
      <c r="F4248" s="15">
        <f t="shared" si="70"/>
        <v>23184806.949999996</v>
      </c>
    </row>
    <row r="4249" spans="1:6" x14ac:dyDescent="0.2">
      <c r="A4249" s="3">
        <v>45898</v>
      </c>
      <c r="B4249" s="43">
        <v>32262</v>
      </c>
      <c r="C4249" s="17" t="s">
        <v>12</v>
      </c>
      <c r="D4249" s="25">
        <v>4823595</v>
      </c>
      <c r="E4249" s="19"/>
      <c r="F4249" s="15">
        <f t="shared" si="70"/>
        <v>18361211.949999996</v>
      </c>
    </row>
    <row r="4250" spans="1:6" x14ac:dyDescent="0.2">
      <c r="A4250" s="3">
        <v>45898</v>
      </c>
      <c r="B4250" s="43">
        <v>32315</v>
      </c>
      <c r="C4250" s="17" t="s">
        <v>12</v>
      </c>
      <c r="D4250" s="25">
        <v>5902316</v>
      </c>
      <c r="E4250" s="19"/>
      <c r="F4250" s="15">
        <f t="shared" si="70"/>
        <v>12458895.949999996</v>
      </c>
    </row>
    <row r="4251" spans="1:6" x14ac:dyDescent="0.2">
      <c r="A4251" s="3">
        <v>45898</v>
      </c>
      <c r="B4251" s="45"/>
      <c r="C4251" s="17" t="s">
        <v>232</v>
      </c>
      <c r="D4251" s="25">
        <v>573.29999999999995</v>
      </c>
      <c r="E4251" s="19"/>
      <c r="F4251" s="15">
        <f t="shared" si="70"/>
        <v>12458322.649999995</v>
      </c>
    </row>
    <row r="4252" spans="1:6" x14ac:dyDescent="0.2">
      <c r="A4252" s="3">
        <v>45898</v>
      </c>
      <c r="B4252" s="45"/>
      <c r="C4252" s="17" t="s">
        <v>95</v>
      </c>
      <c r="D4252" s="25">
        <v>2730</v>
      </c>
      <c r="E4252" s="19"/>
      <c r="F4252" s="15">
        <f t="shared" ref="F4252:F4254" si="71">+F4251+E4252-D4252</f>
        <v>12455592.649999995</v>
      </c>
    </row>
    <row r="4253" spans="1:6" x14ac:dyDescent="0.2">
      <c r="A4253" s="3">
        <v>45898</v>
      </c>
      <c r="B4253" s="45"/>
      <c r="C4253" s="17" t="s">
        <v>88</v>
      </c>
      <c r="D4253" s="25">
        <v>16384800</v>
      </c>
      <c r="E4253" s="19"/>
      <c r="F4253" s="15">
        <f t="shared" si="71"/>
        <v>-3929207.3500000052</v>
      </c>
    </row>
    <row r="4254" spans="1:6" x14ac:dyDescent="0.2">
      <c r="A4254" s="3">
        <v>45898</v>
      </c>
      <c r="B4254" s="54"/>
      <c r="C4254" s="33" t="s">
        <v>16</v>
      </c>
      <c r="D4254" s="34">
        <v>550481.35</v>
      </c>
      <c r="E4254" s="35"/>
      <c r="F4254" s="15">
        <f t="shared" si="71"/>
        <v>-4479688.7000000048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F04C6-F7EF-41BD-983A-0204D41434D0}">
  <dimension ref="A1:H4253"/>
  <sheetViews>
    <sheetView workbookViewId="0">
      <pane ySplit="1" topLeftCell="A2" activePane="bottomLeft" state="frozen"/>
      <selection pane="bottomLeft" activeCell="F2" sqref="F2"/>
    </sheetView>
  </sheetViews>
  <sheetFormatPr baseColWidth="10" defaultColWidth="8.83203125" defaultRowHeight="11.25" x14ac:dyDescent="0.2"/>
  <cols>
    <col min="1" max="1" width="10.6640625" style="96" customWidth="1"/>
    <col min="2" max="2" width="9.1640625" style="38" bestFit="1" customWidth="1"/>
    <col min="3" max="3" width="59.83203125" style="9" bestFit="1" customWidth="1"/>
    <col min="4" max="4" width="15.6640625" style="9" customWidth="1"/>
    <col min="5" max="5" width="11.1640625" style="9" bestFit="1" customWidth="1"/>
    <col min="6" max="7" width="12.33203125" style="9" bestFit="1" customWidth="1"/>
    <col min="8" max="16384" width="8.83203125" style="9"/>
  </cols>
  <sheetData>
    <row r="1" spans="1:8" s="2" customFormat="1" x14ac:dyDescent="0.2">
      <c r="A1" s="9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598</v>
      </c>
    </row>
    <row r="2" spans="1:8" x14ac:dyDescent="0.2">
      <c r="A2" s="91">
        <v>45608</v>
      </c>
      <c r="B2" s="42"/>
      <c r="C2" s="61" t="s">
        <v>156</v>
      </c>
      <c r="D2" s="14"/>
      <c r="E2" s="13">
        <v>1633.75</v>
      </c>
      <c r="F2" s="15">
        <f>+E2-D2</f>
        <v>1633.75</v>
      </c>
    </row>
    <row r="3" spans="1:8" x14ac:dyDescent="0.2">
      <c r="A3" s="91">
        <v>45623</v>
      </c>
      <c r="B3" s="45"/>
      <c r="C3" s="17" t="s">
        <v>156</v>
      </c>
      <c r="D3" s="19"/>
      <c r="E3" s="18">
        <v>1800</v>
      </c>
      <c r="F3" s="15">
        <f t="shared" ref="F3:F66" si="0">+E3-D3</f>
        <v>1800</v>
      </c>
    </row>
    <row r="4" spans="1:8" x14ac:dyDescent="0.2">
      <c r="A4" s="91">
        <v>45649</v>
      </c>
      <c r="B4" s="45"/>
      <c r="C4" s="17" t="s">
        <v>156</v>
      </c>
      <c r="D4" s="19"/>
      <c r="E4" s="18">
        <v>1800</v>
      </c>
      <c r="F4" s="15">
        <f t="shared" si="0"/>
        <v>1800</v>
      </c>
    </row>
    <row r="5" spans="1:8" x14ac:dyDescent="0.2">
      <c r="A5" s="91">
        <v>45744</v>
      </c>
      <c r="B5" s="45"/>
      <c r="C5" s="17" t="s">
        <v>156</v>
      </c>
      <c r="D5" s="19"/>
      <c r="E5" s="18">
        <v>40519.82</v>
      </c>
      <c r="F5" s="15">
        <f t="shared" si="0"/>
        <v>40519.82</v>
      </c>
    </row>
    <row r="6" spans="1:8" x14ac:dyDescent="0.2">
      <c r="A6" s="91">
        <v>45784</v>
      </c>
      <c r="B6" s="45"/>
      <c r="C6" s="17" t="s">
        <v>156</v>
      </c>
      <c r="D6" s="19"/>
      <c r="E6" s="18">
        <v>35804.660000000003</v>
      </c>
      <c r="F6" s="15">
        <f t="shared" si="0"/>
        <v>35804.660000000003</v>
      </c>
    </row>
    <row r="7" spans="1:8" x14ac:dyDescent="0.2">
      <c r="A7" s="91">
        <v>45804</v>
      </c>
      <c r="B7" s="45"/>
      <c r="C7" s="17" t="s">
        <v>156</v>
      </c>
      <c r="D7" s="19"/>
      <c r="E7" s="18">
        <v>1683.42</v>
      </c>
      <c r="F7" s="15">
        <f t="shared" si="0"/>
        <v>1683.42</v>
      </c>
    </row>
    <row r="8" spans="1:8" x14ac:dyDescent="0.2">
      <c r="A8" s="91">
        <v>45623</v>
      </c>
      <c r="B8" s="43">
        <v>232206</v>
      </c>
      <c r="C8" s="20" t="s">
        <v>193</v>
      </c>
      <c r="D8" s="19"/>
      <c r="E8" s="18">
        <v>300000</v>
      </c>
      <c r="F8" s="15">
        <f t="shared" si="0"/>
        <v>300000</v>
      </c>
    </row>
    <row r="9" spans="1:8" x14ac:dyDescent="0.2">
      <c r="A9" s="91">
        <v>45649</v>
      </c>
      <c r="B9" s="43">
        <v>160674</v>
      </c>
      <c r="C9" s="20" t="s">
        <v>193</v>
      </c>
      <c r="D9" s="19"/>
      <c r="E9" s="18">
        <v>300000</v>
      </c>
      <c r="F9" s="15">
        <f t="shared" si="0"/>
        <v>300000</v>
      </c>
    </row>
    <row r="10" spans="1:8" x14ac:dyDescent="0.2">
      <c r="A10" s="91">
        <v>45537</v>
      </c>
      <c r="B10" s="16">
        <v>31459</v>
      </c>
      <c r="C10" s="17" t="s">
        <v>12</v>
      </c>
      <c r="D10" s="18">
        <v>1179921.3999999999</v>
      </c>
      <c r="E10" s="19"/>
      <c r="F10" s="15">
        <f t="shared" si="0"/>
        <v>-1179921.3999999999</v>
      </c>
      <c r="H10" s="10"/>
    </row>
    <row r="11" spans="1:8" x14ac:dyDescent="0.2">
      <c r="A11" s="91">
        <v>45537</v>
      </c>
      <c r="B11" s="16">
        <v>31545</v>
      </c>
      <c r="C11" s="17" t="s">
        <v>12</v>
      </c>
      <c r="D11" s="18">
        <v>4805101</v>
      </c>
      <c r="E11" s="19"/>
      <c r="F11" s="15">
        <f t="shared" si="0"/>
        <v>-4805101</v>
      </c>
      <c r="H11" s="10"/>
    </row>
    <row r="12" spans="1:8" x14ac:dyDescent="0.2">
      <c r="A12" s="91">
        <v>45538</v>
      </c>
      <c r="B12" s="16">
        <v>31502</v>
      </c>
      <c r="C12" s="17" t="s">
        <v>12</v>
      </c>
      <c r="D12" s="18">
        <v>207582.44</v>
      </c>
      <c r="E12" s="19"/>
      <c r="F12" s="15">
        <f t="shared" si="0"/>
        <v>-207582.44</v>
      </c>
      <c r="H12" s="10"/>
    </row>
    <row r="13" spans="1:8" x14ac:dyDescent="0.2">
      <c r="A13" s="91">
        <v>45538</v>
      </c>
      <c r="B13" s="16">
        <v>31410</v>
      </c>
      <c r="C13" s="17" t="s">
        <v>12</v>
      </c>
      <c r="D13" s="18">
        <v>483772.02</v>
      </c>
      <c r="E13" s="19"/>
      <c r="F13" s="15">
        <f t="shared" si="0"/>
        <v>-483772.02</v>
      </c>
      <c r="H13" s="10"/>
    </row>
    <row r="14" spans="1:8" x14ac:dyDescent="0.2">
      <c r="A14" s="91">
        <v>45539</v>
      </c>
      <c r="B14" s="16">
        <v>31371</v>
      </c>
      <c r="C14" s="17" t="s">
        <v>12</v>
      </c>
      <c r="D14" s="18">
        <v>4415322.62</v>
      </c>
      <c r="E14" s="19"/>
      <c r="F14" s="15">
        <f t="shared" si="0"/>
        <v>-4415322.62</v>
      </c>
      <c r="H14" s="10"/>
    </row>
    <row r="15" spans="1:8" x14ac:dyDescent="0.2">
      <c r="A15" s="91">
        <v>45540</v>
      </c>
      <c r="B15" s="16">
        <v>31477</v>
      </c>
      <c r="C15" s="17" t="s">
        <v>12</v>
      </c>
      <c r="D15" s="18">
        <v>111804</v>
      </c>
      <c r="E15" s="19"/>
      <c r="F15" s="15">
        <f t="shared" si="0"/>
        <v>-111804</v>
      </c>
      <c r="H15" s="10"/>
    </row>
    <row r="16" spans="1:8" x14ac:dyDescent="0.2">
      <c r="A16" s="91">
        <v>45541</v>
      </c>
      <c r="B16" s="16">
        <v>31637</v>
      </c>
      <c r="C16" s="17" t="s">
        <v>12</v>
      </c>
      <c r="D16" s="18">
        <v>72348.31</v>
      </c>
      <c r="E16" s="19"/>
      <c r="F16" s="15">
        <f t="shared" si="0"/>
        <v>-72348.31</v>
      </c>
      <c r="H16" s="10"/>
    </row>
    <row r="17" spans="1:8" x14ac:dyDescent="0.2">
      <c r="A17" s="91">
        <v>45544</v>
      </c>
      <c r="B17" s="16">
        <v>31594</v>
      </c>
      <c r="C17" s="17" t="s">
        <v>12</v>
      </c>
      <c r="D17" s="18">
        <v>187500</v>
      </c>
      <c r="E17" s="19"/>
      <c r="F17" s="15">
        <f t="shared" si="0"/>
        <v>-187500</v>
      </c>
      <c r="H17" s="10"/>
    </row>
    <row r="18" spans="1:8" x14ac:dyDescent="0.2">
      <c r="A18" s="91">
        <v>45544</v>
      </c>
      <c r="B18" s="16">
        <v>31686</v>
      </c>
      <c r="C18" s="17" t="s">
        <v>12</v>
      </c>
      <c r="D18" s="18">
        <v>187500</v>
      </c>
      <c r="E18" s="19"/>
      <c r="F18" s="15">
        <f t="shared" si="0"/>
        <v>-187500</v>
      </c>
      <c r="H18" s="10"/>
    </row>
    <row r="19" spans="1:8" x14ac:dyDescent="0.2">
      <c r="A19" s="91">
        <v>45545</v>
      </c>
      <c r="B19" s="16">
        <v>31615</v>
      </c>
      <c r="C19" s="17" t="s">
        <v>12</v>
      </c>
      <c r="D19" s="18">
        <v>31615.54</v>
      </c>
      <c r="E19" s="19"/>
      <c r="F19" s="15">
        <f t="shared" si="0"/>
        <v>-31615.54</v>
      </c>
      <c r="H19" s="10"/>
    </row>
    <row r="20" spans="1:8" x14ac:dyDescent="0.2">
      <c r="A20" s="91">
        <v>45546</v>
      </c>
      <c r="B20" s="16">
        <v>31397</v>
      </c>
      <c r="C20" s="17" t="s">
        <v>12</v>
      </c>
      <c r="D20" s="18">
        <v>126627.9</v>
      </c>
      <c r="E20" s="19"/>
      <c r="F20" s="15">
        <f t="shared" si="0"/>
        <v>-126627.9</v>
      </c>
      <c r="H20" s="10"/>
    </row>
    <row r="21" spans="1:8" x14ac:dyDescent="0.2">
      <c r="A21" s="91">
        <v>45546</v>
      </c>
      <c r="B21" s="21">
        <v>31621</v>
      </c>
      <c r="C21" s="22" t="s">
        <v>12</v>
      </c>
      <c r="D21" s="23">
        <v>133797</v>
      </c>
      <c r="E21" s="24"/>
      <c r="F21" s="15">
        <f t="shared" si="0"/>
        <v>-133797</v>
      </c>
      <c r="H21" s="10"/>
    </row>
    <row r="22" spans="1:8" x14ac:dyDescent="0.2">
      <c r="A22" s="91">
        <v>45551</v>
      </c>
      <c r="B22" s="16">
        <v>31547</v>
      </c>
      <c r="C22" s="17" t="s">
        <v>12</v>
      </c>
      <c r="D22" s="18">
        <v>72000</v>
      </c>
      <c r="E22" s="19"/>
      <c r="F22" s="15">
        <f t="shared" si="0"/>
        <v>-72000</v>
      </c>
      <c r="H22" s="10"/>
    </row>
    <row r="23" spans="1:8" x14ac:dyDescent="0.2">
      <c r="A23" s="91">
        <v>45553</v>
      </c>
      <c r="B23" s="16">
        <v>31419</v>
      </c>
      <c r="C23" s="17" t="s">
        <v>12</v>
      </c>
      <c r="D23" s="18">
        <v>8687627.5</v>
      </c>
      <c r="E23" s="19"/>
      <c r="F23" s="15">
        <f t="shared" si="0"/>
        <v>-8687627.5</v>
      </c>
      <c r="H23" s="10"/>
    </row>
    <row r="24" spans="1:8" x14ac:dyDescent="0.2">
      <c r="A24" s="91">
        <v>45561</v>
      </c>
      <c r="B24" s="16">
        <v>31404</v>
      </c>
      <c r="C24" s="17" t="s">
        <v>12</v>
      </c>
      <c r="D24" s="18">
        <v>879777.2</v>
      </c>
      <c r="E24" s="19"/>
      <c r="F24" s="15">
        <f t="shared" si="0"/>
        <v>-879777.2</v>
      </c>
      <c r="H24" s="10"/>
    </row>
    <row r="25" spans="1:8" x14ac:dyDescent="0.2">
      <c r="A25" s="91">
        <v>45561</v>
      </c>
      <c r="B25" s="16">
        <v>31396</v>
      </c>
      <c r="C25" s="17" t="s">
        <v>12</v>
      </c>
      <c r="D25" s="18">
        <v>3211850</v>
      </c>
      <c r="E25" s="19"/>
      <c r="F25" s="15">
        <f t="shared" si="0"/>
        <v>-3211850</v>
      </c>
      <c r="H25" s="10"/>
    </row>
    <row r="26" spans="1:8" x14ac:dyDescent="0.2">
      <c r="A26" s="91">
        <v>45561</v>
      </c>
      <c r="B26" s="16">
        <v>31407</v>
      </c>
      <c r="C26" s="17" t="s">
        <v>12</v>
      </c>
      <c r="D26" s="18">
        <v>4000000</v>
      </c>
      <c r="E26" s="19"/>
      <c r="F26" s="15">
        <f t="shared" si="0"/>
        <v>-4000000</v>
      </c>
      <c r="H26" s="10"/>
    </row>
    <row r="27" spans="1:8" x14ac:dyDescent="0.2">
      <c r="A27" s="91">
        <v>45562</v>
      </c>
      <c r="B27" s="16">
        <v>31691</v>
      </c>
      <c r="C27" s="17" t="s">
        <v>12</v>
      </c>
      <c r="D27" s="18">
        <v>335991.49</v>
      </c>
      <c r="E27" s="19"/>
      <c r="F27" s="15">
        <f t="shared" si="0"/>
        <v>-335991.49</v>
      </c>
      <c r="H27" s="10"/>
    </row>
    <row r="28" spans="1:8" x14ac:dyDescent="0.2">
      <c r="A28" s="91">
        <v>45562</v>
      </c>
      <c r="B28" s="16">
        <v>31399</v>
      </c>
      <c r="C28" s="17" t="s">
        <v>12</v>
      </c>
      <c r="D28" s="18">
        <v>7315732.3799999999</v>
      </c>
      <c r="E28" s="19"/>
      <c r="F28" s="15">
        <f t="shared" si="0"/>
        <v>-7315732.3799999999</v>
      </c>
      <c r="H28" s="10"/>
    </row>
    <row r="29" spans="1:8" x14ac:dyDescent="0.2">
      <c r="A29" s="91">
        <v>45565</v>
      </c>
      <c r="B29" s="16">
        <v>31577</v>
      </c>
      <c r="C29" s="17" t="s">
        <v>12</v>
      </c>
      <c r="D29" s="25">
        <v>541418.61</v>
      </c>
      <c r="E29" s="19"/>
      <c r="F29" s="15">
        <f t="shared" si="0"/>
        <v>-541418.61</v>
      </c>
      <c r="H29" s="10"/>
    </row>
    <row r="30" spans="1:8" x14ac:dyDescent="0.2">
      <c r="A30" s="91">
        <v>45565</v>
      </c>
      <c r="B30" s="16">
        <v>31556</v>
      </c>
      <c r="C30" s="17" t="s">
        <v>12</v>
      </c>
      <c r="D30" s="25">
        <v>549132.36</v>
      </c>
      <c r="E30" s="19"/>
      <c r="F30" s="15">
        <f t="shared" si="0"/>
        <v>-549132.36</v>
      </c>
      <c r="H30" s="10"/>
    </row>
    <row r="31" spans="1:8" x14ac:dyDescent="0.2">
      <c r="A31" s="91">
        <v>45565</v>
      </c>
      <c r="B31" s="16">
        <v>31584</v>
      </c>
      <c r="C31" s="17" t="s">
        <v>12</v>
      </c>
      <c r="D31" s="25">
        <v>1800000</v>
      </c>
      <c r="E31" s="19"/>
      <c r="F31" s="15">
        <f t="shared" si="0"/>
        <v>-1800000</v>
      </c>
      <c r="H31" s="10"/>
    </row>
    <row r="32" spans="1:8" x14ac:dyDescent="0.2">
      <c r="A32" s="91">
        <v>45565</v>
      </c>
      <c r="B32" s="16">
        <v>31578</v>
      </c>
      <c r="C32" s="17" t="s">
        <v>12</v>
      </c>
      <c r="D32" s="25">
        <v>2080198.22</v>
      </c>
      <c r="E32" s="19"/>
      <c r="F32" s="15">
        <f t="shared" si="0"/>
        <v>-2080198.22</v>
      </c>
      <c r="H32" s="10"/>
    </row>
    <row r="33" spans="1:8" x14ac:dyDescent="0.2">
      <c r="A33" s="91">
        <v>45565</v>
      </c>
      <c r="B33" s="16">
        <v>31560</v>
      </c>
      <c r="C33" s="17" t="s">
        <v>12</v>
      </c>
      <c r="D33" s="25">
        <v>2246359.3199999998</v>
      </c>
      <c r="E33" s="19"/>
      <c r="F33" s="15">
        <f t="shared" si="0"/>
        <v>-2246359.3199999998</v>
      </c>
      <c r="H33" s="10"/>
    </row>
    <row r="34" spans="1:8" x14ac:dyDescent="0.2">
      <c r="A34" s="91">
        <v>45565</v>
      </c>
      <c r="B34" s="16">
        <v>31541</v>
      </c>
      <c r="C34" s="17" t="s">
        <v>12</v>
      </c>
      <c r="D34" s="25">
        <v>7228765.1699999999</v>
      </c>
      <c r="E34" s="19"/>
      <c r="F34" s="15">
        <f t="shared" si="0"/>
        <v>-7228765.1699999999</v>
      </c>
      <c r="H34" s="10"/>
    </row>
    <row r="35" spans="1:8" x14ac:dyDescent="0.2">
      <c r="A35" s="91">
        <v>45565</v>
      </c>
      <c r="B35" s="16">
        <v>31492</v>
      </c>
      <c r="C35" s="17" t="s">
        <v>12</v>
      </c>
      <c r="D35" s="25">
        <v>9151730.3499999996</v>
      </c>
      <c r="E35" s="19"/>
      <c r="F35" s="15">
        <f t="shared" si="0"/>
        <v>-9151730.3499999996</v>
      </c>
      <c r="H35" s="10"/>
    </row>
    <row r="36" spans="1:8" x14ac:dyDescent="0.2">
      <c r="A36" s="91">
        <v>45568</v>
      </c>
      <c r="B36" s="43">
        <v>31432</v>
      </c>
      <c r="C36" s="17" t="s">
        <v>12</v>
      </c>
      <c r="D36" s="18">
        <v>4334614</v>
      </c>
      <c r="E36" s="19"/>
      <c r="F36" s="15">
        <f t="shared" si="0"/>
        <v>-4334614</v>
      </c>
    </row>
    <row r="37" spans="1:8" x14ac:dyDescent="0.2">
      <c r="A37" s="91">
        <v>45568</v>
      </c>
      <c r="B37" s="43">
        <v>31434</v>
      </c>
      <c r="C37" s="17" t="s">
        <v>12</v>
      </c>
      <c r="D37" s="18">
        <v>6093103.3499999996</v>
      </c>
      <c r="E37" s="19"/>
      <c r="F37" s="15">
        <f t="shared" si="0"/>
        <v>-6093103.3499999996</v>
      </c>
    </row>
    <row r="38" spans="1:8" x14ac:dyDescent="0.2">
      <c r="A38" s="91">
        <v>45569</v>
      </c>
      <c r="B38" s="43">
        <v>31740</v>
      </c>
      <c r="C38" s="17" t="s">
        <v>12</v>
      </c>
      <c r="D38" s="18">
        <v>211442.38</v>
      </c>
      <c r="E38" s="19"/>
      <c r="F38" s="15">
        <f t="shared" si="0"/>
        <v>-211442.38</v>
      </c>
    </row>
    <row r="39" spans="1:8" x14ac:dyDescent="0.2">
      <c r="A39" s="91">
        <v>45572</v>
      </c>
      <c r="B39" s="43">
        <v>31511</v>
      </c>
      <c r="C39" s="17" t="s">
        <v>12</v>
      </c>
      <c r="D39" s="18">
        <v>2815596</v>
      </c>
      <c r="E39" s="19"/>
      <c r="F39" s="15">
        <f t="shared" si="0"/>
        <v>-2815596</v>
      </c>
    </row>
    <row r="40" spans="1:8" x14ac:dyDescent="0.2">
      <c r="A40" s="91">
        <v>45572</v>
      </c>
      <c r="B40" s="43">
        <v>31562</v>
      </c>
      <c r="C40" s="17" t="s">
        <v>12</v>
      </c>
      <c r="D40" s="18">
        <v>5272856</v>
      </c>
      <c r="E40" s="19"/>
      <c r="F40" s="15">
        <f t="shared" si="0"/>
        <v>-5272856</v>
      </c>
    </row>
    <row r="41" spans="1:8" x14ac:dyDescent="0.2">
      <c r="A41" s="91">
        <v>45572</v>
      </c>
      <c r="B41" s="43">
        <v>31490</v>
      </c>
      <c r="C41" s="17" t="s">
        <v>12</v>
      </c>
      <c r="D41" s="18">
        <v>8426553</v>
      </c>
      <c r="E41" s="19"/>
      <c r="F41" s="15">
        <f t="shared" si="0"/>
        <v>-8426553</v>
      </c>
    </row>
    <row r="42" spans="1:8" x14ac:dyDescent="0.2">
      <c r="A42" s="91">
        <v>45575</v>
      </c>
      <c r="B42" s="43">
        <v>31676</v>
      </c>
      <c r="C42" s="17" t="s">
        <v>12</v>
      </c>
      <c r="D42" s="18">
        <v>139984.20000000001</v>
      </c>
      <c r="E42" s="19"/>
      <c r="F42" s="15">
        <f t="shared" si="0"/>
        <v>-139984.20000000001</v>
      </c>
    </row>
    <row r="43" spans="1:8" x14ac:dyDescent="0.2">
      <c r="A43" s="91">
        <v>45588</v>
      </c>
      <c r="B43" s="43">
        <v>8724</v>
      </c>
      <c r="C43" s="17" t="s">
        <v>12</v>
      </c>
      <c r="D43" s="18">
        <v>463474.51</v>
      </c>
      <c r="E43" s="19"/>
      <c r="F43" s="15">
        <f t="shared" si="0"/>
        <v>-463474.51</v>
      </c>
    </row>
    <row r="44" spans="1:8" x14ac:dyDescent="0.2">
      <c r="A44" s="91">
        <v>45590</v>
      </c>
      <c r="B44" s="43">
        <v>31767</v>
      </c>
      <c r="C44" s="17" t="s">
        <v>12</v>
      </c>
      <c r="D44" s="18">
        <v>42406.94</v>
      </c>
      <c r="E44" s="19"/>
      <c r="F44" s="15">
        <f t="shared" si="0"/>
        <v>-42406.94</v>
      </c>
    </row>
    <row r="45" spans="1:8" x14ac:dyDescent="0.2">
      <c r="A45" s="91">
        <v>45593</v>
      </c>
      <c r="B45" s="43">
        <v>31627</v>
      </c>
      <c r="C45" s="17" t="s">
        <v>12</v>
      </c>
      <c r="D45" s="18">
        <v>271645</v>
      </c>
      <c r="E45" s="19"/>
      <c r="F45" s="15">
        <f t="shared" si="0"/>
        <v>-271645</v>
      </c>
    </row>
    <row r="46" spans="1:8" x14ac:dyDescent="0.2">
      <c r="A46" s="91">
        <v>45593</v>
      </c>
      <c r="B46" s="43">
        <v>31677</v>
      </c>
      <c r="C46" s="17" t="s">
        <v>12</v>
      </c>
      <c r="D46" s="18">
        <v>2487286.7200000002</v>
      </c>
      <c r="E46" s="19"/>
      <c r="F46" s="15">
        <f t="shared" si="0"/>
        <v>-2487286.7200000002</v>
      </c>
    </row>
    <row r="47" spans="1:8" x14ac:dyDescent="0.2">
      <c r="A47" s="91">
        <v>45593</v>
      </c>
      <c r="B47" s="43">
        <v>31582</v>
      </c>
      <c r="C47" s="17" t="s">
        <v>12</v>
      </c>
      <c r="D47" s="18">
        <v>5104908.8</v>
      </c>
      <c r="E47" s="19"/>
      <c r="F47" s="15">
        <f t="shared" si="0"/>
        <v>-5104908.8</v>
      </c>
    </row>
    <row r="48" spans="1:8" x14ac:dyDescent="0.2">
      <c r="A48" s="91">
        <v>45593</v>
      </c>
      <c r="B48" s="44">
        <v>31408</v>
      </c>
      <c r="C48" s="22" t="s">
        <v>12</v>
      </c>
      <c r="D48" s="23">
        <v>5219940.5199999996</v>
      </c>
      <c r="E48" s="24"/>
      <c r="F48" s="15">
        <f t="shared" si="0"/>
        <v>-5219940.5199999996</v>
      </c>
    </row>
    <row r="49" spans="1:6" x14ac:dyDescent="0.2">
      <c r="A49" s="91">
        <v>45594</v>
      </c>
      <c r="B49" s="43">
        <v>31715</v>
      </c>
      <c r="C49" s="17" t="s">
        <v>12</v>
      </c>
      <c r="D49" s="18">
        <v>7320</v>
      </c>
      <c r="E49" s="19"/>
      <c r="F49" s="15">
        <f t="shared" si="0"/>
        <v>-7320</v>
      </c>
    </row>
    <row r="50" spans="1:6" x14ac:dyDescent="0.2">
      <c r="A50" s="91">
        <v>45594</v>
      </c>
      <c r="B50" s="43">
        <v>31632</v>
      </c>
      <c r="C50" s="17" t="s">
        <v>12</v>
      </c>
      <c r="D50" s="18">
        <v>2007585</v>
      </c>
      <c r="E50" s="19"/>
      <c r="F50" s="15">
        <f t="shared" si="0"/>
        <v>-2007585</v>
      </c>
    </row>
    <row r="51" spans="1:6" x14ac:dyDescent="0.2">
      <c r="A51" s="91">
        <v>45594</v>
      </c>
      <c r="B51" s="43">
        <v>31588</v>
      </c>
      <c r="C51" s="17" t="s">
        <v>12</v>
      </c>
      <c r="D51" s="18">
        <v>6197811</v>
      </c>
      <c r="E51" s="19"/>
      <c r="F51" s="15">
        <f t="shared" si="0"/>
        <v>-6197811</v>
      </c>
    </row>
    <row r="52" spans="1:6" x14ac:dyDescent="0.2">
      <c r="A52" s="91">
        <v>45594</v>
      </c>
      <c r="B52" s="43">
        <v>31619</v>
      </c>
      <c r="C52" s="17" t="s">
        <v>12</v>
      </c>
      <c r="D52" s="18">
        <v>7356013</v>
      </c>
      <c r="E52" s="19"/>
      <c r="F52" s="15">
        <f t="shared" si="0"/>
        <v>-7356013</v>
      </c>
    </row>
    <row r="53" spans="1:6" x14ac:dyDescent="0.2">
      <c r="A53" s="91">
        <v>45595</v>
      </c>
      <c r="B53" s="43">
        <v>31585</v>
      </c>
      <c r="C53" s="17" t="s">
        <v>12</v>
      </c>
      <c r="D53" s="18">
        <v>1809963.32</v>
      </c>
      <c r="E53" s="19"/>
      <c r="F53" s="15">
        <f t="shared" si="0"/>
        <v>-1809963.32</v>
      </c>
    </row>
    <row r="54" spans="1:6" x14ac:dyDescent="0.2">
      <c r="A54" s="91">
        <v>45595</v>
      </c>
      <c r="B54" s="43">
        <v>31623</v>
      </c>
      <c r="C54" s="17" t="s">
        <v>12</v>
      </c>
      <c r="D54" s="18">
        <v>2647959.88</v>
      </c>
      <c r="E54" s="19"/>
      <c r="F54" s="15">
        <f t="shared" si="0"/>
        <v>-2647959.88</v>
      </c>
    </row>
    <row r="55" spans="1:6" x14ac:dyDescent="0.2">
      <c r="A55" s="91">
        <v>45596</v>
      </c>
      <c r="B55" s="43">
        <v>31712</v>
      </c>
      <c r="C55" s="17" t="s">
        <v>12</v>
      </c>
      <c r="D55" s="25">
        <v>334000</v>
      </c>
      <c r="E55" s="19"/>
      <c r="F55" s="15">
        <f t="shared" si="0"/>
        <v>-334000</v>
      </c>
    </row>
    <row r="56" spans="1:6" x14ac:dyDescent="0.2">
      <c r="A56" s="91">
        <v>45597</v>
      </c>
      <c r="B56" s="43">
        <v>31512</v>
      </c>
      <c r="C56" s="17" t="s">
        <v>12</v>
      </c>
      <c r="D56" s="18">
        <v>2815597.15</v>
      </c>
      <c r="E56" s="19"/>
      <c r="F56" s="15">
        <f t="shared" si="0"/>
        <v>-2815597.15</v>
      </c>
    </row>
    <row r="57" spans="1:6" x14ac:dyDescent="0.2">
      <c r="A57" s="91">
        <v>45597</v>
      </c>
      <c r="B57" s="43">
        <v>31563</v>
      </c>
      <c r="C57" s="17" t="s">
        <v>12</v>
      </c>
      <c r="D57" s="18">
        <v>5272856.8</v>
      </c>
      <c r="E57" s="19"/>
      <c r="F57" s="15">
        <f t="shared" si="0"/>
        <v>-5272856.8</v>
      </c>
    </row>
    <row r="58" spans="1:6" x14ac:dyDescent="0.2">
      <c r="A58" s="91">
        <v>45597</v>
      </c>
      <c r="B58" s="43">
        <v>31630</v>
      </c>
      <c r="C58" s="17" t="s">
        <v>12</v>
      </c>
      <c r="D58" s="18">
        <v>7273650</v>
      </c>
      <c r="E58" s="19"/>
      <c r="F58" s="15">
        <f t="shared" si="0"/>
        <v>-7273650</v>
      </c>
    </row>
    <row r="59" spans="1:6" x14ac:dyDescent="0.2">
      <c r="A59" s="91">
        <v>45597</v>
      </c>
      <c r="B59" s="43">
        <v>31544</v>
      </c>
      <c r="C59" s="17" t="s">
        <v>12</v>
      </c>
      <c r="D59" s="18">
        <v>7463415.3499999996</v>
      </c>
      <c r="E59" s="19"/>
      <c r="F59" s="15">
        <f t="shared" si="0"/>
        <v>-7463415.3499999996</v>
      </c>
    </row>
    <row r="60" spans="1:6" x14ac:dyDescent="0.2">
      <c r="A60" s="91">
        <v>45597</v>
      </c>
      <c r="B60" s="43">
        <v>31491</v>
      </c>
      <c r="C60" s="17" t="s">
        <v>12</v>
      </c>
      <c r="D60" s="18">
        <v>8426553.0299999993</v>
      </c>
      <c r="E60" s="19"/>
      <c r="F60" s="15">
        <f t="shared" si="0"/>
        <v>-8426553.0299999993</v>
      </c>
    </row>
    <row r="61" spans="1:6" x14ac:dyDescent="0.2">
      <c r="A61" s="91">
        <v>45603</v>
      </c>
      <c r="B61" s="43">
        <v>31759</v>
      </c>
      <c r="C61" s="17" t="s">
        <v>12</v>
      </c>
      <c r="D61" s="18">
        <v>49370</v>
      </c>
      <c r="E61" s="19"/>
      <c r="F61" s="15">
        <f t="shared" si="0"/>
        <v>-49370</v>
      </c>
    </row>
    <row r="62" spans="1:6" x14ac:dyDescent="0.2">
      <c r="A62" s="91">
        <v>45603</v>
      </c>
      <c r="B62" s="43">
        <v>31724</v>
      </c>
      <c r="C62" s="17" t="s">
        <v>12</v>
      </c>
      <c r="D62" s="18">
        <v>272291.84000000003</v>
      </c>
      <c r="E62" s="19"/>
      <c r="F62" s="15">
        <f t="shared" si="0"/>
        <v>-272291.84000000003</v>
      </c>
    </row>
    <row r="63" spans="1:6" x14ac:dyDescent="0.2">
      <c r="A63" s="91">
        <v>45607</v>
      </c>
      <c r="B63" s="43">
        <v>31724</v>
      </c>
      <c r="C63" s="17" t="s">
        <v>12</v>
      </c>
      <c r="D63" s="18">
        <v>272291.84000000003</v>
      </c>
      <c r="E63" s="19"/>
      <c r="F63" s="15">
        <f t="shared" si="0"/>
        <v>-272291.84000000003</v>
      </c>
    </row>
    <row r="64" spans="1:6" x14ac:dyDescent="0.2">
      <c r="A64" s="91">
        <v>45611</v>
      </c>
      <c r="B64" s="43">
        <v>31683</v>
      </c>
      <c r="C64" s="17" t="s">
        <v>12</v>
      </c>
      <c r="D64" s="18">
        <v>268329.59999999998</v>
      </c>
      <c r="E64" s="19"/>
      <c r="F64" s="15">
        <f t="shared" si="0"/>
        <v>-268329.59999999998</v>
      </c>
    </row>
    <row r="65" spans="1:6" x14ac:dyDescent="0.2">
      <c r="A65" s="91">
        <v>45615</v>
      </c>
      <c r="B65" s="43">
        <v>31820</v>
      </c>
      <c r="C65" s="17" t="s">
        <v>12</v>
      </c>
      <c r="D65" s="18">
        <v>5337775.13</v>
      </c>
      <c r="E65" s="19"/>
      <c r="F65" s="15">
        <f t="shared" si="0"/>
        <v>-5337775.13</v>
      </c>
    </row>
    <row r="66" spans="1:6" x14ac:dyDescent="0.2">
      <c r="A66" s="91">
        <v>45616</v>
      </c>
      <c r="B66" s="43">
        <v>31800</v>
      </c>
      <c r="C66" s="17" t="s">
        <v>12</v>
      </c>
      <c r="D66" s="18">
        <v>187500</v>
      </c>
      <c r="E66" s="19"/>
      <c r="F66" s="15">
        <f t="shared" si="0"/>
        <v>-187500</v>
      </c>
    </row>
    <row r="67" spans="1:6" x14ac:dyDescent="0.2">
      <c r="A67" s="91">
        <v>45621</v>
      </c>
      <c r="B67" s="43">
        <v>31884</v>
      </c>
      <c r="C67" s="17" t="s">
        <v>12</v>
      </c>
      <c r="D67" s="18">
        <v>1000000</v>
      </c>
      <c r="E67" s="19"/>
      <c r="F67" s="15">
        <f t="shared" ref="F67:F130" si="1">+E67-D67</f>
        <v>-1000000</v>
      </c>
    </row>
    <row r="68" spans="1:6" x14ac:dyDescent="0.2">
      <c r="A68" s="91">
        <v>45623</v>
      </c>
      <c r="B68" s="43">
        <v>31768</v>
      </c>
      <c r="C68" s="17" t="s">
        <v>12</v>
      </c>
      <c r="D68" s="18">
        <v>2770578</v>
      </c>
      <c r="E68" s="19"/>
      <c r="F68" s="15">
        <f t="shared" si="1"/>
        <v>-2770578</v>
      </c>
    </row>
    <row r="69" spans="1:6" x14ac:dyDescent="0.2">
      <c r="A69" s="91">
        <v>45625</v>
      </c>
      <c r="B69" s="43">
        <v>31831</v>
      </c>
      <c r="C69" s="17" t="s">
        <v>12</v>
      </c>
      <c r="D69" s="25">
        <v>165025.29</v>
      </c>
      <c r="E69" s="19"/>
      <c r="F69" s="15">
        <f t="shared" si="1"/>
        <v>-165025.29</v>
      </c>
    </row>
    <row r="70" spans="1:6" x14ac:dyDescent="0.2">
      <c r="A70" s="91">
        <v>45625</v>
      </c>
      <c r="B70" s="43">
        <v>31673</v>
      </c>
      <c r="C70" s="17" t="s">
        <v>12</v>
      </c>
      <c r="D70" s="25">
        <v>1460486</v>
      </c>
      <c r="E70" s="19"/>
      <c r="F70" s="15">
        <f t="shared" si="1"/>
        <v>-1460486</v>
      </c>
    </row>
    <row r="71" spans="1:6" x14ac:dyDescent="0.2">
      <c r="A71" s="91">
        <v>45625</v>
      </c>
      <c r="B71" s="43">
        <v>31733</v>
      </c>
      <c r="C71" s="17" t="s">
        <v>12</v>
      </c>
      <c r="D71" s="25">
        <v>2142024.64</v>
      </c>
      <c r="E71" s="19"/>
      <c r="F71" s="15">
        <f t="shared" si="1"/>
        <v>-2142024.64</v>
      </c>
    </row>
    <row r="72" spans="1:6" x14ac:dyDescent="0.2">
      <c r="A72" s="91">
        <v>45625</v>
      </c>
      <c r="B72" s="43">
        <v>31746</v>
      </c>
      <c r="C72" s="17" t="s">
        <v>12</v>
      </c>
      <c r="D72" s="25">
        <v>2593940.4700000002</v>
      </c>
      <c r="E72" s="19"/>
      <c r="F72" s="15">
        <f t="shared" si="1"/>
        <v>-2593940.4700000002</v>
      </c>
    </row>
    <row r="73" spans="1:6" x14ac:dyDescent="0.2">
      <c r="A73" s="91">
        <v>45625</v>
      </c>
      <c r="B73" s="43">
        <v>31667</v>
      </c>
      <c r="C73" s="17" t="s">
        <v>12</v>
      </c>
      <c r="D73" s="25">
        <v>2739604</v>
      </c>
      <c r="E73" s="19"/>
      <c r="F73" s="15">
        <f t="shared" si="1"/>
        <v>-2739604</v>
      </c>
    </row>
    <row r="74" spans="1:6" x14ac:dyDescent="0.2">
      <c r="A74" s="91">
        <v>45625</v>
      </c>
      <c r="B74" s="43">
        <v>31735</v>
      </c>
      <c r="C74" s="17" t="s">
        <v>12</v>
      </c>
      <c r="D74" s="25">
        <v>3402630</v>
      </c>
      <c r="E74" s="19"/>
      <c r="F74" s="15">
        <f t="shared" si="1"/>
        <v>-3402630</v>
      </c>
    </row>
    <row r="75" spans="1:6" x14ac:dyDescent="0.2">
      <c r="A75" s="91">
        <v>45625</v>
      </c>
      <c r="B75" s="44">
        <v>31736</v>
      </c>
      <c r="C75" s="22" t="s">
        <v>12</v>
      </c>
      <c r="D75" s="53">
        <v>4422879.6900000004</v>
      </c>
      <c r="E75" s="24"/>
      <c r="F75" s="15">
        <f t="shared" si="1"/>
        <v>-4422879.6900000004</v>
      </c>
    </row>
    <row r="76" spans="1:6" x14ac:dyDescent="0.2">
      <c r="A76" s="91">
        <v>45625</v>
      </c>
      <c r="B76" s="43">
        <v>31674</v>
      </c>
      <c r="C76" s="17" t="s">
        <v>12</v>
      </c>
      <c r="D76" s="25">
        <v>5281086</v>
      </c>
      <c r="E76" s="19"/>
      <c r="F76" s="15">
        <f t="shared" si="1"/>
        <v>-5281086</v>
      </c>
    </row>
    <row r="77" spans="1:6" x14ac:dyDescent="0.2">
      <c r="A77" s="91">
        <v>45625</v>
      </c>
      <c r="B77" s="43">
        <v>31631</v>
      </c>
      <c r="C77" s="17" t="s">
        <v>12</v>
      </c>
      <c r="D77" s="25">
        <v>7273650.5</v>
      </c>
      <c r="E77" s="19"/>
      <c r="F77" s="15">
        <f t="shared" si="1"/>
        <v>-7273650.5</v>
      </c>
    </row>
    <row r="78" spans="1:6" x14ac:dyDescent="0.2">
      <c r="A78" s="91">
        <v>45625</v>
      </c>
      <c r="B78" s="43">
        <v>31717</v>
      </c>
      <c r="C78" s="17" t="s">
        <v>12</v>
      </c>
      <c r="D78" s="25">
        <v>8369723</v>
      </c>
      <c r="E78" s="19"/>
      <c r="F78" s="15">
        <f t="shared" si="1"/>
        <v>-8369723</v>
      </c>
    </row>
    <row r="79" spans="1:6" x14ac:dyDescent="0.2">
      <c r="A79" s="91">
        <v>45628</v>
      </c>
      <c r="B79" s="43">
        <v>31782</v>
      </c>
      <c r="C79" s="17" t="s">
        <v>12</v>
      </c>
      <c r="D79" s="18">
        <v>252109.72</v>
      </c>
      <c r="E79" s="19"/>
      <c r="F79" s="15">
        <f t="shared" si="1"/>
        <v>-252109.72</v>
      </c>
    </row>
    <row r="80" spans="1:6" x14ac:dyDescent="0.2">
      <c r="A80" s="91">
        <v>45628</v>
      </c>
      <c r="B80" s="43">
        <v>31716</v>
      </c>
      <c r="C80" s="17" t="s">
        <v>12</v>
      </c>
      <c r="D80" s="18">
        <v>4894323.5199999996</v>
      </c>
      <c r="E80" s="19"/>
      <c r="F80" s="15">
        <f t="shared" si="1"/>
        <v>-4894323.5199999996</v>
      </c>
    </row>
    <row r="81" spans="1:6" x14ac:dyDescent="0.2">
      <c r="A81" s="91">
        <v>45629</v>
      </c>
      <c r="B81" s="43">
        <v>31589</v>
      </c>
      <c r="C81" s="17" t="s">
        <v>12</v>
      </c>
      <c r="D81" s="18">
        <v>6197812.3799999999</v>
      </c>
      <c r="E81" s="19"/>
      <c r="F81" s="15">
        <f t="shared" si="1"/>
        <v>-6197812.3799999999</v>
      </c>
    </row>
    <row r="82" spans="1:6" x14ac:dyDescent="0.2">
      <c r="A82" s="91">
        <v>45629</v>
      </c>
      <c r="B82" s="43">
        <v>31620</v>
      </c>
      <c r="C82" s="17" t="s">
        <v>12</v>
      </c>
      <c r="D82" s="18">
        <v>7356013</v>
      </c>
      <c r="E82" s="19"/>
      <c r="F82" s="15">
        <f t="shared" si="1"/>
        <v>-7356013</v>
      </c>
    </row>
    <row r="83" spans="1:6" x14ac:dyDescent="0.2">
      <c r="A83" s="91">
        <v>45635</v>
      </c>
      <c r="B83" s="43">
        <v>31889</v>
      </c>
      <c r="C83" s="17" t="s">
        <v>12</v>
      </c>
      <c r="D83" s="18">
        <v>181546.98</v>
      </c>
      <c r="E83" s="19"/>
      <c r="F83" s="15">
        <f t="shared" si="1"/>
        <v>-181546.98</v>
      </c>
    </row>
    <row r="84" spans="1:6" x14ac:dyDescent="0.2">
      <c r="A84" s="91">
        <v>45646</v>
      </c>
      <c r="B84" s="43">
        <v>31908</v>
      </c>
      <c r="C84" s="17" t="s">
        <v>12</v>
      </c>
      <c r="D84" s="18">
        <v>85638.42</v>
      </c>
      <c r="E84" s="19"/>
      <c r="F84" s="15">
        <f t="shared" si="1"/>
        <v>-85638.42</v>
      </c>
    </row>
    <row r="85" spans="1:6" x14ac:dyDescent="0.2">
      <c r="A85" s="91">
        <v>45653</v>
      </c>
      <c r="B85" s="43">
        <v>31940</v>
      </c>
      <c r="C85" s="17" t="s">
        <v>12</v>
      </c>
      <c r="D85" s="18">
        <v>256113.12</v>
      </c>
      <c r="E85" s="19"/>
      <c r="F85" s="15">
        <f t="shared" si="1"/>
        <v>-256113.12</v>
      </c>
    </row>
    <row r="86" spans="1:6" x14ac:dyDescent="0.2">
      <c r="A86" s="91">
        <v>45653</v>
      </c>
      <c r="B86" s="43">
        <v>31885</v>
      </c>
      <c r="C86" s="17" t="s">
        <v>12</v>
      </c>
      <c r="D86" s="18">
        <v>2048906.24</v>
      </c>
      <c r="E86" s="19"/>
      <c r="F86" s="15">
        <f t="shared" si="1"/>
        <v>-2048906.24</v>
      </c>
    </row>
    <row r="87" spans="1:6" x14ac:dyDescent="0.2">
      <c r="A87" s="91">
        <v>45656</v>
      </c>
      <c r="B87" s="43">
        <v>31668</v>
      </c>
      <c r="C87" s="17" t="s">
        <v>12</v>
      </c>
      <c r="D87" s="25">
        <v>2739605.6</v>
      </c>
      <c r="E87" s="19"/>
      <c r="F87" s="15">
        <f t="shared" si="1"/>
        <v>-2739605.6</v>
      </c>
    </row>
    <row r="88" spans="1:6" x14ac:dyDescent="0.2">
      <c r="A88" s="91">
        <v>45659</v>
      </c>
      <c r="B88" s="43">
        <v>31675</v>
      </c>
      <c r="C88" s="17" t="s">
        <v>12</v>
      </c>
      <c r="D88" s="18">
        <v>5281087.83</v>
      </c>
      <c r="E88" s="19"/>
      <c r="F88" s="15">
        <f t="shared" si="1"/>
        <v>-5281087.83</v>
      </c>
    </row>
    <row r="89" spans="1:6" x14ac:dyDescent="0.2">
      <c r="A89" s="91">
        <v>45659</v>
      </c>
      <c r="B89" s="43">
        <v>31718</v>
      </c>
      <c r="C89" s="17" t="s">
        <v>12</v>
      </c>
      <c r="D89" s="18">
        <v>8369723</v>
      </c>
      <c r="E89" s="19"/>
      <c r="F89" s="15">
        <f t="shared" si="1"/>
        <v>-8369723</v>
      </c>
    </row>
    <row r="90" spans="1:6" x14ac:dyDescent="0.2">
      <c r="A90" s="91">
        <v>45666</v>
      </c>
      <c r="B90" s="43">
        <v>31970</v>
      </c>
      <c r="C90" s="17" t="s">
        <v>12</v>
      </c>
      <c r="D90" s="18">
        <v>2962714.5</v>
      </c>
      <c r="E90" s="19"/>
      <c r="F90" s="15">
        <f t="shared" si="1"/>
        <v>-2962714.5</v>
      </c>
    </row>
    <row r="91" spans="1:6" x14ac:dyDescent="0.2">
      <c r="A91" s="91">
        <v>45672</v>
      </c>
      <c r="B91" s="43">
        <v>31969</v>
      </c>
      <c r="C91" s="17" t="s">
        <v>12</v>
      </c>
      <c r="D91" s="18">
        <v>187500</v>
      </c>
      <c r="E91" s="19"/>
      <c r="F91" s="15">
        <f t="shared" si="1"/>
        <v>-187500</v>
      </c>
    </row>
    <row r="92" spans="1:6" x14ac:dyDescent="0.2">
      <c r="A92" s="91">
        <v>45684</v>
      </c>
      <c r="B92" s="43">
        <v>31887</v>
      </c>
      <c r="C92" s="17" t="s">
        <v>12</v>
      </c>
      <c r="D92" s="18">
        <v>104946.41</v>
      </c>
      <c r="E92" s="19"/>
      <c r="F92" s="15">
        <f t="shared" si="1"/>
        <v>-104946.41</v>
      </c>
    </row>
    <row r="93" spans="1:6" x14ac:dyDescent="0.2">
      <c r="A93" s="91">
        <v>45684</v>
      </c>
      <c r="B93" s="43">
        <v>31863</v>
      </c>
      <c r="C93" s="17" t="s">
        <v>12</v>
      </c>
      <c r="D93" s="18">
        <v>312139.62</v>
      </c>
      <c r="E93" s="19"/>
      <c r="F93" s="15">
        <f t="shared" si="1"/>
        <v>-312139.62</v>
      </c>
    </row>
    <row r="94" spans="1:6" x14ac:dyDescent="0.2">
      <c r="A94" s="91">
        <v>45684</v>
      </c>
      <c r="B94" s="43">
        <v>31828</v>
      </c>
      <c r="C94" s="17" t="s">
        <v>12</v>
      </c>
      <c r="D94" s="18">
        <v>1083636.3899999999</v>
      </c>
      <c r="E94" s="19"/>
      <c r="F94" s="15">
        <f t="shared" si="1"/>
        <v>-1083636.3899999999</v>
      </c>
    </row>
    <row r="95" spans="1:6" x14ac:dyDescent="0.2">
      <c r="A95" s="91">
        <v>45684</v>
      </c>
      <c r="B95" s="43">
        <v>31866</v>
      </c>
      <c r="C95" s="17" t="s">
        <v>12</v>
      </c>
      <c r="D95" s="18">
        <v>3240000</v>
      </c>
      <c r="E95" s="19"/>
      <c r="F95" s="15">
        <f t="shared" si="1"/>
        <v>-3240000</v>
      </c>
    </row>
    <row r="96" spans="1:6" x14ac:dyDescent="0.2">
      <c r="A96" s="91">
        <v>45685</v>
      </c>
      <c r="B96" s="43">
        <v>31719</v>
      </c>
      <c r="C96" s="17" t="s">
        <v>12</v>
      </c>
      <c r="D96" s="18">
        <v>8369724.0999999996</v>
      </c>
      <c r="E96" s="19"/>
      <c r="F96" s="15">
        <f t="shared" si="1"/>
        <v>-8369724.0999999996</v>
      </c>
    </row>
    <row r="97" spans="1:6" x14ac:dyDescent="0.2">
      <c r="A97" s="91">
        <v>45686</v>
      </c>
      <c r="B97" s="43">
        <v>31780</v>
      </c>
      <c r="C97" s="17" t="s">
        <v>12</v>
      </c>
      <c r="D97" s="18">
        <v>5751640</v>
      </c>
      <c r="E97" s="19"/>
      <c r="F97" s="15">
        <f t="shared" si="1"/>
        <v>-5751640</v>
      </c>
    </row>
    <row r="98" spans="1:6" x14ac:dyDescent="0.2">
      <c r="A98" s="91">
        <v>45686</v>
      </c>
      <c r="B98" s="43">
        <v>31776</v>
      </c>
      <c r="C98" s="17" t="s">
        <v>12</v>
      </c>
      <c r="D98" s="18">
        <v>9341512</v>
      </c>
      <c r="E98" s="19"/>
      <c r="F98" s="15">
        <f t="shared" si="1"/>
        <v>-9341512</v>
      </c>
    </row>
    <row r="99" spans="1:6" x14ac:dyDescent="0.2">
      <c r="A99" s="91">
        <v>45686</v>
      </c>
      <c r="B99" s="43">
        <v>31760</v>
      </c>
      <c r="C99" s="17" t="s">
        <v>12</v>
      </c>
      <c r="D99" s="18">
        <v>12358437.75</v>
      </c>
      <c r="E99" s="19"/>
      <c r="F99" s="15">
        <f t="shared" si="1"/>
        <v>-12358437.75</v>
      </c>
    </row>
    <row r="100" spans="1:6" x14ac:dyDescent="0.2">
      <c r="A100" s="91">
        <v>45686</v>
      </c>
      <c r="B100" s="43">
        <v>32036</v>
      </c>
      <c r="C100" s="17" t="s">
        <v>12</v>
      </c>
      <c r="D100" s="18">
        <v>473316.05</v>
      </c>
      <c r="E100" s="19"/>
      <c r="F100" s="15">
        <f t="shared" si="1"/>
        <v>-473316.05</v>
      </c>
    </row>
    <row r="101" spans="1:6" x14ac:dyDescent="0.2">
      <c r="A101" s="91">
        <v>45691</v>
      </c>
      <c r="B101" s="43">
        <v>31878</v>
      </c>
      <c r="C101" s="17" t="s">
        <v>12</v>
      </c>
      <c r="D101" s="18">
        <v>5481545</v>
      </c>
      <c r="E101" s="19"/>
      <c r="F101" s="15">
        <f t="shared" si="1"/>
        <v>-5481545</v>
      </c>
    </row>
    <row r="102" spans="1:6" x14ac:dyDescent="0.2">
      <c r="A102" s="91">
        <v>45693</v>
      </c>
      <c r="B102" s="44">
        <v>31834</v>
      </c>
      <c r="C102" s="22" t="s">
        <v>12</v>
      </c>
      <c r="D102" s="23">
        <v>143557.5</v>
      </c>
      <c r="E102" s="24"/>
      <c r="F102" s="15">
        <f t="shared" si="1"/>
        <v>-143557.5</v>
      </c>
    </row>
    <row r="103" spans="1:6" x14ac:dyDescent="0.2">
      <c r="A103" s="91">
        <v>45694</v>
      </c>
      <c r="B103" s="43">
        <v>31971</v>
      </c>
      <c r="C103" s="17" t="s">
        <v>12</v>
      </c>
      <c r="D103" s="18">
        <v>2962714.56</v>
      </c>
      <c r="E103" s="19"/>
      <c r="F103" s="15">
        <f t="shared" si="1"/>
        <v>-2962714.56</v>
      </c>
    </row>
    <row r="104" spans="1:6" x14ac:dyDescent="0.2">
      <c r="A104" s="91">
        <v>45694</v>
      </c>
      <c r="B104" s="43">
        <v>31778</v>
      </c>
      <c r="C104" s="17" t="s">
        <v>12</v>
      </c>
      <c r="D104" s="18">
        <v>8288367</v>
      </c>
      <c r="E104" s="19"/>
      <c r="F104" s="15">
        <f t="shared" si="1"/>
        <v>-8288367</v>
      </c>
    </row>
    <row r="105" spans="1:6" x14ac:dyDescent="0.2">
      <c r="A105" s="91">
        <v>45702</v>
      </c>
      <c r="B105" s="43">
        <v>31977</v>
      </c>
      <c r="C105" s="17" t="s">
        <v>12</v>
      </c>
      <c r="D105" s="18">
        <v>80970.009999999995</v>
      </c>
      <c r="E105" s="19"/>
      <c r="F105" s="15">
        <f t="shared" si="1"/>
        <v>-80970.009999999995</v>
      </c>
    </row>
    <row r="106" spans="1:6" x14ac:dyDescent="0.2">
      <c r="A106" s="91">
        <v>45714</v>
      </c>
      <c r="B106" s="43">
        <v>31840</v>
      </c>
      <c r="C106" s="17" t="s">
        <v>12</v>
      </c>
      <c r="D106" s="18">
        <v>3729502.28</v>
      </c>
      <c r="E106" s="19"/>
      <c r="F106" s="15">
        <f t="shared" si="1"/>
        <v>-3729502.28</v>
      </c>
    </row>
    <row r="107" spans="1:6" x14ac:dyDescent="0.2">
      <c r="A107" s="91">
        <v>45714</v>
      </c>
      <c r="B107" s="43">
        <v>31858</v>
      </c>
      <c r="C107" s="17" t="s">
        <v>12</v>
      </c>
      <c r="D107" s="18">
        <v>6979932</v>
      </c>
      <c r="E107" s="19"/>
      <c r="F107" s="15">
        <f t="shared" si="1"/>
        <v>-6979932</v>
      </c>
    </row>
    <row r="108" spans="1:6" x14ac:dyDescent="0.2">
      <c r="A108" s="91">
        <v>45714</v>
      </c>
      <c r="B108" s="43">
        <v>31845</v>
      </c>
      <c r="C108" s="17" t="s">
        <v>12</v>
      </c>
      <c r="D108" s="18">
        <v>7267813</v>
      </c>
      <c r="E108" s="19"/>
      <c r="F108" s="15">
        <f t="shared" si="1"/>
        <v>-7267813</v>
      </c>
    </row>
    <row r="109" spans="1:6" x14ac:dyDescent="0.2">
      <c r="A109" s="91">
        <v>45714</v>
      </c>
      <c r="B109" s="43">
        <v>31860</v>
      </c>
      <c r="C109" s="17" t="s">
        <v>12</v>
      </c>
      <c r="D109" s="18">
        <v>7814960</v>
      </c>
      <c r="E109" s="19"/>
      <c r="F109" s="15">
        <f t="shared" si="1"/>
        <v>-7814960</v>
      </c>
    </row>
    <row r="110" spans="1:6" x14ac:dyDescent="0.2">
      <c r="A110" s="91">
        <v>45714</v>
      </c>
      <c r="B110" s="43">
        <v>31921</v>
      </c>
      <c r="C110" s="17" t="s">
        <v>12</v>
      </c>
      <c r="D110" s="18">
        <v>492470</v>
      </c>
      <c r="E110" s="19"/>
      <c r="F110" s="15">
        <f t="shared" si="1"/>
        <v>-492470</v>
      </c>
    </row>
    <row r="111" spans="1:6" x14ac:dyDescent="0.2">
      <c r="A111" s="91">
        <v>45715</v>
      </c>
      <c r="B111" s="43">
        <v>32055</v>
      </c>
      <c r="C111" s="17" t="s">
        <v>12</v>
      </c>
      <c r="D111" s="18">
        <v>131716</v>
      </c>
      <c r="E111" s="19"/>
      <c r="F111" s="15">
        <f t="shared" si="1"/>
        <v>-131716</v>
      </c>
    </row>
    <row r="112" spans="1:6" x14ac:dyDescent="0.2">
      <c r="A112" s="91">
        <v>45715</v>
      </c>
      <c r="B112" s="43">
        <v>31835</v>
      </c>
      <c r="C112" s="17" t="s">
        <v>12</v>
      </c>
      <c r="D112" s="18">
        <v>865900</v>
      </c>
      <c r="E112" s="19"/>
      <c r="F112" s="15">
        <f t="shared" si="1"/>
        <v>-865900</v>
      </c>
    </row>
    <row r="113" spans="1:6" x14ac:dyDescent="0.2">
      <c r="A113" s="91">
        <v>45715</v>
      </c>
      <c r="B113" s="43">
        <v>31846</v>
      </c>
      <c r="C113" s="17" t="s">
        <v>12</v>
      </c>
      <c r="D113" s="18">
        <v>1613543.2</v>
      </c>
      <c r="E113" s="19"/>
      <c r="F113" s="15">
        <f t="shared" si="1"/>
        <v>-1613543.2</v>
      </c>
    </row>
    <row r="114" spans="1:6" x14ac:dyDescent="0.2">
      <c r="A114" s="91">
        <v>45715</v>
      </c>
      <c r="B114" s="43">
        <v>31867</v>
      </c>
      <c r="C114" s="17" t="s">
        <v>12</v>
      </c>
      <c r="D114" s="18">
        <v>3240407.58</v>
      </c>
      <c r="E114" s="19"/>
      <c r="F114" s="15">
        <f t="shared" si="1"/>
        <v>-3240407.58</v>
      </c>
    </row>
    <row r="115" spans="1:6" x14ac:dyDescent="0.2">
      <c r="A115" s="91">
        <v>45716</v>
      </c>
      <c r="B115" s="43">
        <v>32098</v>
      </c>
      <c r="C115" s="17" t="s">
        <v>12</v>
      </c>
      <c r="D115" s="25">
        <v>79001.899999999994</v>
      </c>
      <c r="E115" s="19"/>
      <c r="F115" s="15">
        <f t="shared" si="1"/>
        <v>-79001.899999999994</v>
      </c>
    </row>
    <row r="116" spans="1:6" x14ac:dyDescent="0.2">
      <c r="A116" s="91">
        <v>45716</v>
      </c>
      <c r="B116" s="43">
        <v>32114</v>
      </c>
      <c r="C116" s="17" t="s">
        <v>12</v>
      </c>
      <c r="D116" s="25">
        <v>106212.6</v>
      </c>
      <c r="E116" s="19"/>
      <c r="F116" s="15">
        <f t="shared" si="1"/>
        <v>-106212.6</v>
      </c>
    </row>
    <row r="117" spans="1:6" x14ac:dyDescent="0.2">
      <c r="A117" s="91">
        <v>45716</v>
      </c>
      <c r="B117" s="43">
        <v>31996</v>
      </c>
      <c r="C117" s="17" t="s">
        <v>12</v>
      </c>
      <c r="D117" s="25">
        <v>2042000</v>
      </c>
      <c r="E117" s="19"/>
      <c r="F117" s="15">
        <f t="shared" si="1"/>
        <v>-2042000</v>
      </c>
    </row>
    <row r="118" spans="1:6" x14ac:dyDescent="0.2">
      <c r="A118" s="91">
        <v>45721</v>
      </c>
      <c r="B118" s="43">
        <v>32093</v>
      </c>
      <c r="C118" s="17" t="s">
        <v>12</v>
      </c>
      <c r="D118" s="18">
        <v>3063134</v>
      </c>
      <c r="E118" s="19"/>
      <c r="F118" s="15">
        <f t="shared" si="1"/>
        <v>-3063134</v>
      </c>
    </row>
    <row r="119" spans="1:6" x14ac:dyDescent="0.2">
      <c r="A119" s="91">
        <v>45721</v>
      </c>
      <c r="B119" s="43">
        <v>31781</v>
      </c>
      <c r="C119" s="17" t="s">
        <v>12</v>
      </c>
      <c r="D119" s="18">
        <v>5751641.4500000002</v>
      </c>
      <c r="E119" s="19"/>
      <c r="F119" s="15">
        <f t="shared" si="1"/>
        <v>-5751641.4500000002</v>
      </c>
    </row>
    <row r="120" spans="1:6" x14ac:dyDescent="0.2">
      <c r="A120" s="91">
        <v>45723</v>
      </c>
      <c r="B120" s="43">
        <v>31830</v>
      </c>
      <c r="C120" s="17" t="s">
        <v>12</v>
      </c>
      <c r="D120" s="18">
        <v>688189.57</v>
      </c>
      <c r="E120" s="19"/>
      <c r="F120" s="15">
        <f t="shared" si="1"/>
        <v>-688189.57</v>
      </c>
    </row>
    <row r="121" spans="1:6" x14ac:dyDescent="0.2">
      <c r="A121" s="91">
        <v>45737</v>
      </c>
      <c r="B121" s="43">
        <v>32139</v>
      </c>
      <c r="C121" s="17" t="s">
        <v>12</v>
      </c>
      <c r="D121" s="18">
        <v>283329.46999999997</v>
      </c>
      <c r="E121" s="19"/>
      <c r="F121" s="15">
        <f t="shared" si="1"/>
        <v>-283329.46999999997</v>
      </c>
    </row>
    <row r="122" spans="1:6" x14ac:dyDescent="0.2">
      <c r="A122" s="91">
        <v>45742</v>
      </c>
      <c r="B122" s="43">
        <v>31911</v>
      </c>
      <c r="C122" s="17" t="s">
        <v>12</v>
      </c>
      <c r="D122" s="18">
        <v>2329617.16</v>
      </c>
      <c r="E122" s="19"/>
      <c r="F122" s="15">
        <f t="shared" si="1"/>
        <v>-2329617.16</v>
      </c>
    </row>
    <row r="123" spans="1:6" x14ac:dyDescent="0.2">
      <c r="A123" s="91">
        <v>45742</v>
      </c>
      <c r="B123" s="43">
        <v>32049</v>
      </c>
      <c r="C123" s="17" t="s">
        <v>12</v>
      </c>
      <c r="D123" s="18">
        <v>4471503</v>
      </c>
      <c r="E123" s="19"/>
      <c r="F123" s="15">
        <f t="shared" si="1"/>
        <v>-4471503</v>
      </c>
    </row>
    <row r="124" spans="1:6" x14ac:dyDescent="0.2">
      <c r="A124" s="91">
        <v>45743</v>
      </c>
      <c r="B124" s="43">
        <v>31924</v>
      </c>
      <c r="C124" s="17" t="s">
        <v>12</v>
      </c>
      <c r="D124" s="18">
        <v>6125000</v>
      </c>
      <c r="E124" s="19"/>
      <c r="F124" s="15">
        <f t="shared" si="1"/>
        <v>-6125000</v>
      </c>
    </row>
    <row r="125" spans="1:6" x14ac:dyDescent="0.2">
      <c r="A125" s="91">
        <v>45743</v>
      </c>
      <c r="B125" s="44">
        <v>31926</v>
      </c>
      <c r="C125" s="22" t="s">
        <v>12</v>
      </c>
      <c r="D125" s="23">
        <v>6753303</v>
      </c>
      <c r="E125" s="24"/>
      <c r="F125" s="15">
        <f t="shared" si="1"/>
        <v>-6753303</v>
      </c>
    </row>
    <row r="126" spans="1:6" x14ac:dyDescent="0.2">
      <c r="A126" s="91">
        <v>45744</v>
      </c>
      <c r="B126" s="43">
        <v>31910</v>
      </c>
      <c r="C126" s="17" t="s">
        <v>12</v>
      </c>
      <c r="D126" s="18">
        <v>4892290</v>
      </c>
      <c r="E126" s="19"/>
      <c r="F126" s="15">
        <f t="shared" si="1"/>
        <v>-4892290</v>
      </c>
    </row>
    <row r="127" spans="1:6" x14ac:dyDescent="0.2">
      <c r="A127" s="91">
        <v>45744</v>
      </c>
      <c r="B127" s="43">
        <v>31913</v>
      </c>
      <c r="C127" s="17" t="s">
        <v>12</v>
      </c>
      <c r="D127" s="18">
        <v>5928525</v>
      </c>
      <c r="E127" s="19"/>
      <c r="F127" s="15">
        <f t="shared" si="1"/>
        <v>-5928525</v>
      </c>
    </row>
    <row r="128" spans="1:6" x14ac:dyDescent="0.2">
      <c r="A128" s="91">
        <v>45744</v>
      </c>
      <c r="B128" s="43">
        <v>31859</v>
      </c>
      <c r="C128" s="17" t="s">
        <v>12</v>
      </c>
      <c r="D128" s="18">
        <v>6979933.9500000002</v>
      </c>
      <c r="E128" s="19"/>
      <c r="F128" s="15">
        <f t="shared" si="1"/>
        <v>-6979933.9500000002</v>
      </c>
    </row>
    <row r="129" spans="1:6" x14ac:dyDescent="0.2">
      <c r="A129" s="91">
        <v>45744</v>
      </c>
      <c r="B129" s="43">
        <v>31861</v>
      </c>
      <c r="C129" s="17" t="s">
        <v>12</v>
      </c>
      <c r="D129" s="18">
        <v>7814960</v>
      </c>
      <c r="E129" s="19"/>
      <c r="F129" s="15">
        <f t="shared" si="1"/>
        <v>-7814960</v>
      </c>
    </row>
    <row r="130" spans="1:6" x14ac:dyDescent="0.2">
      <c r="A130" s="91">
        <v>45747</v>
      </c>
      <c r="B130" s="43">
        <v>31986</v>
      </c>
      <c r="C130" s="17" t="s">
        <v>12</v>
      </c>
      <c r="D130" s="18">
        <v>252573.26</v>
      </c>
      <c r="E130" s="19"/>
      <c r="F130" s="15">
        <f t="shared" si="1"/>
        <v>-252573.26</v>
      </c>
    </row>
    <row r="131" spans="1:6" x14ac:dyDescent="0.2">
      <c r="A131" s="91">
        <v>45747</v>
      </c>
      <c r="B131" s="43">
        <v>32052</v>
      </c>
      <c r="C131" s="17" t="s">
        <v>12</v>
      </c>
      <c r="D131" s="18">
        <v>375496.62</v>
      </c>
      <c r="E131" s="19"/>
      <c r="F131" s="15">
        <f t="shared" ref="F131:F194" si="2">+E131-D131</f>
        <v>-375496.62</v>
      </c>
    </row>
    <row r="132" spans="1:6" x14ac:dyDescent="0.2">
      <c r="A132" s="91">
        <v>45747</v>
      </c>
      <c r="B132" s="43">
        <v>31997</v>
      </c>
      <c r="C132" s="17" t="s">
        <v>12</v>
      </c>
      <c r="D132" s="18">
        <v>2042957.81</v>
      </c>
      <c r="E132" s="19"/>
      <c r="F132" s="15">
        <f t="shared" si="2"/>
        <v>-2042957.81</v>
      </c>
    </row>
    <row r="133" spans="1:6" x14ac:dyDescent="0.2">
      <c r="A133" s="91">
        <v>45747</v>
      </c>
      <c r="B133" s="43">
        <v>32057</v>
      </c>
      <c r="C133" s="17" t="s">
        <v>12</v>
      </c>
      <c r="D133" s="18">
        <v>2142744</v>
      </c>
      <c r="E133" s="19"/>
      <c r="F133" s="15">
        <f t="shared" si="2"/>
        <v>-2142744</v>
      </c>
    </row>
    <row r="134" spans="1:6" x14ac:dyDescent="0.2">
      <c r="A134" s="91">
        <v>45747</v>
      </c>
      <c r="B134" s="43">
        <v>32007</v>
      </c>
      <c r="C134" s="17" t="s">
        <v>12</v>
      </c>
      <c r="D134" s="18">
        <v>4033370</v>
      </c>
      <c r="E134" s="19"/>
      <c r="F134" s="15">
        <f t="shared" si="2"/>
        <v>-4033370</v>
      </c>
    </row>
    <row r="135" spans="1:6" x14ac:dyDescent="0.2">
      <c r="A135" s="91">
        <v>45748</v>
      </c>
      <c r="B135" s="43">
        <v>31974</v>
      </c>
      <c r="C135" s="17" t="s">
        <v>12</v>
      </c>
      <c r="D135" s="18">
        <v>521920</v>
      </c>
      <c r="E135" s="19"/>
      <c r="F135" s="15">
        <f t="shared" si="2"/>
        <v>-521920</v>
      </c>
    </row>
    <row r="136" spans="1:6" x14ac:dyDescent="0.2">
      <c r="A136" s="91">
        <v>45748</v>
      </c>
      <c r="B136" s="43">
        <v>32096</v>
      </c>
      <c r="C136" s="17" t="s">
        <v>12</v>
      </c>
      <c r="D136" s="18">
        <v>3647274</v>
      </c>
      <c r="E136" s="19"/>
      <c r="F136" s="15">
        <f t="shared" si="2"/>
        <v>-3647274</v>
      </c>
    </row>
    <row r="137" spans="1:6" x14ac:dyDescent="0.2">
      <c r="A137" s="91">
        <v>45750</v>
      </c>
      <c r="B137" s="43">
        <v>32201</v>
      </c>
      <c r="C137" s="17" t="s">
        <v>12</v>
      </c>
      <c r="D137" s="18">
        <v>6753303</v>
      </c>
      <c r="E137" s="19"/>
      <c r="F137" s="15">
        <f t="shared" si="2"/>
        <v>-6753303</v>
      </c>
    </row>
    <row r="138" spans="1:6" x14ac:dyDescent="0.2">
      <c r="A138" s="91">
        <v>45750</v>
      </c>
      <c r="B138" s="43">
        <v>31839</v>
      </c>
      <c r="C138" s="17" t="s">
        <v>12</v>
      </c>
      <c r="D138" s="18">
        <v>8885996.0500000007</v>
      </c>
      <c r="E138" s="19"/>
      <c r="F138" s="15">
        <f t="shared" si="2"/>
        <v>-8885996.0500000007</v>
      </c>
    </row>
    <row r="139" spans="1:6" x14ac:dyDescent="0.2">
      <c r="A139" s="91">
        <v>45754</v>
      </c>
      <c r="B139" s="43">
        <v>32198</v>
      </c>
      <c r="C139" s="17" t="s">
        <v>12</v>
      </c>
      <c r="D139" s="18">
        <v>488303.32</v>
      </c>
      <c r="E139" s="19"/>
      <c r="F139" s="15">
        <f t="shared" si="2"/>
        <v>-488303.32</v>
      </c>
    </row>
    <row r="140" spans="1:6" x14ac:dyDescent="0.2">
      <c r="A140" s="91">
        <v>45758</v>
      </c>
      <c r="B140" s="43">
        <v>32059</v>
      </c>
      <c r="C140" s="17" t="s">
        <v>12</v>
      </c>
      <c r="D140" s="18">
        <v>1088933.5900000001</v>
      </c>
      <c r="E140" s="19"/>
      <c r="F140" s="15">
        <f t="shared" si="2"/>
        <v>-1088933.5900000001</v>
      </c>
    </row>
    <row r="141" spans="1:6" x14ac:dyDescent="0.2">
      <c r="A141" s="91">
        <v>45758</v>
      </c>
      <c r="B141" s="43">
        <v>31933</v>
      </c>
      <c r="C141" s="17" t="s">
        <v>12</v>
      </c>
      <c r="D141" s="18">
        <v>1304815.6000000001</v>
      </c>
      <c r="E141" s="19"/>
      <c r="F141" s="15">
        <f t="shared" si="2"/>
        <v>-1304815.6000000001</v>
      </c>
    </row>
    <row r="142" spans="1:6" x14ac:dyDescent="0.2">
      <c r="A142" s="91">
        <v>45768</v>
      </c>
      <c r="B142" s="43">
        <v>32244</v>
      </c>
      <c r="C142" s="17" t="s">
        <v>12</v>
      </c>
      <c r="D142" s="18">
        <v>50000</v>
      </c>
      <c r="E142" s="19"/>
      <c r="F142" s="15">
        <f t="shared" si="2"/>
        <v>-50000</v>
      </c>
    </row>
    <row r="143" spans="1:6" x14ac:dyDescent="0.2">
      <c r="A143" s="91">
        <v>45768</v>
      </c>
      <c r="B143" s="43">
        <v>32242</v>
      </c>
      <c r="C143" s="17" t="s">
        <v>12</v>
      </c>
      <c r="D143" s="18">
        <v>50000</v>
      </c>
      <c r="E143" s="19"/>
      <c r="F143" s="15">
        <f t="shared" si="2"/>
        <v>-50000</v>
      </c>
    </row>
    <row r="144" spans="1:6" x14ac:dyDescent="0.2">
      <c r="A144" s="91">
        <v>45768</v>
      </c>
      <c r="B144" s="43">
        <v>32243</v>
      </c>
      <c r="C144" s="17" t="s">
        <v>12</v>
      </c>
      <c r="D144" s="18">
        <v>50000</v>
      </c>
      <c r="E144" s="19"/>
      <c r="F144" s="15">
        <f t="shared" si="2"/>
        <v>-50000</v>
      </c>
    </row>
    <row r="145" spans="1:6" x14ac:dyDescent="0.2">
      <c r="A145" s="91">
        <v>45768</v>
      </c>
      <c r="B145" s="43">
        <v>32241</v>
      </c>
      <c r="C145" s="17" t="s">
        <v>12</v>
      </c>
      <c r="D145" s="18">
        <v>50000</v>
      </c>
      <c r="E145" s="19"/>
      <c r="F145" s="15">
        <f t="shared" si="2"/>
        <v>-50000</v>
      </c>
    </row>
    <row r="146" spans="1:6" x14ac:dyDescent="0.2">
      <c r="A146" s="91">
        <v>45775</v>
      </c>
      <c r="B146" s="43">
        <v>32040</v>
      </c>
      <c r="C146" s="17" t="s">
        <v>12</v>
      </c>
      <c r="D146" s="18">
        <v>310093</v>
      </c>
      <c r="E146" s="19"/>
      <c r="F146" s="15">
        <f t="shared" si="2"/>
        <v>-310093</v>
      </c>
    </row>
    <row r="147" spans="1:6" x14ac:dyDescent="0.2">
      <c r="A147" s="91">
        <v>45775</v>
      </c>
      <c r="B147" s="43">
        <v>32127</v>
      </c>
      <c r="C147" s="17" t="s">
        <v>12</v>
      </c>
      <c r="D147" s="18">
        <v>1500000</v>
      </c>
      <c r="E147" s="19"/>
      <c r="F147" s="15">
        <f t="shared" si="2"/>
        <v>-1500000</v>
      </c>
    </row>
    <row r="148" spans="1:6" x14ac:dyDescent="0.2">
      <c r="A148" s="91">
        <v>45775</v>
      </c>
      <c r="B148" s="43">
        <v>32058</v>
      </c>
      <c r="C148" s="17" t="s">
        <v>12</v>
      </c>
      <c r="D148" s="18">
        <v>2142745.1800000002</v>
      </c>
      <c r="E148" s="19"/>
      <c r="F148" s="15">
        <f t="shared" si="2"/>
        <v>-2142745.1800000002</v>
      </c>
    </row>
    <row r="149" spans="1:6" x14ac:dyDescent="0.2">
      <c r="A149" s="91">
        <v>45775</v>
      </c>
      <c r="B149" s="43">
        <v>31978</v>
      </c>
      <c r="C149" s="17" t="s">
        <v>12</v>
      </c>
      <c r="D149" s="18">
        <v>2338512.19</v>
      </c>
      <c r="E149" s="19"/>
      <c r="F149" s="15">
        <f t="shared" si="2"/>
        <v>-2338512.19</v>
      </c>
    </row>
    <row r="150" spans="1:6" x14ac:dyDescent="0.2">
      <c r="A150" s="91">
        <v>45775</v>
      </c>
      <c r="B150" s="43">
        <v>32050</v>
      </c>
      <c r="C150" s="17" t="s">
        <v>12</v>
      </c>
      <c r="D150" s="18">
        <v>4471503</v>
      </c>
      <c r="E150" s="19"/>
      <c r="F150" s="15">
        <f t="shared" si="2"/>
        <v>-4471503</v>
      </c>
    </row>
    <row r="151" spans="1:6" x14ac:dyDescent="0.2">
      <c r="A151" s="91">
        <v>45775</v>
      </c>
      <c r="B151" s="44">
        <v>32119</v>
      </c>
      <c r="C151" s="22" t="s">
        <v>12</v>
      </c>
      <c r="D151" s="23">
        <v>4604916.41</v>
      </c>
      <c r="E151" s="24"/>
      <c r="F151" s="15">
        <f t="shared" si="2"/>
        <v>-4604916.41</v>
      </c>
    </row>
    <row r="152" spans="1:6" x14ac:dyDescent="0.2">
      <c r="A152" s="91">
        <v>45775</v>
      </c>
      <c r="B152" s="43">
        <v>31925</v>
      </c>
      <c r="C152" s="17" t="s">
        <v>12</v>
      </c>
      <c r="D152" s="18">
        <v>6126248.7999999998</v>
      </c>
      <c r="E152" s="19"/>
      <c r="F152" s="15">
        <f t="shared" si="2"/>
        <v>-6126248.7999999998</v>
      </c>
    </row>
    <row r="153" spans="1:6" x14ac:dyDescent="0.2">
      <c r="A153" s="91">
        <v>45776</v>
      </c>
      <c r="B153" s="43">
        <v>32101</v>
      </c>
      <c r="C153" s="17" t="s">
        <v>12</v>
      </c>
      <c r="D153" s="25">
        <v>3500000</v>
      </c>
      <c r="E153" s="19"/>
      <c r="F153" s="15">
        <f t="shared" si="2"/>
        <v>-3500000</v>
      </c>
    </row>
    <row r="154" spans="1:6" x14ac:dyDescent="0.2">
      <c r="A154" s="91">
        <v>45776</v>
      </c>
      <c r="B154" s="43">
        <v>32105</v>
      </c>
      <c r="C154" s="17" t="s">
        <v>12</v>
      </c>
      <c r="D154" s="25">
        <v>3500000</v>
      </c>
      <c r="E154" s="19"/>
      <c r="F154" s="15">
        <f t="shared" si="2"/>
        <v>-3500000</v>
      </c>
    </row>
    <row r="155" spans="1:6" x14ac:dyDescent="0.2">
      <c r="A155" s="91">
        <v>45782</v>
      </c>
      <c r="B155" s="43">
        <v>32179</v>
      </c>
      <c r="C155" s="17" t="s">
        <v>12</v>
      </c>
      <c r="D155" s="18">
        <v>320307.92</v>
      </c>
      <c r="E155" s="19"/>
      <c r="F155" s="15">
        <f t="shared" si="2"/>
        <v>-320307.92</v>
      </c>
    </row>
    <row r="156" spans="1:6" x14ac:dyDescent="0.2">
      <c r="A156" s="91">
        <v>45782</v>
      </c>
      <c r="B156" s="43">
        <v>32110</v>
      </c>
      <c r="C156" s="17" t="s">
        <v>12</v>
      </c>
      <c r="D156" s="18">
        <v>343181.12</v>
      </c>
      <c r="E156" s="19"/>
      <c r="F156" s="15">
        <f t="shared" si="2"/>
        <v>-343181.12</v>
      </c>
    </row>
    <row r="157" spans="1:6" x14ac:dyDescent="0.2">
      <c r="A157" s="91">
        <v>45782</v>
      </c>
      <c r="B157" s="43">
        <v>32008</v>
      </c>
      <c r="C157" s="17" t="s">
        <v>12</v>
      </c>
      <c r="D157" s="18">
        <v>4033370</v>
      </c>
      <c r="E157" s="19"/>
      <c r="F157" s="15">
        <f t="shared" si="2"/>
        <v>-4033370</v>
      </c>
    </row>
    <row r="158" spans="1:6" x14ac:dyDescent="0.2">
      <c r="A158" s="91">
        <v>45784</v>
      </c>
      <c r="B158" s="43">
        <v>32255</v>
      </c>
      <c r="C158" s="17" t="s">
        <v>12</v>
      </c>
      <c r="D158" s="18">
        <v>485987.95</v>
      </c>
      <c r="E158" s="19"/>
      <c r="F158" s="15">
        <f t="shared" si="2"/>
        <v>-485987.95</v>
      </c>
    </row>
    <row r="159" spans="1:6" x14ac:dyDescent="0.2">
      <c r="A159" s="91">
        <v>45786</v>
      </c>
      <c r="B159" s="43">
        <v>32159</v>
      </c>
      <c r="C159" s="17" t="s">
        <v>12</v>
      </c>
      <c r="D159" s="18">
        <v>140448.6</v>
      </c>
      <c r="E159" s="19"/>
      <c r="F159" s="15">
        <f t="shared" si="2"/>
        <v>-140448.6</v>
      </c>
    </row>
    <row r="160" spans="1:6" x14ac:dyDescent="0.2">
      <c r="A160" s="91">
        <v>45790</v>
      </c>
      <c r="B160" s="43">
        <v>32100</v>
      </c>
      <c r="C160" s="17" t="s">
        <v>12</v>
      </c>
      <c r="D160" s="18">
        <v>780450</v>
      </c>
      <c r="E160" s="19"/>
      <c r="F160" s="15">
        <f t="shared" si="2"/>
        <v>-780450</v>
      </c>
    </row>
    <row r="161" spans="1:6" x14ac:dyDescent="0.2">
      <c r="A161" s="91">
        <v>45790</v>
      </c>
      <c r="B161" s="43">
        <v>32097</v>
      </c>
      <c r="C161" s="17" t="s">
        <v>12</v>
      </c>
      <c r="D161" s="18">
        <v>920400</v>
      </c>
      <c r="E161" s="19"/>
      <c r="F161" s="15">
        <f t="shared" si="2"/>
        <v>-920400</v>
      </c>
    </row>
    <row r="162" spans="1:6" x14ac:dyDescent="0.2">
      <c r="A162" s="91">
        <v>45791</v>
      </c>
      <c r="B162" s="43">
        <v>32305</v>
      </c>
      <c r="C162" s="17" t="s">
        <v>12</v>
      </c>
      <c r="D162" s="18">
        <v>1600000</v>
      </c>
      <c r="E162" s="19"/>
      <c r="F162" s="15">
        <f t="shared" si="2"/>
        <v>-1600000</v>
      </c>
    </row>
    <row r="163" spans="1:6" x14ac:dyDescent="0.2">
      <c r="A163" s="91">
        <v>45803</v>
      </c>
      <c r="B163" s="43">
        <v>32231</v>
      </c>
      <c r="C163" s="17" t="s">
        <v>12</v>
      </c>
      <c r="D163" s="18">
        <v>2151191</v>
      </c>
      <c r="E163" s="19"/>
      <c r="F163" s="15">
        <f t="shared" si="2"/>
        <v>-2151191</v>
      </c>
    </row>
    <row r="164" spans="1:6" x14ac:dyDescent="0.2">
      <c r="A164" s="91">
        <v>45805</v>
      </c>
      <c r="B164" s="43">
        <v>32128</v>
      </c>
      <c r="C164" s="17" t="s">
        <v>12</v>
      </c>
      <c r="D164" s="18">
        <v>1551335.83</v>
      </c>
      <c r="E164" s="19"/>
      <c r="F164" s="15">
        <f t="shared" si="2"/>
        <v>-1551335.83</v>
      </c>
    </row>
    <row r="165" spans="1:6" x14ac:dyDescent="0.2">
      <c r="A165" s="91">
        <v>45805</v>
      </c>
      <c r="B165" s="43">
        <v>32051</v>
      </c>
      <c r="C165" s="17" t="s">
        <v>12</v>
      </c>
      <c r="D165" s="18">
        <v>4471505.24</v>
      </c>
      <c r="E165" s="19"/>
      <c r="F165" s="15">
        <f t="shared" si="2"/>
        <v>-4471505.24</v>
      </c>
    </row>
    <row r="166" spans="1:6" x14ac:dyDescent="0.2">
      <c r="A166" s="91">
        <v>45806</v>
      </c>
      <c r="B166" s="43">
        <v>32092</v>
      </c>
      <c r="C166" s="17" t="s">
        <v>12</v>
      </c>
      <c r="D166" s="18">
        <v>1163509.81</v>
      </c>
      <c r="E166" s="19"/>
      <c r="F166" s="15">
        <f t="shared" si="2"/>
        <v>-1163509.81</v>
      </c>
    </row>
    <row r="167" spans="1:6" x14ac:dyDescent="0.2">
      <c r="A167" s="91">
        <v>45806</v>
      </c>
      <c r="B167" s="43">
        <v>32165</v>
      </c>
      <c r="C167" s="17" t="s">
        <v>12</v>
      </c>
      <c r="D167" s="18">
        <v>2077536</v>
      </c>
      <c r="E167" s="19"/>
      <c r="F167" s="15">
        <f t="shared" si="2"/>
        <v>-2077536</v>
      </c>
    </row>
    <row r="168" spans="1:6" x14ac:dyDescent="0.2">
      <c r="A168" s="91">
        <v>45806</v>
      </c>
      <c r="B168" s="43">
        <v>32009</v>
      </c>
      <c r="C168" s="17" t="s">
        <v>12</v>
      </c>
      <c r="D168" s="18">
        <v>4033370.03</v>
      </c>
      <c r="E168" s="19"/>
      <c r="F168" s="15">
        <f t="shared" si="2"/>
        <v>-4033370.03</v>
      </c>
    </row>
    <row r="169" spans="1:6" x14ac:dyDescent="0.2">
      <c r="A169" s="91">
        <v>45806</v>
      </c>
      <c r="B169" s="43">
        <v>32102</v>
      </c>
      <c r="C169" s="17" t="s">
        <v>12</v>
      </c>
      <c r="D169" s="18">
        <v>8000000</v>
      </c>
      <c r="E169" s="19"/>
      <c r="F169" s="15">
        <f t="shared" si="2"/>
        <v>-8000000</v>
      </c>
    </row>
    <row r="170" spans="1:6" x14ac:dyDescent="0.2">
      <c r="A170" s="91">
        <v>45810</v>
      </c>
      <c r="B170" s="43">
        <v>32213</v>
      </c>
      <c r="C170" s="17" t="s">
        <v>12</v>
      </c>
      <c r="D170" s="18">
        <v>19965</v>
      </c>
      <c r="E170" s="19"/>
      <c r="F170" s="15">
        <f t="shared" si="2"/>
        <v>-19965</v>
      </c>
    </row>
    <row r="171" spans="1:6" x14ac:dyDescent="0.2">
      <c r="A171" s="91">
        <v>45810</v>
      </c>
      <c r="B171" s="43">
        <v>32202</v>
      </c>
      <c r="C171" s="17" t="s">
        <v>12</v>
      </c>
      <c r="D171" s="18">
        <v>4402572</v>
      </c>
      <c r="E171" s="19"/>
      <c r="F171" s="15">
        <f t="shared" si="2"/>
        <v>-4402572</v>
      </c>
    </row>
    <row r="172" spans="1:6" x14ac:dyDescent="0.2">
      <c r="A172" s="91">
        <v>45811</v>
      </c>
      <c r="B172" s="43">
        <v>32183</v>
      </c>
      <c r="C172" s="17" t="s">
        <v>12</v>
      </c>
      <c r="D172" s="18">
        <v>532187.04</v>
      </c>
      <c r="E172" s="19"/>
      <c r="F172" s="15">
        <f t="shared" si="2"/>
        <v>-532187.04</v>
      </c>
    </row>
    <row r="173" spans="1:6" x14ac:dyDescent="0.2">
      <c r="A173" s="91">
        <v>45811</v>
      </c>
      <c r="B173" s="43">
        <v>32106</v>
      </c>
      <c r="C173" s="17" t="s">
        <v>12</v>
      </c>
      <c r="D173" s="18">
        <v>8000000</v>
      </c>
      <c r="E173" s="19"/>
      <c r="F173" s="15">
        <f t="shared" si="2"/>
        <v>-8000000</v>
      </c>
    </row>
    <row r="174" spans="1:6" x14ac:dyDescent="0.2">
      <c r="A174" s="91">
        <v>45838</v>
      </c>
      <c r="B174" s="44">
        <v>32368</v>
      </c>
      <c r="C174" s="22" t="s">
        <v>12</v>
      </c>
      <c r="D174" s="31">
        <v>233393.67</v>
      </c>
      <c r="E174" s="24"/>
      <c r="F174" s="15">
        <f t="shared" si="2"/>
        <v>-233393.67</v>
      </c>
    </row>
    <row r="175" spans="1:6" x14ac:dyDescent="0.2">
      <c r="A175" s="91">
        <v>45838</v>
      </c>
      <c r="B175" s="43">
        <v>32107</v>
      </c>
      <c r="C175" s="17" t="s">
        <v>12</v>
      </c>
      <c r="D175" s="18">
        <v>350000</v>
      </c>
      <c r="E175" s="19"/>
      <c r="F175" s="15">
        <f t="shared" si="2"/>
        <v>-350000</v>
      </c>
    </row>
    <row r="176" spans="1:6" x14ac:dyDescent="0.2">
      <c r="A176" s="91">
        <v>45838</v>
      </c>
      <c r="B176" s="43">
        <v>32263</v>
      </c>
      <c r="C176" s="17" t="s">
        <v>12</v>
      </c>
      <c r="D176" s="18">
        <v>1172465</v>
      </c>
      <c r="E176" s="19"/>
      <c r="F176" s="15">
        <f t="shared" si="2"/>
        <v>-1172465</v>
      </c>
    </row>
    <row r="177" spans="1:6" x14ac:dyDescent="0.2">
      <c r="A177" s="91">
        <v>45838</v>
      </c>
      <c r="B177" s="43">
        <v>32103</v>
      </c>
      <c r="C177" s="17" t="s">
        <v>12</v>
      </c>
      <c r="D177" s="18">
        <v>3000000</v>
      </c>
      <c r="E177" s="19"/>
      <c r="F177" s="15">
        <f t="shared" si="2"/>
        <v>-3000000</v>
      </c>
    </row>
    <row r="178" spans="1:6" x14ac:dyDescent="0.2">
      <c r="A178" s="91">
        <v>45839</v>
      </c>
      <c r="B178" s="43">
        <v>32323</v>
      </c>
      <c r="C178" s="17" t="s">
        <v>12</v>
      </c>
      <c r="D178" s="18">
        <v>2588388</v>
      </c>
      <c r="E178" s="19"/>
      <c r="F178" s="15">
        <f t="shared" si="2"/>
        <v>-2588388</v>
      </c>
    </row>
    <row r="179" spans="1:6" x14ac:dyDescent="0.2">
      <c r="A179" s="91">
        <v>45842</v>
      </c>
      <c r="B179" s="43">
        <v>32440</v>
      </c>
      <c r="C179" s="17" t="s">
        <v>12</v>
      </c>
      <c r="D179" s="18">
        <v>50000</v>
      </c>
      <c r="E179" s="19"/>
      <c r="F179" s="15">
        <f t="shared" si="2"/>
        <v>-50000</v>
      </c>
    </row>
    <row r="180" spans="1:6" x14ac:dyDescent="0.2">
      <c r="A180" s="91">
        <v>45842</v>
      </c>
      <c r="B180" s="43">
        <v>32438</v>
      </c>
      <c r="C180" s="17" t="s">
        <v>12</v>
      </c>
      <c r="D180" s="18">
        <v>50000</v>
      </c>
      <c r="E180" s="19"/>
      <c r="F180" s="15">
        <f t="shared" si="2"/>
        <v>-50000</v>
      </c>
    </row>
    <row r="181" spans="1:6" x14ac:dyDescent="0.2">
      <c r="A181" s="91">
        <v>45842</v>
      </c>
      <c r="B181" s="43">
        <v>32437</v>
      </c>
      <c r="C181" s="17" t="s">
        <v>12</v>
      </c>
      <c r="D181" s="18">
        <v>50000</v>
      </c>
      <c r="E181" s="19"/>
      <c r="F181" s="15">
        <f t="shared" si="2"/>
        <v>-50000</v>
      </c>
    </row>
    <row r="182" spans="1:6" x14ac:dyDescent="0.2">
      <c r="A182" s="91">
        <v>45842</v>
      </c>
      <c r="B182" s="43">
        <v>32439</v>
      </c>
      <c r="C182" s="17" t="s">
        <v>12</v>
      </c>
      <c r="D182" s="18">
        <v>50000</v>
      </c>
      <c r="E182" s="19"/>
      <c r="F182" s="15">
        <f t="shared" si="2"/>
        <v>-50000</v>
      </c>
    </row>
    <row r="183" spans="1:6" x14ac:dyDescent="0.2">
      <c r="A183" s="91">
        <v>45842</v>
      </c>
      <c r="B183" s="43">
        <v>32441</v>
      </c>
      <c r="C183" s="17" t="s">
        <v>12</v>
      </c>
      <c r="D183" s="18">
        <v>50000</v>
      </c>
      <c r="E183" s="19"/>
      <c r="F183" s="15">
        <f t="shared" si="2"/>
        <v>-50000</v>
      </c>
    </row>
    <row r="184" spans="1:6" x14ac:dyDescent="0.2">
      <c r="A184" s="91">
        <v>45842</v>
      </c>
      <c r="B184" s="43">
        <v>32364</v>
      </c>
      <c r="C184" s="17" t="s">
        <v>12</v>
      </c>
      <c r="D184" s="18">
        <v>2007377.93</v>
      </c>
      <c r="E184" s="19"/>
      <c r="F184" s="15">
        <f t="shared" si="2"/>
        <v>-2007377.93</v>
      </c>
    </row>
    <row r="185" spans="1:6" x14ac:dyDescent="0.2">
      <c r="A185" s="91">
        <v>45863</v>
      </c>
      <c r="B185" s="43">
        <v>32419</v>
      </c>
      <c r="C185" s="17" t="s">
        <v>12</v>
      </c>
      <c r="D185" s="18">
        <v>145272.56</v>
      </c>
      <c r="E185" s="19"/>
      <c r="F185" s="15">
        <f t="shared" si="2"/>
        <v>-145272.56</v>
      </c>
    </row>
    <row r="186" spans="1:6" x14ac:dyDescent="0.2">
      <c r="A186" s="91">
        <v>45863</v>
      </c>
      <c r="B186" s="43">
        <v>32486</v>
      </c>
      <c r="C186" s="17" t="s">
        <v>12</v>
      </c>
      <c r="D186" s="18">
        <v>889352.41</v>
      </c>
      <c r="E186" s="19"/>
      <c r="F186" s="15">
        <f t="shared" si="2"/>
        <v>-889352.41</v>
      </c>
    </row>
    <row r="187" spans="1:6" x14ac:dyDescent="0.2">
      <c r="A187" s="91">
        <v>45863</v>
      </c>
      <c r="B187" s="43">
        <v>32232</v>
      </c>
      <c r="C187" s="17" t="s">
        <v>12</v>
      </c>
      <c r="D187" s="18">
        <v>2151191.71</v>
      </c>
      <c r="E187" s="19"/>
      <c r="F187" s="15">
        <f t="shared" si="2"/>
        <v>-2151191.71</v>
      </c>
    </row>
    <row r="188" spans="1:6" x14ac:dyDescent="0.2">
      <c r="A188" s="91">
        <v>45866</v>
      </c>
      <c r="B188" s="43">
        <v>32219</v>
      </c>
      <c r="C188" s="17" t="s">
        <v>12</v>
      </c>
      <c r="D188" s="18">
        <v>1081847.54</v>
      </c>
      <c r="E188" s="19"/>
      <c r="F188" s="15">
        <f t="shared" si="2"/>
        <v>-1081847.54</v>
      </c>
    </row>
    <row r="189" spans="1:6" x14ac:dyDescent="0.2">
      <c r="A189" s="91">
        <v>45866</v>
      </c>
      <c r="B189" s="43">
        <v>32166</v>
      </c>
      <c r="C189" s="17" t="s">
        <v>12</v>
      </c>
      <c r="D189" s="18">
        <v>2077537.37</v>
      </c>
      <c r="E189" s="19"/>
      <c r="F189" s="15">
        <f t="shared" si="2"/>
        <v>-2077537.37</v>
      </c>
    </row>
    <row r="190" spans="1:6" x14ac:dyDescent="0.2">
      <c r="A190" s="91">
        <v>45866</v>
      </c>
      <c r="B190" s="43">
        <v>32267</v>
      </c>
      <c r="C190" s="17" t="s">
        <v>12</v>
      </c>
      <c r="D190" s="18">
        <v>3009387.88</v>
      </c>
      <c r="E190" s="19"/>
      <c r="F190" s="15">
        <f t="shared" si="2"/>
        <v>-3009387.88</v>
      </c>
    </row>
    <row r="191" spans="1:6" x14ac:dyDescent="0.2">
      <c r="A191" s="91">
        <v>45866</v>
      </c>
      <c r="B191" s="43">
        <v>32224</v>
      </c>
      <c r="C191" s="17" t="s">
        <v>12</v>
      </c>
      <c r="D191" s="18">
        <v>3295940</v>
      </c>
      <c r="E191" s="19"/>
      <c r="F191" s="15">
        <f t="shared" si="2"/>
        <v>-3295940</v>
      </c>
    </row>
    <row r="192" spans="1:6" x14ac:dyDescent="0.2">
      <c r="A192" s="91">
        <v>45866</v>
      </c>
      <c r="B192" s="43">
        <v>32158</v>
      </c>
      <c r="C192" s="17" t="s">
        <v>12</v>
      </c>
      <c r="D192" s="18">
        <v>4593589</v>
      </c>
      <c r="E192" s="19"/>
      <c r="F192" s="15">
        <f t="shared" si="2"/>
        <v>-4593589</v>
      </c>
    </row>
    <row r="193" spans="1:6" x14ac:dyDescent="0.2">
      <c r="A193" s="91">
        <v>45866</v>
      </c>
      <c r="B193" s="43">
        <v>32177</v>
      </c>
      <c r="C193" s="17" t="s">
        <v>12</v>
      </c>
      <c r="D193" s="18">
        <v>7121420.2199999997</v>
      </c>
      <c r="E193" s="19"/>
      <c r="F193" s="15">
        <f t="shared" si="2"/>
        <v>-7121420.2199999997</v>
      </c>
    </row>
    <row r="194" spans="1:6" x14ac:dyDescent="0.2">
      <c r="A194" s="91">
        <v>45866</v>
      </c>
      <c r="B194" s="43">
        <v>32104</v>
      </c>
      <c r="C194" s="17" t="s">
        <v>12</v>
      </c>
      <c r="D194" s="18">
        <v>7899942.6500000004</v>
      </c>
      <c r="E194" s="19"/>
      <c r="F194" s="15">
        <f t="shared" si="2"/>
        <v>-7899942.6500000004</v>
      </c>
    </row>
    <row r="195" spans="1:6" x14ac:dyDescent="0.2">
      <c r="A195" s="91">
        <v>45866</v>
      </c>
      <c r="B195" s="43">
        <v>32108</v>
      </c>
      <c r="C195" s="17" t="s">
        <v>12</v>
      </c>
      <c r="D195" s="18">
        <v>9756564.8000000007</v>
      </c>
      <c r="E195" s="19"/>
      <c r="F195" s="15">
        <f t="shared" ref="F195:F258" si="3">+E195-D195</f>
        <v>-9756564.8000000007</v>
      </c>
    </row>
    <row r="196" spans="1:6" x14ac:dyDescent="0.2">
      <c r="A196" s="91">
        <v>45866</v>
      </c>
      <c r="B196" s="43">
        <v>32175</v>
      </c>
      <c r="C196" s="17" t="s">
        <v>12</v>
      </c>
      <c r="D196" s="18">
        <v>10139337.67</v>
      </c>
      <c r="E196" s="19"/>
      <c r="F196" s="15">
        <f t="shared" si="3"/>
        <v>-10139337.67</v>
      </c>
    </row>
    <row r="197" spans="1:6" x14ac:dyDescent="0.2">
      <c r="A197" s="91">
        <v>45866</v>
      </c>
      <c r="B197" s="43">
        <v>32256</v>
      </c>
      <c r="C197" s="17" t="s">
        <v>12</v>
      </c>
      <c r="D197" s="18">
        <v>11856716</v>
      </c>
      <c r="E197" s="19"/>
      <c r="F197" s="15">
        <f t="shared" si="3"/>
        <v>-11856716</v>
      </c>
    </row>
    <row r="198" spans="1:6" x14ac:dyDescent="0.2">
      <c r="A198" s="91">
        <v>45868</v>
      </c>
      <c r="B198" s="44">
        <v>32337</v>
      </c>
      <c r="C198" s="22" t="s">
        <v>12</v>
      </c>
      <c r="D198" s="31">
        <v>596895.28</v>
      </c>
      <c r="E198" s="24"/>
      <c r="F198" s="15">
        <f t="shared" si="3"/>
        <v>-596895.28</v>
      </c>
    </row>
    <row r="199" spans="1:6" x14ac:dyDescent="0.2">
      <c r="A199" s="91">
        <v>45868</v>
      </c>
      <c r="B199" s="43">
        <v>32261</v>
      </c>
      <c r="C199" s="17" t="s">
        <v>12</v>
      </c>
      <c r="D199" s="18">
        <v>4823595</v>
      </c>
      <c r="E199" s="19"/>
      <c r="F199" s="15">
        <f t="shared" si="3"/>
        <v>-4823595</v>
      </c>
    </row>
    <row r="200" spans="1:6" x14ac:dyDescent="0.2">
      <c r="A200" s="91">
        <v>45868</v>
      </c>
      <c r="B200" s="43">
        <v>32342</v>
      </c>
      <c r="C200" s="17" t="s">
        <v>12</v>
      </c>
      <c r="D200" s="18">
        <v>8903456.7200000007</v>
      </c>
      <c r="E200" s="19"/>
      <c r="F200" s="15">
        <f t="shared" si="3"/>
        <v>-8903456.7200000007</v>
      </c>
    </row>
    <row r="201" spans="1:6" x14ac:dyDescent="0.2">
      <c r="A201" s="91">
        <v>45873</v>
      </c>
      <c r="B201" s="43">
        <v>32378</v>
      </c>
      <c r="C201" s="17" t="s">
        <v>12</v>
      </c>
      <c r="D201" s="18">
        <v>169079.4</v>
      </c>
      <c r="E201" s="19"/>
      <c r="F201" s="15">
        <f t="shared" si="3"/>
        <v>-169079.4</v>
      </c>
    </row>
    <row r="202" spans="1:6" x14ac:dyDescent="0.2">
      <c r="A202" s="91">
        <v>45873</v>
      </c>
      <c r="B202" s="43">
        <v>32324</v>
      </c>
      <c r="C202" s="17" t="s">
        <v>12</v>
      </c>
      <c r="D202" s="18">
        <v>2588388</v>
      </c>
      <c r="E202" s="19"/>
      <c r="F202" s="15">
        <f t="shared" si="3"/>
        <v>-2588388</v>
      </c>
    </row>
    <row r="203" spans="1:6" x14ac:dyDescent="0.2">
      <c r="A203" s="91">
        <v>45873</v>
      </c>
      <c r="B203" s="43">
        <v>32446</v>
      </c>
      <c r="C203" s="17" t="s">
        <v>12</v>
      </c>
      <c r="D203" s="18">
        <v>6240062</v>
      </c>
      <c r="E203" s="19"/>
      <c r="F203" s="15">
        <f t="shared" si="3"/>
        <v>-6240062</v>
      </c>
    </row>
    <row r="204" spans="1:6" x14ac:dyDescent="0.2">
      <c r="A204" s="91">
        <v>45877</v>
      </c>
      <c r="B204" s="43">
        <v>32402</v>
      </c>
      <c r="C204" s="17" t="s">
        <v>12</v>
      </c>
      <c r="D204" s="18">
        <v>1214714.1599999999</v>
      </c>
      <c r="E204" s="19"/>
      <c r="F204" s="15">
        <f t="shared" si="3"/>
        <v>-1214714.1599999999</v>
      </c>
    </row>
    <row r="205" spans="1:6" x14ac:dyDescent="0.2">
      <c r="A205" s="91">
        <v>45883</v>
      </c>
      <c r="B205" s="43">
        <v>32366</v>
      </c>
      <c r="C205" s="17" t="s">
        <v>12</v>
      </c>
      <c r="D205" s="18">
        <v>3431701.68</v>
      </c>
      <c r="E205" s="19"/>
      <c r="F205" s="15">
        <f t="shared" si="3"/>
        <v>-3431701.68</v>
      </c>
    </row>
    <row r="206" spans="1:6" x14ac:dyDescent="0.2">
      <c r="A206" s="91">
        <v>45889</v>
      </c>
      <c r="B206" s="43">
        <v>32520</v>
      </c>
      <c r="C206" s="17" t="s">
        <v>12</v>
      </c>
      <c r="D206" s="18">
        <v>229785.58</v>
      </c>
      <c r="E206" s="19"/>
      <c r="F206" s="15">
        <f t="shared" si="3"/>
        <v>-229785.58</v>
      </c>
    </row>
    <row r="207" spans="1:6" x14ac:dyDescent="0.2">
      <c r="A207" s="91">
        <v>45894</v>
      </c>
      <c r="B207" s="43">
        <v>32257</v>
      </c>
      <c r="C207" s="17" t="s">
        <v>12</v>
      </c>
      <c r="D207" s="18">
        <v>11856716</v>
      </c>
      <c r="E207" s="19"/>
      <c r="F207" s="15">
        <f t="shared" si="3"/>
        <v>-11856716</v>
      </c>
    </row>
    <row r="208" spans="1:6" x14ac:dyDescent="0.2">
      <c r="A208" s="91">
        <v>45896</v>
      </c>
      <c r="B208" s="43">
        <v>32509</v>
      </c>
      <c r="C208" s="17" t="s">
        <v>12</v>
      </c>
      <c r="D208" s="18">
        <v>732349.15</v>
      </c>
      <c r="E208" s="19"/>
      <c r="F208" s="15">
        <f t="shared" si="3"/>
        <v>-732349.15</v>
      </c>
    </row>
    <row r="209" spans="1:8" x14ac:dyDescent="0.2">
      <c r="A209" s="91">
        <v>45897</v>
      </c>
      <c r="B209" s="43">
        <v>32333</v>
      </c>
      <c r="C209" s="17" t="s">
        <v>12</v>
      </c>
      <c r="D209" s="18">
        <v>9093897</v>
      </c>
      <c r="E209" s="19"/>
      <c r="F209" s="15">
        <f t="shared" si="3"/>
        <v>-9093897</v>
      </c>
    </row>
    <row r="210" spans="1:8" x14ac:dyDescent="0.2">
      <c r="A210" s="91">
        <v>45897</v>
      </c>
      <c r="B210" s="43">
        <v>32335</v>
      </c>
      <c r="C210" s="17" t="s">
        <v>12</v>
      </c>
      <c r="D210" s="18">
        <v>11808565</v>
      </c>
      <c r="E210" s="19"/>
      <c r="F210" s="15">
        <f t="shared" si="3"/>
        <v>-11808565</v>
      </c>
    </row>
    <row r="211" spans="1:8" x14ac:dyDescent="0.2">
      <c r="A211" s="91">
        <v>45898</v>
      </c>
      <c r="B211" s="43">
        <v>32559</v>
      </c>
      <c r="C211" s="17" t="s">
        <v>12</v>
      </c>
      <c r="D211" s="25">
        <v>551132.42000000004</v>
      </c>
      <c r="E211" s="19"/>
      <c r="F211" s="15">
        <f t="shared" si="3"/>
        <v>-551132.42000000004</v>
      </c>
    </row>
    <row r="212" spans="1:8" x14ac:dyDescent="0.2">
      <c r="A212" s="91">
        <v>45898</v>
      </c>
      <c r="B212" s="43">
        <v>32318</v>
      </c>
      <c r="C212" s="17" t="s">
        <v>12</v>
      </c>
      <c r="D212" s="25">
        <v>3961980.63</v>
      </c>
      <c r="E212" s="19"/>
      <c r="F212" s="15">
        <f t="shared" si="3"/>
        <v>-3961980.63</v>
      </c>
    </row>
    <row r="213" spans="1:8" x14ac:dyDescent="0.2">
      <c r="A213" s="91">
        <v>45898</v>
      </c>
      <c r="B213" s="43">
        <v>32470</v>
      </c>
      <c r="C213" s="17" t="s">
        <v>12</v>
      </c>
      <c r="D213" s="25">
        <v>4806624.38</v>
      </c>
      <c r="E213" s="19"/>
      <c r="F213" s="15">
        <f t="shared" si="3"/>
        <v>-4806624.38</v>
      </c>
    </row>
    <row r="214" spans="1:8" x14ac:dyDescent="0.2">
      <c r="A214" s="91">
        <v>45898</v>
      </c>
      <c r="B214" s="43">
        <v>32262</v>
      </c>
      <c r="C214" s="17" t="s">
        <v>12</v>
      </c>
      <c r="D214" s="25">
        <v>4823595</v>
      </c>
      <c r="E214" s="19"/>
      <c r="F214" s="15">
        <f t="shared" si="3"/>
        <v>-4823595</v>
      </c>
    </row>
    <row r="215" spans="1:8" x14ac:dyDescent="0.2">
      <c r="A215" s="91">
        <v>45898</v>
      </c>
      <c r="B215" s="43">
        <v>32315</v>
      </c>
      <c r="C215" s="17" t="s">
        <v>12</v>
      </c>
      <c r="D215" s="25">
        <v>5902316</v>
      </c>
      <c r="E215" s="19"/>
      <c r="F215" s="15">
        <f t="shared" si="3"/>
        <v>-5902316</v>
      </c>
    </row>
    <row r="216" spans="1:8" x14ac:dyDescent="0.2">
      <c r="A216" s="91">
        <v>45537</v>
      </c>
      <c r="B216" s="16">
        <v>31456</v>
      </c>
      <c r="C216" s="17" t="s">
        <v>9</v>
      </c>
      <c r="D216" s="18">
        <v>42470.15</v>
      </c>
      <c r="E216" s="19"/>
      <c r="F216" s="15">
        <f t="shared" si="3"/>
        <v>-42470.15</v>
      </c>
      <c r="H216" s="10"/>
    </row>
    <row r="217" spans="1:8" x14ac:dyDescent="0.2">
      <c r="A217" s="91">
        <v>45537</v>
      </c>
      <c r="B217" s="16">
        <v>31628</v>
      </c>
      <c r="C217" s="17" t="s">
        <v>9</v>
      </c>
      <c r="D217" s="18">
        <v>90800</v>
      </c>
      <c r="E217" s="19"/>
      <c r="F217" s="15">
        <f t="shared" si="3"/>
        <v>-90800</v>
      </c>
      <c r="H217" s="10"/>
    </row>
    <row r="218" spans="1:8" x14ac:dyDescent="0.2">
      <c r="A218" s="91">
        <v>45537</v>
      </c>
      <c r="B218" s="16">
        <v>31555</v>
      </c>
      <c r="C218" s="17" t="s">
        <v>9</v>
      </c>
      <c r="D218" s="18">
        <v>114270</v>
      </c>
      <c r="E218" s="19"/>
      <c r="F218" s="15">
        <f t="shared" si="3"/>
        <v>-114270</v>
      </c>
      <c r="H218" s="10"/>
    </row>
    <row r="219" spans="1:8" x14ac:dyDescent="0.2">
      <c r="A219" s="91">
        <v>45537</v>
      </c>
      <c r="B219" s="16">
        <v>31438</v>
      </c>
      <c r="C219" s="17" t="s">
        <v>9</v>
      </c>
      <c r="D219" s="18">
        <v>211908.08</v>
      </c>
      <c r="E219" s="19"/>
      <c r="F219" s="15">
        <f t="shared" si="3"/>
        <v>-211908.08</v>
      </c>
      <c r="H219" s="10"/>
    </row>
    <row r="220" spans="1:8" x14ac:dyDescent="0.2">
      <c r="A220" s="91">
        <v>45537</v>
      </c>
      <c r="B220" s="21">
        <v>31437</v>
      </c>
      <c r="C220" s="22" t="s">
        <v>9</v>
      </c>
      <c r="D220" s="23">
        <v>289417.59999999998</v>
      </c>
      <c r="E220" s="24"/>
      <c r="F220" s="15">
        <f t="shared" si="3"/>
        <v>-289417.59999999998</v>
      </c>
      <c r="H220" s="10"/>
    </row>
    <row r="221" spans="1:8" x14ac:dyDescent="0.2">
      <c r="A221" s="91">
        <v>45537</v>
      </c>
      <c r="B221" s="16">
        <v>31658</v>
      </c>
      <c r="C221" s="17" t="s">
        <v>9</v>
      </c>
      <c r="D221" s="18">
        <v>296861</v>
      </c>
      <c r="E221" s="19"/>
      <c r="F221" s="15">
        <f t="shared" si="3"/>
        <v>-296861</v>
      </c>
      <c r="H221" s="10"/>
    </row>
    <row r="222" spans="1:8" x14ac:dyDescent="0.2">
      <c r="A222" s="91">
        <v>45537</v>
      </c>
      <c r="B222" s="16">
        <v>31659</v>
      </c>
      <c r="C222" s="17" t="s">
        <v>9</v>
      </c>
      <c r="D222" s="18">
        <v>296861</v>
      </c>
      <c r="E222" s="19"/>
      <c r="F222" s="15">
        <f t="shared" si="3"/>
        <v>-296861</v>
      </c>
      <c r="H222" s="10"/>
    </row>
    <row r="223" spans="1:8" x14ac:dyDescent="0.2">
      <c r="A223" s="91">
        <v>45537</v>
      </c>
      <c r="B223" s="16">
        <v>31554</v>
      </c>
      <c r="C223" s="17" t="s">
        <v>9</v>
      </c>
      <c r="D223" s="18">
        <v>443313.09</v>
      </c>
      <c r="E223" s="19"/>
      <c r="F223" s="15">
        <f t="shared" si="3"/>
        <v>-443313.09</v>
      </c>
      <c r="H223" s="10"/>
    </row>
    <row r="224" spans="1:8" x14ac:dyDescent="0.2">
      <c r="A224" s="91">
        <v>45537</v>
      </c>
      <c r="B224" s="16">
        <v>31606</v>
      </c>
      <c r="C224" s="17" t="s">
        <v>9</v>
      </c>
      <c r="D224" s="18">
        <v>470566.63</v>
      </c>
      <c r="E224" s="19"/>
      <c r="F224" s="15">
        <f t="shared" si="3"/>
        <v>-470566.63</v>
      </c>
      <c r="H224" s="10"/>
    </row>
    <row r="225" spans="1:8" x14ac:dyDescent="0.2">
      <c r="A225" s="91">
        <v>45537</v>
      </c>
      <c r="B225" s="16">
        <v>31548</v>
      </c>
      <c r="C225" s="17" t="s">
        <v>9</v>
      </c>
      <c r="D225" s="18">
        <v>582248.80000000005</v>
      </c>
      <c r="E225" s="19"/>
      <c r="F225" s="15">
        <f t="shared" si="3"/>
        <v>-582248.80000000005</v>
      </c>
      <c r="H225" s="10"/>
    </row>
    <row r="226" spans="1:8" x14ac:dyDescent="0.2">
      <c r="A226" s="91">
        <v>45537</v>
      </c>
      <c r="B226" s="16">
        <v>31592</v>
      </c>
      <c r="C226" s="17" t="s">
        <v>9</v>
      </c>
      <c r="D226" s="18">
        <v>1188590.95</v>
      </c>
      <c r="E226" s="19"/>
      <c r="F226" s="15">
        <f t="shared" si="3"/>
        <v>-1188590.95</v>
      </c>
      <c r="H226" s="10"/>
    </row>
    <row r="227" spans="1:8" x14ac:dyDescent="0.2">
      <c r="A227" s="91">
        <v>45537</v>
      </c>
      <c r="B227" s="16">
        <v>31590</v>
      </c>
      <c r="C227" s="17" t="s">
        <v>9</v>
      </c>
      <c r="D227" s="18">
        <v>3479451.6</v>
      </c>
      <c r="E227" s="19"/>
      <c r="F227" s="15">
        <f t="shared" si="3"/>
        <v>-3479451.6</v>
      </c>
      <c r="H227" s="10"/>
    </row>
    <row r="228" spans="1:8" x14ac:dyDescent="0.2">
      <c r="A228" s="91">
        <v>45537</v>
      </c>
      <c r="B228" s="16">
        <v>31433</v>
      </c>
      <c r="C228" s="17" t="s">
        <v>9</v>
      </c>
      <c r="D228" s="18">
        <v>5000000</v>
      </c>
      <c r="E228" s="19"/>
      <c r="F228" s="15">
        <f t="shared" si="3"/>
        <v>-5000000</v>
      </c>
      <c r="H228" s="10"/>
    </row>
    <row r="229" spans="1:8" x14ac:dyDescent="0.2">
      <c r="A229" s="91">
        <v>45537</v>
      </c>
      <c r="B229" s="16">
        <v>31598</v>
      </c>
      <c r="C229" s="17" t="s">
        <v>9</v>
      </c>
      <c r="D229" s="18">
        <v>11864837.869999999</v>
      </c>
      <c r="E229" s="19"/>
      <c r="F229" s="15">
        <f t="shared" si="3"/>
        <v>-11864837.869999999</v>
      </c>
      <c r="H229" s="10"/>
    </row>
    <row r="230" spans="1:8" x14ac:dyDescent="0.2">
      <c r="A230" s="91">
        <v>45538</v>
      </c>
      <c r="B230" s="16">
        <v>31633</v>
      </c>
      <c r="C230" s="17" t="s">
        <v>9</v>
      </c>
      <c r="D230" s="18">
        <v>95500.04</v>
      </c>
      <c r="E230" s="19"/>
      <c r="F230" s="15">
        <f t="shared" si="3"/>
        <v>-95500.04</v>
      </c>
      <c r="H230" s="10"/>
    </row>
    <row r="231" spans="1:8" x14ac:dyDescent="0.2">
      <c r="A231" s="91">
        <v>45538</v>
      </c>
      <c r="B231" s="16">
        <v>31625</v>
      </c>
      <c r="C231" s="17" t="s">
        <v>9</v>
      </c>
      <c r="D231" s="18">
        <v>145607.1</v>
      </c>
      <c r="E231" s="19"/>
      <c r="F231" s="15">
        <f t="shared" si="3"/>
        <v>-145607.1</v>
      </c>
      <c r="H231" s="10"/>
    </row>
    <row r="232" spans="1:8" x14ac:dyDescent="0.2">
      <c r="A232" s="91">
        <v>45538</v>
      </c>
      <c r="B232" s="16">
        <v>31499</v>
      </c>
      <c r="C232" s="17" t="s">
        <v>9</v>
      </c>
      <c r="D232" s="18">
        <v>205153</v>
      </c>
      <c r="E232" s="19"/>
      <c r="F232" s="15">
        <f t="shared" si="3"/>
        <v>-205153</v>
      </c>
      <c r="H232" s="10"/>
    </row>
    <row r="233" spans="1:8" x14ac:dyDescent="0.2">
      <c r="A233" s="91">
        <v>45538</v>
      </c>
      <c r="B233" s="16">
        <v>31635</v>
      </c>
      <c r="C233" s="17" t="s">
        <v>9</v>
      </c>
      <c r="D233" s="18">
        <v>394043</v>
      </c>
      <c r="E233" s="19"/>
      <c r="F233" s="15">
        <f t="shared" si="3"/>
        <v>-394043</v>
      </c>
      <c r="H233" s="10"/>
    </row>
    <row r="234" spans="1:8" x14ac:dyDescent="0.2">
      <c r="A234" s="91">
        <v>45538</v>
      </c>
      <c r="B234" s="16">
        <v>31608</v>
      </c>
      <c r="C234" s="17" t="s">
        <v>9</v>
      </c>
      <c r="D234" s="18">
        <v>441700</v>
      </c>
      <c r="E234" s="19"/>
      <c r="F234" s="15">
        <f t="shared" si="3"/>
        <v>-441700</v>
      </c>
      <c r="H234" s="10"/>
    </row>
    <row r="235" spans="1:8" x14ac:dyDescent="0.2">
      <c r="A235" s="91">
        <v>45538</v>
      </c>
      <c r="B235" s="16">
        <v>31687</v>
      </c>
      <c r="C235" s="17" t="s">
        <v>9</v>
      </c>
      <c r="D235" s="18">
        <v>960450</v>
      </c>
      <c r="E235" s="19"/>
      <c r="F235" s="15">
        <f t="shared" si="3"/>
        <v>-960450</v>
      </c>
      <c r="H235" s="10"/>
    </row>
    <row r="236" spans="1:8" x14ac:dyDescent="0.2">
      <c r="A236" s="91">
        <v>45539</v>
      </c>
      <c r="B236" s="16">
        <v>31418</v>
      </c>
      <c r="C236" s="17" t="s">
        <v>9</v>
      </c>
      <c r="D236" s="18">
        <v>93857.13</v>
      </c>
      <c r="E236" s="19"/>
      <c r="F236" s="15">
        <f t="shared" si="3"/>
        <v>-93857.13</v>
      </c>
      <c r="H236" s="10"/>
    </row>
    <row r="237" spans="1:8" x14ac:dyDescent="0.2">
      <c r="A237" s="91">
        <v>45539</v>
      </c>
      <c r="B237" s="16">
        <v>31498</v>
      </c>
      <c r="C237" s="17" t="s">
        <v>9</v>
      </c>
      <c r="D237" s="18">
        <v>758000</v>
      </c>
      <c r="E237" s="19"/>
      <c r="F237" s="15">
        <f t="shared" si="3"/>
        <v>-758000</v>
      </c>
      <c r="H237" s="10"/>
    </row>
    <row r="238" spans="1:8" x14ac:dyDescent="0.2">
      <c r="A238" s="91">
        <v>45539</v>
      </c>
      <c r="B238" s="16">
        <v>31688</v>
      </c>
      <c r="C238" s="17" t="s">
        <v>9</v>
      </c>
      <c r="D238" s="18">
        <v>9494919</v>
      </c>
      <c r="E238" s="19"/>
      <c r="F238" s="15">
        <f t="shared" si="3"/>
        <v>-9494919</v>
      </c>
      <c r="H238" s="10"/>
    </row>
    <row r="239" spans="1:8" x14ac:dyDescent="0.2">
      <c r="A239" s="91">
        <v>45541</v>
      </c>
      <c r="B239" s="16">
        <v>31576</v>
      </c>
      <c r="C239" s="17" t="s">
        <v>9</v>
      </c>
      <c r="D239" s="18">
        <v>49370</v>
      </c>
      <c r="E239" s="19"/>
      <c r="F239" s="15">
        <f t="shared" si="3"/>
        <v>-49370</v>
      </c>
      <c r="H239" s="10"/>
    </row>
    <row r="240" spans="1:8" x14ac:dyDescent="0.2">
      <c r="A240" s="91">
        <v>45541</v>
      </c>
      <c r="B240" s="16">
        <v>31681</v>
      </c>
      <c r="C240" s="17" t="s">
        <v>9</v>
      </c>
      <c r="D240" s="18">
        <v>104853.12</v>
      </c>
      <c r="E240" s="19"/>
      <c r="F240" s="15">
        <f t="shared" si="3"/>
        <v>-104853.12</v>
      </c>
      <c r="H240" s="10"/>
    </row>
    <row r="241" spans="1:8" x14ac:dyDescent="0.2">
      <c r="A241" s="91">
        <v>45541</v>
      </c>
      <c r="B241" s="16">
        <v>31629</v>
      </c>
      <c r="C241" s="17" t="s">
        <v>9</v>
      </c>
      <c r="D241" s="18">
        <v>106622.51</v>
      </c>
      <c r="E241" s="19"/>
      <c r="F241" s="15">
        <f t="shared" si="3"/>
        <v>-106622.51</v>
      </c>
      <c r="H241" s="10"/>
    </row>
    <row r="242" spans="1:8" x14ac:dyDescent="0.2">
      <c r="A242" s="91">
        <v>45541</v>
      </c>
      <c r="B242" s="21">
        <v>31695</v>
      </c>
      <c r="C242" s="22" t="s">
        <v>9</v>
      </c>
      <c r="D242" s="23">
        <v>2839000</v>
      </c>
      <c r="E242" s="24"/>
      <c r="F242" s="15">
        <f t="shared" si="3"/>
        <v>-2839000</v>
      </c>
      <c r="H242" s="10"/>
    </row>
    <row r="243" spans="1:8" x14ac:dyDescent="0.2">
      <c r="A243" s="91">
        <v>45541</v>
      </c>
      <c r="B243" s="16">
        <v>31696</v>
      </c>
      <c r="C243" s="17" t="s">
        <v>9</v>
      </c>
      <c r="D243" s="18">
        <v>3415000</v>
      </c>
      <c r="E243" s="19"/>
      <c r="F243" s="15">
        <f t="shared" si="3"/>
        <v>-3415000</v>
      </c>
      <c r="H243" s="10"/>
    </row>
    <row r="244" spans="1:8" x14ac:dyDescent="0.2">
      <c r="A244" s="91">
        <v>45544</v>
      </c>
      <c r="B244" s="16">
        <v>31414</v>
      </c>
      <c r="C244" s="17" t="s">
        <v>9</v>
      </c>
      <c r="D244" s="18">
        <v>452529.61</v>
      </c>
      <c r="E244" s="19"/>
      <c r="F244" s="15">
        <f t="shared" si="3"/>
        <v>-452529.61</v>
      </c>
      <c r="H244" s="10"/>
    </row>
    <row r="245" spans="1:8" x14ac:dyDescent="0.2">
      <c r="A245" s="91">
        <v>45546</v>
      </c>
      <c r="B245" s="16">
        <v>31671</v>
      </c>
      <c r="C245" s="17" t="s">
        <v>9</v>
      </c>
      <c r="D245" s="18">
        <v>50999.99</v>
      </c>
      <c r="E245" s="19"/>
      <c r="F245" s="15">
        <f t="shared" si="3"/>
        <v>-50999.99</v>
      </c>
      <c r="H245" s="10"/>
    </row>
    <row r="246" spans="1:8" x14ac:dyDescent="0.2">
      <c r="A246" s="91">
        <v>45553</v>
      </c>
      <c r="B246" s="16">
        <v>31400</v>
      </c>
      <c r="C246" s="17" t="s">
        <v>9</v>
      </c>
      <c r="D246" s="18">
        <v>128188.42</v>
      </c>
      <c r="E246" s="19"/>
      <c r="F246" s="15">
        <f t="shared" si="3"/>
        <v>-128188.42</v>
      </c>
      <c r="H246" s="10"/>
    </row>
    <row r="247" spans="1:8" x14ac:dyDescent="0.2">
      <c r="A247" s="91">
        <v>45554</v>
      </c>
      <c r="B247" s="16">
        <v>31611</v>
      </c>
      <c r="C247" s="17" t="s">
        <v>9</v>
      </c>
      <c r="D247" s="18">
        <v>2225363</v>
      </c>
      <c r="E247" s="19"/>
      <c r="F247" s="15">
        <f t="shared" si="3"/>
        <v>-2225363</v>
      </c>
      <c r="H247" s="10"/>
    </row>
    <row r="248" spans="1:8" x14ac:dyDescent="0.2">
      <c r="A248" s="91">
        <v>45561</v>
      </c>
      <c r="B248" s="16">
        <v>31581</v>
      </c>
      <c r="C248" s="17" t="s">
        <v>9</v>
      </c>
      <c r="D248" s="18">
        <v>400249.33</v>
      </c>
      <c r="E248" s="19"/>
      <c r="F248" s="15">
        <f t="shared" si="3"/>
        <v>-400249.33</v>
      </c>
      <c r="H248" s="10"/>
    </row>
    <row r="249" spans="1:8" x14ac:dyDescent="0.2">
      <c r="A249" s="91">
        <v>45561</v>
      </c>
      <c r="B249" s="16">
        <v>31684</v>
      </c>
      <c r="C249" s="17" t="s">
        <v>9</v>
      </c>
      <c r="D249" s="18">
        <v>25311.02</v>
      </c>
      <c r="E249" s="19"/>
      <c r="F249" s="15">
        <f t="shared" si="3"/>
        <v>-25311.02</v>
      </c>
      <c r="H249" s="10"/>
    </row>
    <row r="250" spans="1:8" x14ac:dyDescent="0.2">
      <c r="A250" s="91">
        <v>45565</v>
      </c>
      <c r="B250" s="16">
        <v>31497</v>
      </c>
      <c r="C250" s="17" t="s">
        <v>9</v>
      </c>
      <c r="D250" s="18">
        <v>116193.01</v>
      </c>
      <c r="E250" s="19"/>
      <c r="F250" s="15">
        <f t="shared" si="3"/>
        <v>-116193.01</v>
      </c>
      <c r="H250" s="10"/>
    </row>
    <row r="251" spans="1:8" x14ac:dyDescent="0.2">
      <c r="A251" s="91">
        <v>45565</v>
      </c>
      <c r="B251" s="16">
        <v>31551</v>
      </c>
      <c r="C251" s="17" t="s">
        <v>9</v>
      </c>
      <c r="D251" s="18">
        <v>209520</v>
      </c>
      <c r="E251" s="19"/>
      <c r="F251" s="15">
        <f t="shared" si="3"/>
        <v>-209520</v>
      </c>
      <c r="H251" s="10"/>
    </row>
    <row r="252" spans="1:8" x14ac:dyDescent="0.2">
      <c r="A252" s="91">
        <v>45565</v>
      </c>
      <c r="B252" s="16">
        <v>31500</v>
      </c>
      <c r="C252" s="17" t="s">
        <v>9</v>
      </c>
      <c r="D252" s="18">
        <v>228363.1</v>
      </c>
      <c r="E252" s="19"/>
      <c r="F252" s="15">
        <f t="shared" si="3"/>
        <v>-228363.1</v>
      </c>
      <c r="H252" s="10"/>
    </row>
    <row r="253" spans="1:8" x14ac:dyDescent="0.2">
      <c r="A253" s="91">
        <v>45565</v>
      </c>
      <c r="B253" s="16">
        <v>31666</v>
      </c>
      <c r="C253" s="17" t="s">
        <v>9</v>
      </c>
      <c r="D253" s="18">
        <v>350200</v>
      </c>
      <c r="E253" s="19"/>
      <c r="F253" s="15">
        <f t="shared" si="3"/>
        <v>-350200</v>
      </c>
      <c r="H253" s="10"/>
    </row>
    <row r="254" spans="1:8" x14ac:dyDescent="0.2">
      <c r="A254" s="91">
        <v>45565</v>
      </c>
      <c r="B254" s="16">
        <v>31575</v>
      </c>
      <c r="C254" s="17" t="s">
        <v>9</v>
      </c>
      <c r="D254" s="18">
        <v>1903125</v>
      </c>
      <c r="E254" s="19"/>
      <c r="F254" s="15">
        <f t="shared" si="3"/>
        <v>-1903125</v>
      </c>
      <c r="H254" s="10"/>
    </row>
    <row r="255" spans="1:8" x14ac:dyDescent="0.2">
      <c r="A255" s="91">
        <v>45565</v>
      </c>
      <c r="B255" s="16">
        <v>31564</v>
      </c>
      <c r="C255" s="17" t="s">
        <v>9</v>
      </c>
      <c r="D255" s="18">
        <v>3466737.08</v>
      </c>
      <c r="E255" s="19"/>
      <c r="F255" s="15">
        <f t="shared" si="3"/>
        <v>-3466737.08</v>
      </c>
      <c r="H255" s="10"/>
    </row>
    <row r="256" spans="1:8" x14ac:dyDescent="0.2">
      <c r="A256" s="91">
        <v>45566</v>
      </c>
      <c r="B256" s="43">
        <v>31591</v>
      </c>
      <c r="C256" s="17" t="s">
        <v>9</v>
      </c>
      <c r="D256" s="18">
        <v>43610</v>
      </c>
      <c r="E256" s="19"/>
      <c r="F256" s="15">
        <f t="shared" si="3"/>
        <v>-43610</v>
      </c>
    </row>
    <row r="257" spans="1:6" x14ac:dyDescent="0.2">
      <c r="A257" s="91">
        <v>45566</v>
      </c>
      <c r="B257" s="43">
        <v>31559</v>
      </c>
      <c r="C257" s="17" t="s">
        <v>9</v>
      </c>
      <c r="D257" s="18">
        <v>59625.02</v>
      </c>
      <c r="E257" s="19"/>
      <c r="F257" s="15">
        <f t="shared" si="3"/>
        <v>-59625.02</v>
      </c>
    </row>
    <row r="258" spans="1:6" x14ac:dyDescent="0.2">
      <c r="A258" s="91">
        <v>45566</v>
      </c>
      <c r="B258" s="43">
        <v>31561</v>
      </c>
      <c r="C258" s="17" t="s">
        <v>9</v>
      </c>
      <c r="D258" s="18">
        <v>141636</v>
      </c>
      <c r="E258" s="19"/>
      <c r="F258" s="15">
        <f t="shared" si="3"/>
        <v>-141636</v>
      </c>
    </row>
    <row r="259" spans="1:6" x14ac:dyDescent="0.2">
      <c r="A259" s="91">
        <v>45566</v>
      </c>
      <c r="B259" s="43">
        <v>31605</v>
      </c>
      <c r="C259" s="17" t="s">
        <v>9</v>
      </c>
      <c r="D259" s="18">
        <v>234000</v>
      </c>
      <c r="E259" s="19"/>
      <c r="F259" s="15">
        <f t="shared" ref="F259:F322" si="4">+E259-D259</f>
        <v>-234000</v>
      </c>
    </row>
    <row r="260" spans="1:6" x14ac:dyDescent="0.2">
      <c r="A260" s="91">
        <v>45566</v>
      </c>
      <c r="B260" s="43">
        <v>31640</v>
      </c>
      <c r="C260" s="17" t="s">
        <v>9</v>
      </c>
      <c r="D260" s="18">
        <v>399000</v>
      </c>
      <c r="E260" s="19"/>
      <c r="F260" s="15">
        <f t="shared" si="4"/>
        <v>-399000</v>
      </c>
    </row>
    <row r="261" spans="1:6" x14ac:dyDescent="0.2">
      <c r="A261" s="91">
        <v>45566</v>
      </c>
      <c r="B261" s="43">
        <v>31692</v>
      </c>
      <c r="C261" s="17" t="s">
        <v>9</v>
      </c>
      <c r="D261" s="18">
        <v>435816.7</v>
      </c>
      <c r="E261" s="19"/>
      <c r="F261" s="15">
        <f t="shared" si="4"/>
        <v>-435816.7</v>
      </c>
    </row>
    <row r="262" spans="1:6" x14ac:dyDescent="0.2">
      <c r="A262" s="91">
        <v>45566</v>
      </c>
      <c r="B262" s="43">
        <v>31552</v>
      </c>
      <c r="C262" s="17" t="s">
        <v>9</v>
      </c>
      <c r="D262" s="18">
        <v>811423.76</v>
      </c>
      <c r="E262" s="19"/>
      <c r="F262" s="15">
        <f t="shared" si="4"/>
        <v>-811423.76</v>
      </c>
    </row>
    <row r="263" spans="1:6" x14ac:dyDescent="0.2">
      <c r="A263" s="91">
        <v>45566</v>
      </c>
      <c r="B263" s="43">
        <v>31604</v>
      </c>
      <c r="C263" s="17" t="s">
        <v>9</v>
      </c>
      <c r="D263" s="18">
        <v>1236409.51</v>
      </c>
      <c r="E263" s="19"/>
      <c r="F263" s="15">
        <f t="shared" si="4"/>
        <v>-1236409.51</v>
      </c>
    </row>
    <row r="264" spans="1:6" x14ac:dyDescent="0.2">
      <c r="A264" s="91">
        <v>45566</v>
      </c>
      <c r="B264" s="43">
        <v>31583</v>
      </c>
      <c r="C264" s="17" t="s">
        <v>9</v>
      </c>
      <c r="D264" s="18">
        <v>1257302.94</v>
      </c>
      <c r="E264" s="19"/>
      <c r="F264" s="15">
        <f t="shared" si="4"/>
        <v>-1257302.94</v>
      </c>
    </row>
    <row r="265" spans="1:6" x14ac:dyDescent="0.2">
      <c r="A265" s="91">
        <v>45566</v>
      </c>
      <c r="B265" s="44">
        <v>31546</v>
      </c>
      <c r="C265" s="22" t="s">
        <v>9</v>
      </c>
      <c r="D265" s="23">
        <v>1347325.07</v>
      </c>
      <c r="E265" s="24"/>
      <c r="F265" s="15">
        <f t="shared" si="4"/>
        <v>-1347325.07</v>
      </c>
    </row>
    <row r="266" spans="1:6" x14ac:dyDescent="0.2">
      <c r="A266" s="91">
        <v>45566</v>
      </c>
      <c r="B266" s="43">
        <v>31540</v>
      </c>
      <c r="C266" s="17" t="s">
        <v>9</v>
      </c>
      <c r="D266" s="18">
        <v>1418835.6</v>
      </c>
      <c r="E266" s="19"/>
      <c r="F266" s="15">
        <f t="shared" si="4"/>
        <v>-1418835.6</v>
      </c>
    </row>
    <row r="267" spans="1:6" x14ac:dyDescent="0.2">
      <c r="A267" s="91">
        <v>45566</v>
      </c>
      <c r="B267" s="43">
        <v>31495</v>
      </c>
      <c r="C267" s="17" t="s">
        <v>9</v>
      </c>
      <c r="D267" s="18">
        <v>1431030</v>
      </c>
      <c r="E267" s="19"/>
      <c r="F267" s="15">
        <f t="shared" si="4"/>
        <v>-1431030</v>
      </c>
    </row>
    <row r="268" spans="1:6" x14ac:dyDescent="0.2">
      <c r="A268" s="91">
        <v>45566</v>
      </c>
      <c r="B268" s="43">
        <v>31643</v>
      </c>
      <c r="C268" s="17" t="s">
        <v>9</v>
      </c>
      <c r="D268" s="18">
        <v>1759430.85</v>
      </c>
      <c r="E268" s="19"/>
      <c r="F268" s="15">
        <f t="shared" si="4"/>
        <v>-1759430.85</v>
      </c>
    </row>
    <row r="269" spans="1:6" x14ac:dyDescent="0.2">
      <c r="A269" s="91">
        <v>45566</v>
      </c>
      <c r="B269" s="43">
        <v>31710</v>
      </c>
      <c r="C269" s="17" t="s">
        <v>9</v>
      </c>
      <c r="D269" s="18">
        <v>2383155</v>
      </c>
      <c r="E269" s="19"/>
      <c r="F269" s="15">
        <f t="shared" si="4"/>
        <v>-2383155</v>
      </c>
    </row>
    <row r="270" spans="1:6" x14ac:dyDescent="0.2">
      <c r="A270" s="91">
        <v>45566</v>
      </c>
      <c r="B270" s="43">
        <v>31557</v>
      </c>
      <c r="C270" s="17" t="s">
        <v>9</v>
      </c>
      <c r="D270" s="18">
        <v>4889894.0999999996</v>
      </c>
      <c r="E270" s="19"/>
      <c r="F270" s="15">
        <f t="shared" si="4"/>
        <v>-4889894.0999999996</v>
      </c>
    </row>
    <row r="271" spans="1:6" x14ac:dyDescent="0.2">
      <c r="A271" s="91">
        <v>45566</v>
      </c>
      <c r="B271" s="43">
        <v>31435</v>
      </c>
      <c r="C271" s="17" t="s">
        <v>9</v>
      </c>
      <c r="D271" s="18">
        <v>5866829.8399999999</v>
      </c>
      <c r="E271" s="19"/>
      <c r="F271" s="15">
        <f t="shared" si="4"/>
        <v>-5866829.8399999999</v>
      </c>
    </row>
    <row r="272" spans="1:6" x14ac:dyDescent="0.2">
      <c r="A272" s="91">
        <v>45566</v>
      </c>
      <c r="B272" s="43">
        <v>31553</v>
      </c>
      <c r="C272" s="17" t="s">
        <v>9</v>
      </c>
      <c r="D272" s="18">
        <v>8951423.5899999999</v>
      </c>
      <c r="E272" s="19"/>
      <c r="F272" s="15">
        <f t="shared" si="4"/>
        <v>-8951423.5899999999</v>
      </c>
    </row>
    <row r="273" spans="1:6" x14ac:dyDescent="0.2">
      <c r="A273" s="91">
        <v>45566</v>
      </c>
      <c r="B273" s="43">
        <v>31599</v>
      </c>
      <c r="C273" s="17" t="s">
        <v>9</v>
      </c>
      <c r="D273" s="18">
        <v>20563621.989999998</v>
      </c>
      <c r="E273" s="19"/>
      <c r="F273" s="15">
        <f t="shared" si="4"/>
        <v>-20563621.989999998</v>
      </c>
    </row>
    <row r="274" spans="1:6" x14ac:dyDescent="0.2">
      <c r="A274" s="91">
        <v>45567</v>
      </c>
      <c r="B274" s="43">
        <v>31460</v>
      </c>
      <c r="C274" s="17" t="s">
        <v>9</v>
      </c>
      <c r="D274" s="18">
        <v>366100</v>
      </c>
      <c r="E274" s="19"/>
      <c r="F274" s="15">
        <f t="shared" si="4"/>
        <v>-366100</v>
      </c>
    </row>
    <row r="275" spans="1:6" x14ac:dyDescent="0.2">
      <c r="A275" s="91">
        <v>45567</v>
      </c>
      <c r="B275" s="43">
        <v>31558</v>
      </c>
      <c r="C275" s="17" t="s">
        <v>9</v>
      </c>
      <c r="D275" s="18">
        <v>765627.46</v>
      </c>
      <c r="E275" s="19"/>
      <c r="F275" s="15">
        <f t="shared" si="4"/>
        <v>-765627.46</v>
      </c>
    </row>
    <row r="276" spans="1:6" x14ac:dyDescent="0.2">
      <c r="A276" s="91">
        <v>45567</v>
      </c>
      <c r="B276" s="43">
        <v>31609</v>
      </c>
      <c r="C276" s="17" t="s">
        <v>9</v>
      </c>
      <c r="D276" s="18">
        <v>765820.62</v>
      </c>
      <c r="E276" s="19"/>
      <c r="F276" s="15">
        <f t="shared" si="4"/>
        <v>-765820.62</v>
      </c>
    </row>
    <row r="277" spans="1:6" x14ac:dyDescent="0.2">
      <c r="A277" s="91">
        <v>45567</v>
      </c>
      <c r="B277" s="43">
        <v>31439</v>
      </c>
      <c r="C277" s="17" t="s">
        <v>9</v>
      </c>
      <c r="D277" s="18">
        <v>1160315.43</v>
      </c>
      <c r="E277" s="19"/>
      <c r="F277" s="15">
        <f t="shared" si="4"/>
        <v>-1160315.43</v>
      </c>
    </row>
    <row r="278" spans="1:6" x14ac:dyDescent="0.2">
      <c r="A278" s="91">
        <v>45567</v>
      </c>
      <c r="B278" s="43">
        <v>31542</v>
      </c>
      <c r="C278" s="17" t="s">
        <v>9</v>
      </c>
      <c r="D278" s="18">
        <v>1691900</v>
      </c>
      <c r="E278" s="19"/>
      <c r="F278" s="15">
        <f t="shared" si="4"/>
        <v>-1691900</v>
      </c>
    </row>
    <row r="279" spans="1:6" x14ac:dyDescent="0.2">
      <c r="A279" s="91">
        <v>45567</v>
      </c>
      <c r="B279" s="43">
        <v>31612</v>
      </c>
      <c r="C279" s="17" t="s">
        <v>9</v>
      </c>
      <c r="D279" s="18">
        <v>2225364.58</v>
      </c>
      <c r="E279" s="19"/>
      <c r="F279" s="15">
        <f t="shared" si="4"/>
        <v>-2225364.58</v>
      </c>
    </row>
    <row r="280" spans="1:6" x14ac:dyDescent="0.2">
      <c r="A280" s="91">
        <v>45567</v>
      </c>
      <c r="B280" s="43">
        <v>31690</v>
      </c>
      <c r="C280" s="17" t="s">
        <v>9</v>
      </c>
      <c r="D280" s="18">
        <v>3131640.78</v>
      </c>
      <c r="E280" s="19"/>
      <c r="F280" s="15">
        <f t="shared" si="4"/>
        <v>-3131640.78</v>
      </c>
    </row>
    <row r="281" spans="1:6" x14ac:dyDescent="0.2">
      <c r="A281" s="91">
        <v>45567</v>
      </c>
      <c r="B281" s="43">
        <v>31543</v>
      </c>
      <c r="C281" s="17" t="s">
        <v>9</v>
      </c>
      <c r="D281" s="18">
        <v>7463414</v>
      </c>
      <c r="E281" s="19"/>
      <c r="F281" s="15">
        <f t="shared" si="4"/>
        <v>-7463414</v>
      </c>
    </row>
    <row r="282" spans="1:6" x14ac:dyDescent="0.2">
      <c r="A282" s="91">
        <v>45569</v>
      </c>
      <c r="B282" s="43">
        <v>31693</v>
      </c>
      <c r="C282" s="17" t="s">
        <v>9</v>
      </c>
      <c r="D282" s="18">
        <v>544752.39</v>
      </c>
      <c r="E282" s="19"/>
      <c r="F282" s="15">
        <f t="shared" si="4"/>
        <v>-544752.39</v>
      </c>
    </row>
    <row r="283" spans="1:6" x14ac:dyDescent="0.2">
      <c r="A283" s="91">
        <v>45572</v>
      </c>
      <c r="B283" s="43">
        <v>31678</v>
      </c>
      <c r="C283" s="17" t="s">
        <v>9</v>
      </c>
      <c r="D283" s="18">
        <v>349154.22</v>
      </c>
      <c r="E283" s="19"/>
      <c r="F283" s="15">
        <f t="shared" si="4"/>
        <v>-349154.22</v>
      </c>
    </row>
    <row r="284" spans="1:6" x14ac:dyDescent="0.2">
      <c r="A284" s="91">
        <v>45572</v>
      </c>
      <c r="B284" s="43">
        <v>31751</v>
      </c>
      <c r="C284" s="17" t="s">
        <v>9</v>
      </c>
      <c r="D284" s="18">
        <v>5333094.25</v>
      </c>
      <c r="E284" s="19"/>
      <c r="F284" s="15">
        <f t="shared" si="4"/>
        <v>-5333094.25</v>
      </c>
    </row>
    <row r="285" spans="1:6" x14ac:dyDescent="0.2">
      <c r="A285" s="91">
        <v>45574</v>
      </c>
      <c r="B285" s="43">
        <v>31660</v>
      </c>
      <c r="C285" s="17" t="s">
        <v>9</v>
      </c>
      <c r="D285" s="18">
        <v>234000</v>
      </c>
      <c r="E285" s="19"/>
      <c r="F285" s="15">
        <f t="shared" si="4"/>
        <v>-234000</v>
      </c>
    </row>
    <row r="286" spans="1:6" x14ac:dyDescent="0.2">
      <c r="A286" s="91">
        <v>45575</v>
      </c>
      <c r="B286" s="43">
        <v>31670</v>
      </c>
      <c r="C286" s="17" t="s">
        <v>9</v>
      </c>
      <c r="D286" s="18">
        <v>431150.94</v>
      </c>
      <c r="E286" s="19"/>
      <c r="F286" s="15">
        <f t="shared" si="4"/>
        <v>-431150.94</v>
      </c>
    </row>
    <row r="287" spans="1:6" x14ac:dyDescent="0.2">
      <c r="A287" s="91">
        <v>45579</v>
      </c>
      <c r="B287" s="43">
        <v>31669</v>
      </c>
      <c r="C287" s="17" t="s">
        <v>9</v>
      </c>
      <c r="D287" s="18">
        <v>611553.15</v>
      </c>
      <c r="E287" s="19"/>
      <c r="F287" s="15">
        <f t="shared" si="4"/>
        <v>-611553.15</v>
      </c>
    </row>
    <row r="288" spans="1:6" x14ac:dyDescent="0.2">
      <c r="A288" s="91">
        <v>45581</v>
      </c>
      <c r="B288" s="44">
        <v>31614</v>
      </c>
      <c r="C288" s="22" t="s">
        <v>9</v>
      </c>
      <c r="D288" s="23">
        <v>126000</v>
      </c>
      <c r="E288" s="24"/>
      <c r="F288" s="15">
        <f t="shared" si="4"/>
        <v>-126000</v>
      </c>
    </row>
    <row r="289" spans="1:6" x14ac:dyDescent="0.2">
      <c r="A289" s="91">
        <v>45581</v>
      </c>
      <c r="B289" s="43">
        <v>31749</v>
      </c>
      <c r="C289" s="17" t="s">
        <v>9</v>
      </c>
      <c r="D289" s="18">
        <v>187500</v>
      </c>
      <c r="E289" s="19"/>
      <c r="F289" s="15">
        <f t="shared" si="4"/>
        <v>-187500</v>
      </c>
    </row>
    <row r="290" spans="1:6" x14ac:dyDescent="0.2">
      <c r="A290" s="91">
        <v>45587</v>
      </c>
      <c r="B290" s="43">
        <v>31752</v>
      </c>
      <c r="C290" s="17" t="s">
        <v>9</v>
      </c>
      <c r="D290" s="18">
        <v>5333094.25</v>
      </c>
      <c r="E290" s="19"/>
      <c r="F290" s="15">
        <f t="shared" si="4"/>
        <v>-5333094.25</v>
      </c>
    </row>
    <row r="291" spans="1:6" x14ac:dyDescent="0.2">
      <c r="A291" s="91">
        <v>45588</v>
      </c>
      <c r="B291" s="43">
        <v>31790</v>
      </c>
      <c r="C291" s="17" t="s">
        <v>9</v>
      </c>
      <c r="D291" s="18">
        <v>2549000</v>
      </c>
      <c r="E291" s="19"/>
      <c r="F291" s="15">
        <f t="shared" si="4"/>
        <v>-2549000</v>
      </c>
    </row>
    <row r="292" spans="1:6" x14ac:dyDescent="0.2">
      <c r="A292" s="91">
        <v>45588</v>
      </c>
      <c r="B292" s="43">
        <v>31791</v>
      </c>
      <c r="C292" s="17" t="s">
        <v>9</v>
      </c>
      <c r="D292" s="18">
        <v>2969000</v>
      </c>
      <c r="E292" s="19"/>
      <c r="F292" s="15">
        <f t="shared" si="4"/>
        <v>-2969000</v>
      </c>
    </row>
    <row r="293" spans="1:6" x14ac:dyDescent="0.2">
      <c r="A293" s="91">
        <v>45590</v>
      </c>
      <c r="B293" s="43">
        <v>31750</v>
      </c>
      <c r="C293" s="17" t="s">
        <v>9</v>
      </c>
      <c r="D293" s="18">
        <v>1042387.5</v>
      </c>
      <c r="E293" s="19"/>
      <c r="F293" s="15">
        <f t="shared" si="4"/>
        <v>-1042387.5</v>
      </c>
    </row>
    <row r="294" spans="1:6" x14ac:dyDescent="0.2">
      <c r="A294" s="91">
        <v>45593</v>
      </c>
      <c r="B294" s="43">
        <v>8723</v>
      </c>
      <c r="C294" s="17" t="s">
        <v>9</v>
      </c>
      <c r="D294" s="18">
        <v>482724.3</v>
      </c>
      <c r="E294" s="19"/>
      <c r="F294" s="15">
        <f t="shared" si="4"/>
        <v>-482724.3</v>
      </c>
    </row>
    <row r="295" spans="1:6" x14ac:dyDescent="0.2">
      <c r="A295" s="91">
        <v>45594</v>
      </c>
      <c r="B295" s="43">
        <v>31672</v>
      </c>
      <c r="C295" s="17" t="s">
        <v>9</v>
      </c>
      <c r="D295" s="18">
        <v>34931.74</v>
      </c>
      <c r="E295" s="19"/>
      <c r="F295" s="15">
        <f t="shared" si="4"/>
        <v>-34931.74</v>
      </c>
    </row>
    <row r="296" spans="1:6" x14ac:dyDescent="0.2">
      <c r="A296" s="91">
        <v>45594</v>
      </c>
      <c r="B296" s="43">
        <v>31742</v>
      </c>
      <c r="C296" s="17" t="s">
        <v>9</v>
      </c>
      <c r="D296" s="18">
        <v>311451.40000000002</v>
      </c>
      <c r="E296" s="19"/>
      <c r="F296" s="15">
        <f t="shared" si="4"/>
        <v>-311451.40000000002</v>
      </c>
    </row>
    <row r="297" spans="1:6" x14ac:dyDescent="0.2">
      <c r="A297" s="91">
        <v>45594</v>
      </c>
      <c r="B297" s="43">
        <v>31586</v>
      </c>
      <c r="C297" s="17" t="s">
        <v>9</v>
      </c>
      <c r="D297" s="18">
        <v>2681249.25</v>
      </c>
      <c r="E297" s="19"/>
      <c r="F297" s="15">
        <f t="shared" si="4"/>
        <v>-2681249.25</v>
      </c>
    </row>
    <row r="298" spans="1:6" x14ac:dyDescent="0.2">
      <c r="A298" s="91">
        <v>45595</v>
      </c>
      <c r="B298" s="43">
        <v>31771</v>
      </c>
      <c r="C298" s="17" t="s">
        <v>9</v>
      </c>
      <c r="D298" s="18">
        <v>439495.31</v>
      </c>
      <c r="E298" s="19"/>
      <c r="F298" s="15">
        <f t="shared" si="4"/>
        <v>-439495.31</v>
      </c>
    </row>
    <row r="299" spans="1:6" x14ac:dyDescent="0.2">
      <c r="A299" s="91">
        <v>45595</v>
      </c>
      <c r="B299" s="43">
        <v>31616</v>
      </c>
      <c r="C299" s="17" t="s">
        <v>9</v>
      </c>
      <c r="D299" s="18">
        <v>459294.05</v>
      </c>
      <c r="E299" s="19"/>
      <c r="F299" s="15">
        <f t="shared" si="4"/>
        <v>-459294.05</v>
      </c>
    </row>
    <row r="300" spans="1:6" x14ac:dyDescent="0.2">
      <c r="A300" s="91">
        <v>45595</v>
      </c>
      <c r="B300" s="43">
        <v>31618</v>
      </c>
      <c r="C300" s="17" t="s">
        <v>9</v>
      </c>
      <c r="D300" s="18">
        <v>662378.19999999995</v>
      </c>
      <c r="E300" s="19"/>
      <c r="F300" s="15">
        <f t="shared" si="4"/>
        <v>-662378.19999999995</v>
      </c>
    </row>
    <row r="301" spans="1:6" x14ac:dyDescent="0.2">
      <c r="A301" s="91">
        <v>45595</v>
      </c>
      <c r="B301" s="43">
        <v>31579</v>
      </c>
      <c r="C301" s="17" t="s">
        <v>9</v>
      </c>
      <c r="D301" s="18">
        <v>758000</v>
      </c>
      <c r="E301" s="19"/>
      <c r="F301" s="15">
        <f t="shared" si="4"/>
        <v>-758000</v>
      </c>
    </row>
    <row r="302" spans="1:6" x14ac:dyDescent="0.2">
      <c r="A302" s="91">
        <v>45595</v>
      </c>
      <c r="B302" s="43">
        <v>31622</v>
      </c>
      <c r="C302" s="17" t="s">
        <v>9</v>
      </c>
      <c r="D302" s="18">
        <v>1627027.5</v>
      </c>
      <c r="E302" s="19"/>
      <c r="F302" s="15">
        <f t="shared" si="4"/>
        <v>-1627027.5</v>
      </c>
    </row>
    <row r="303" spans="1:6" x14ac:dyDescent="0.2">
      <c r="A303" s="91">
        <v>45595</v>
      </c>
      <c r="B303" s="43">
        <v>31634</v>
      </c>
      <c r="C303" s="17" t="s">
        <v>9</v>
      </c>
      <c r="D303" s="18">
        <v>1846243</v>
      </c>
      <c r="E303" s="19"/>
      <c r="F303" s="15">
        <f t="shared" si="4"/>
        <v>-1846243</v>
      </c>
    </row>
    <row r="304" spans="1:6" x14ac:dyDescent="0.2">
      <c r="A304" s="91">
        <v>45595</v>
      </c>
      <c r="B304" s="43">
        <v>31694</v>
      </c>
      <c r="C304" s="17" t="s">
        <v>9</v>
      </c>
      <c r="D304" s="18">
        <v>2190033.2599999998</v>
      </c>
      <c r="E304" s="19"/>
      <c r="F304" s="15">
        <f t="shared" si="4"/>
        <v>-2190033.2599999998</v>
      </c>
    </row>
    <row r="305" spans="1:6" x14ac:dyDescent="0.2">
      <c r="A305" s="91">
        <v>45595</v>
      </c>
      <c r="B305" s="43">
        <v>31661</v>
      </c>
      <c r="C305" s="17" t="s">
        <v>9</v>
      </c>
      <c r="D305" s="18">
        <v>7533956</v>
      </c>
      <c r="E305" s="19"/>
      <c r="F305" s="15">
        <f t="shared" si="4"/>
        <v>-7533956</v>
      </c>
    </row>
    <row r="306" spans="1:6" x14ac:dyDescent="0.2">
      <c r="A306" s="91">
        <v>45596</v>
      </c>
      <c r="B306" s="43">
        <v>31726</v>
      </c>
      <c r="C306" s="17" t="s">
        <v>9</v>
      </c>
      <c r="D306" s="18">
        <v>56000.01</v>
      </c>
      <c r="E306" s="19"/>
      <c r="F306" s="15">
        <f t="shared" si="4"/>
        <v>-56000.01</v>
      </c>
    </row>
    <row r="307" spans="1:6" x14ac:dyDescent="0.2">
      <c r="A307" s="91">
        <v>45596</v>
      </c>
      <c r="B307" s="43">
        <v>31732</v>
      </c>
      <c r="C307" s="17" t="s">
        <v>9</v>
      </c>
      <c r="D307" s="18">
        <v>114270</v>
      </c>
      <c r="E307" s="19"/>
      <c r="F307" s="15">
        <f t="shared" si="4"/>
        <v>-114270</v>
      </c>
    </row>
    <row r="308" spans="1:6" x14ac:dyDescent="0.2">
      <c r="A308" s="91">
        <v>45596</v>
      </c>
      <c r="B308" s="43">
        <v>31626</v>
      </c>
      <c r="C308" s="17" t="s">
        <v>9</v>
      </c>
      <c r="D308" s="18">
        <v>211992</v>
      </c>
      <c r="E308" s="19"/>
      <c r="F308" s="15">
        <f t="shared" si="4"/>
        <v>-211992</v>
      </c>
    </row>
    <row r="309" spans="1:6" x14ac:dyDescent="0.2">
      <c r="A309" s="91">
        <v>45596</v>
      </c>
      <c r="B309" s="43">
        <v>31739</v>
      </c>
      <c r="C309" s="17" t="s">
        <v>9</v>
      </c>
      <c r="D309" s="18">
        <v>214665.18</v>
      </c>
      <c r="E309" s="19"/>
      <c r="F309" s="15">
        <f t="shared" si="4"/>
        <v>-214665.18</v>
      </c>
    </row>
    <row r="310" spans="1:6" x14ac:dyDescent="0.2">
      <c r="A310" s="91">
        <v>45596</v>
      </c>
      <c r="B310" s="43">
        <v>31741</v>
      </c>
      <c r="C310" s="17" t="s">
        <v>9</v>
      </c>
      <c r="D310" s="18">
        <v>256520</v>
      </c>
      <c r="E310" s="19"/>
      <c r="F310" s="15">
        <f t="shared" si="4"/>
        <v>-256520</v>
      </c>
    </row>
    <row r="311" spans="1:6" x14ac:dyDescent="0.2">
      <c r="A311" s="91">
        <v>45596</v>
      </c>
      <c r="B311" s="43">
        <v>31745</v>
      </c>
      <c r="C311" s="17" t="s">
        <v>9</v>
      </c>
      <c r="D311" s="18">
        <v>260954.31</v>
      </c>
      <c r="E311" s="19"/>
      <c r="F311" s="15">
        <f t="shared" si="4"/>
        <v>-260954.31</v>
      </c>
    </row>
    <row r="312" spans="1:6" x14ac:dyDescent="0.2">
      <c r="A312" s="91">
        <v>45596</v>
      </c>
      <c r="B312" s="43">
        <v>31624</v>
      </c>
      <c r="C312" s="17" t="s">
        <v>9</v>
      </c>
      <c r="D312" s="18">
        <v>367677</v>
      </c>
      <c r="E312" s="19"/>
      <c r="F312" s="15">
        <f t="shared" si="4"/>
        <v>-367677</v>
      </c>
    </row>
    <row r="313" spans="1:6" x14ac:dyDescent="0.2">
      <c r="A313" s="91">
        <v>45596</v>
      </c>
      <c r="B313" s="43">
        <v>31641</v>
      </c>
      <c r="C313" s="17" t="s">
        <v>9</v>
      </c>
      <c r="D313" s="18">
        <v>399391.12</v>
      </c>
      <c r="E313" s="19"/>
      <c r="F313" s="15">
        <f t="shared" si="4"/>
        <v>-399391.12</v>
      </c>
    </row>
    <row r="314" spans="1:6" x14ac:dyDescent="0.2">
      <c r="A314" s="91">
        <v>45596</v>
      </c>
      <c r="B314" s="43">
        <v>31721</v>
      </c>
      <c r="C314" s="17" t="s">
        <v>9</v>
      </c>
      <c r="D314" s="18">
        <v>658361</v>
      </c>
      <c r="E314" s="19"/>
      <c r="F314" s="15">
        <f t="shared" si="4"/>
        <v>-658361</v>
      </c>
    </row>
    <row r="315" spans="1:6" x14ac:dyDescent="0.2">
      <c r="A315" s="91">
        <v>45596</v>
      </c>
      <c r="B315" s="43">
        <v>31617</v>
      </c>
      <c r="C315" s="17" t="s">
        <v>9</v>
      </c>
      <c r="D315" s="18">
        <v>994018.34</v>
      </c>
      <c r="E315" s="19"/>
      <c r="F315" s="15">
        <f t="shared" si="4"/>
        <v>-994018.34</v>
      </c>
    </row>
    <row r="316" spans="1:6" x14ac:dyDescent="0.2">
      <c r="A316" s="91">
        <v>45596</v>
      </c>
      <c r="B316" s="44">
        <v>31636</v>
      </c>
      <c r="C316" s="22" t="s">
        <v>9</v>
      </c>
      <c r="D316" s="23">
        <v>1577276.34</v>
      </c>
      <c r="E316" s="24"/>
      <c r="F316" s="15">
        <f t="shared" si="4"/>
        <v>-1577276.34</v>
      </c>
    </row>
    <row r="317" spans="1:6" x14ac:dyDescent="0.2">
      <c r="A317" s="91">
        <v>45596</v>
      </c>
      <c r="B317" s="43">
        <v>31711</v>
      </c>
      <c r="C317" s="17" t="s">
        <v>9</v>
      </c>
      <c r="D317" s="18">
        <v>2383156.0499999998</v>
      </c>
      <c r="E317" s="19"/>
      <c r="F317" s="15">
        <f t="shared" si="4"/>
        <v>-2383156.0499999998</v>
      </c>
    </row>
    <row r="318" spans="1:6" x14ac:dyDescent="0.2">
      <c r="A318" s="91">
        <v>45596</v>
      </c>
      <c r="B318" s="43">
        <v>31784</v>
      </c>
      <c r="C318" s="17" t="s">
        <v>9</v>
      </c>
      <c r="D318" s="25">
        <v>3723663.4</v>
      </c>
      <c r="E318" s="19"/>
      <c r="F318" s="15">
        <f t="shared" si="4"/>
        <v>-3723663.4</v>
      </c>
    </row>
    <row r="319" spans="1:6" x14ac:dyDescent="0.2">
      <c r="A319" s="91">
        <v>45596</v>
      </c>
      <c r="B319" s="43">
        <v>31713</v>
      </c>
      <c r="C319" s="17" t="s">
        <v>9</v>
      </c>
      <c r="D319" s="25">
        <v>7414189.5599999996</v>
      </c>
      <c r="E319" s="19"/>
      <c r="F319" s="15">
        <f t="shared" si="4"/>
        <v>-7414189.5599999996</v>
      </c>
    </row>
    <row r="320" spans="1:6" x14ac:dyDescent="0.2">
      <c r="A320" s="91">
        <v>45596</v>
      </c>
      <c r="B320" s="43">
        <v>31600</v>
      </c>
      <c r="C320" s="17" t="s">
        <v>9</v>
      </c>
      <c r="D320" s="25">
        <v>8019968.4800000004</v>
      </c>
      <c r="E320" s="19"/>
      <c r="F320" s="15">
        <f t="shared" si="4"/>
        <v>-8019968.4800000004</v>
      </c>
    </row>
    <row r="321" spans="1:6" x14ac:dyDescent="0.2">
      <c r="A321" s="91">
        <v>45597</v>
      </c>
      <c r="B321" s="43">
        <v>31685</v>
      </c>
      <c r="C321" s="17" t="s">
        <v>9</v>
      </c>
      <c r="D321" s="18">
        <v>225517.38</v>
      </c>
      <c r="E321" s="19"/>
      <c r="F321" s="15">
        <f t="shared" si="4"/>
        <v>-225517.38</v>
      </c>
    </row>
    <row r="322" spans="1:6" x14ac:dyDescent="0.2">
      <c r="A322" s="91">
        <v>45600</v>
      </c>
      <c r="B322" s="43">
        <v>31680</v>
      </c>
      <c r="C322" s="17" t="s">
        <v>9</v>
      </c>
      <c r="D322" s="18">
        <v>201007.84</v>
      </c>
      <c r="E322" s="19"/>
      <c r="F322" s="15">
        <f t="shared" si="4"/>
        <v>-201007.84</v>
      </c>
    </row>
    <row r="323" spans="1:6" x14ac:dyDescent="0.2">
      <c r="A323" s="91">
        <v>45600</v>
      </c>
      <c r="B323" s="43">
        <v>31738</v>
      </c>
      <c r="C323" s="17" t="s">
        <v>9</v>
      </c>
      <c r="D323" s="18">
        <v>337680</v>
      </c>
      <c r="E323" s="19"/>
      <c r="F323" s="15">
        <f t="shared" ref="F323:F386" si="5">+E323-D323</f>
        <v>-337680</v>
      </c>
    </row>
    <row r="324" spans="1:6" x14ac:dyDescent="0.2">
      <c r="A324" s="91">
        <v>45600</v>
      </c>
      <c r="B324" s="43">
        <v>31792</v>
      </c>
      <c r="C324" s="17" t="s">
        <v>9</v>
      </c>
      <c r="D324" s="18">
        <v>5537166.0199999996</v>
      </c>
      <c r="E324" s="19"/>
      <c r="F324" s="15">
        <f t="shared" si="5"/>
        <v>-5537166.0199999996</v>
      </c>
    </row>
    <row r="325" spans="1:6" x14ac:dyDescent="0.2">
      <c r="A325" s="91">
        <v>45603</v>
      </c>
      <c r="B325" s="43">
        <v>31794</v>
      </c>
      <c r="C325" s="17" t="s">
        <v>9</v>
      </c>
      <c r="D325" s="18">
        <v>99716.06</v>
      </c>
      <c r="E325" s="19"/>
      <c r="F325" s="15">
        <f t="shared" si="5"/>
        <v>-99716.06</v>
      </c>
    </row>
    <row r="326" spans="1:6" x14ac:dyDescent="0.2">
      <c r="A326" s="91">
        <v>45603</v>
      </c>
      <c r="B326" s="43">
        <v>31679</v>
      </c>
      <c r="C326" s="17" t="s">
        <v>9</v>
      </c>
      <c r="D326" s="18">
        <v>480321.49</v>
      </c>
      <c r="E326" s="19"/>
      <c r="F326" s="15">
        <f t="shared" si="5"/>
        <v>-480321.49</v>
      </c>
    </row>
    <row r="327" spans="1:6" x14ac:dyDescent="0.2">
      <c r="A327" s="91">
        <v>45603</v>
      </c>
      <c r="B327" s="66">
        <v>31744</v>
      </c>
      <c r="C327" s="33" t="s">
        <v>9</v>
      </c>
      <c r="D327" s="64">
        <v>962749.17</v>
      </c>
      <c r="E327" s="35"/>
      <c r="F327" s="15">
        <f t="shared" si="5"/>
        <v>-962749.17</v>
      </c>
    </row>
    <row r="328" spans="1:6" x14ac:dyDescent="0.2">
      <c r="A328" s="92">
        <v>45603</v>
      </c>
      <c r="B328" s="70">
        <v>31765</v>
      </c>
      <c r="C328" s="47" t="s">
        <v>9</v>
      </c>
      <c r="D328" s="63">
        <v>2411213</v>
      </c>
      <c r="E328" s="49"/>
      <c r="F328" s="15">
        <f t="shared" si="5"/>
        <v>-2411213</v>
      </c>
    </row>
    <row r="329" spans="1:6" x14ac:dyDescent="0.2">
      <c r="A329" s="92">
        <v>45604</v>
      </c>
      <c r="B329" s="70">
        <v>31731</v>
      </c>
      <c r="C329" s="47" t="s">
        <v>9</v>
      </c>
      <c r="D329" s="63">
        <v>295904.09999999998</v>
      </c>
      <c r="E329" s="49"/>
      <c r="F329" s="15">
        <f t="shared" si="5"/>
        <v>-295904.09999999998</v>
      </c>
    </row>
    <row r="330" spans="1:6" x14ac:dyDescent="0.2">
      <c r="A330" s="92">
        <v>45607</v>
      </c>
      <c r="B330" s="70">
        <v>31764</v>
      </c>
      <c r="C330" s="47" t="s">
        <v>9</v>
      </c>
      <c r="D330" s="63">
        <v>257162.46</v>
      </c>
      <c r="E330" s="49"/>
      <c r="F330" s="15">
        <f t="shared" si="5"/>
        <v>-257162.46</v>
      </c>
    </row>
    <row r="331" spans="1:6" x14ac:dyDescent="0.2">
      <c r="A331" s="91">
        <v>45607</v>
      </c>
      <c r="B331" s="72">
        <v>31549</v>
      </c>
      <c r="C331" s="5" t="s">
        <v>9</v>
      </c>
      <c r="D331" s="8">
        <v>6382094.5999999996</v>
      </c>
      <c r="E331" s="7"/>
      <c r="F331" s="15">
        <f t="shared" si="5"/>
        <v>-6382094.5999999996</v>
      </c>
    </row>
    <row r="332" spans="1:6" x14ac:dyDescent="0.2">
      <c r="A332" s="91">
        <v>45608</v>
      </c>
      <c r="B332" s="60">
        <v>31743</v>
      </c>
      <c r="C332" s="61" t="s">
        <v>9</v>
      </c>
      <c r="D332" s="13">
        <v>106622.51</v>
      </c>
      <c r="E332" s="14"/>
      <c r="F332" s="15">
        <f t="shared" si="5"/>
        <v>-106622.51</v>
      </c>
    </row>
    <row r="333" spans="1:6" x14ac:dyDescent="0.2">
      <c r="A333" s="91">
        <v>45609</v>
      </c>
      <c r="B333" s="43">
        <v>31755</v>
      </c>
      <c r="C333" s="17" t="s">
        <v>9</v>
      </c>
      <c r="D333" s="18">
        <v>135184.89000000001</v>
      </c>
      <c r="E333" s="19"/>
      <c r="F333" s="15">
        <f t="shared" si="5"/>
        <v>-135184.89000000001</v>
      </c>
    </row>
    <row r="334" spans="1:6" x14ac:dyDescent="0.2">
      <c r="A334" s="91">
        <v>45617</v>
      </c>
      <c r="B334" s="43">
        <v>31787</v>
      </c>
      <c r="C334" s="17" t="s">
        <v>9</v>
      </c>
      <c r="D334" s="18">
        <v>965683.28</v>
      </c>
      <c r="E334" s="19"/>
      <c r="F334" s="15">
        <f t="shared" si="5"/>
        <v>-965683.28</v>
      </c>
    </row>
    <row r="335" spans="1:6" x14ac:dyDescent="0.2">
      <c r="A335" s="91">
        <v>45617</v>
      </c>
      <c r="B335" s="43">
        <v>31870</v>
      </c>
      <c r="C335" s="17" t="s">
        <v>9</v>
      </c>
      <c r="D335" s="18">
        <v>1000000</v>
      </c>
      <c r="E335" s="19"/>
      <c r="F335" s="15">
        <f t="shared" si="5"/>
        <v>-1000000</v>
      </c>
    </row>
    <row r="336" spans="1:6" x14ac:dyDescent="0.2">
      <c r="A336" s="91">
        <v>45617</v>
      </c>
      <c r="B336" s="43">
        <v>31872</v>
      </c>
      <c r="C336" s="17" t="s">
        <v>9</v>
      </c>
      <c r="D336" s="18">
        <v>1000000</v>
      </c>
      <c r="E336" s="19"/>
      <c r="F336" s="15">
        <f t="shared" si="5"/>
        <v>-1000000</v>
      </c>
    </row>
    <row r="337" spans="1:6" x14ac:dyDescent="0.2">
      <c r="A337" s="91">
        <v>45617</v>
      </c>
      <c r="B337" s="43">
        <v>31793</v>
      </c>
      <c r="C337" s="17" t="s">
        <v>9</v>
      </c>
      <c r="D337" s="18">
        <v>5537166.0199999996</v>
      </c>
      <c r="E337" s="19"/>
      <c r="F337" s="15">
        <f t="shared" si="5"/>
        <v>-5537166.0199999996</v>
      </c>
    </row>
    <row r="338" spans="1:6" x14ac:dyDescent="0.2">
      <c r="A338" s="91">
        <v>45622</v>
      </c>
      <c r="B338" s="43">
        <v>31798</v>
      </c>
      <c r="C338" s="17" t="s">
        <v>9</v>
      </c>
      <c r="D338" s="18">
        <v>579308.73</v>
      </c>
      <c r="E338" s="19"/>
      <c r="F338" s="15">
        <f t="shared" si="5"/>
        <v>-579308.73</v>
      </c>
    </row>
    <row r="339" spans="1:6" x14ac:dyDescent="0.2">
      <c r="A339" s="91">
        <v>45623</v>
      </c>
      <c r="B339" s="43">
        <v>31797</v>
      </c>
      <c r="C339" s="17" t="s">
        <v>9</v>
      </c>
      <c r="D339" s="18">
        <v>368450.38</v>
      </c>
      <c r="E339" s="19"/>
      <c r="F339" s="15">
        <f t="shared" si="5"/>
        <v>-368450.38</v>
      </c>
    </row>
    <row r="340" spans="1:6" x14ac:dyDescent="0.2">
      <c r="A340" s="91">
        <v>45625</v>
      </c>
      <c r="B340" s="43">
        <v>31772</v>
      </c>
      <c r="C340" s="17" t="s">
        <v>9</v>
      </c>
      <c r="D340" s="18">
        <v>144390</v>
      </c>
      <c r="E340" s="19"/>
      <c r="F340" s="15">
        <f t="shared" si="5"/>
        <v>-144390</v>
      </c>
    </row>
    <row r="341" spans="1:6" x14ac:dyDescent="0.2">
      <c r="A341" s="91">
        <v>45625</v>
      </c>
      <c r="B341" s="43">
        <v>31785</v>
      </c>
      <c r="C341" s="17" t="s">
        <v>9</v>
      </c>
      <c r="D341" s="18">
        <v>288449.42</v>
      </c>
      <c r="E341" s="19"/>
      <c r="F341" s="15">
        <f t="shared" si="5"/>
        <v>-288449.42</v>
      </c>
    </row>
    <row r="342" spans="1:6" x14ac:dyDescent="0.2">
      <c r="A342" s="91">
        <v>45625</v>
      </c>
      <c r="B342" s="43">
        <v>31665</v>
      </c>
      <c r="C342" s="17" t="s">
        <v>9</v>
      </c>
      <c r="D342" s="18">
        <v>461624.84</v>
      </c>
      <c r="E342" s="19"/>
      <c r="F342" s="15">
        <f t="shared" si="5"/>
        <v>-461624.84</v>
      </c>
    </row>
    <row r="343" spans="1:6" x14ac:dyDescent="0.2">
      <c r="A343" s="91">
        <v>45625</v>
      </c>
      <c r="B343" s="43">
        <v>31789</v>
      </c>
      <c r="C343" s="17" t="s">
        <v>9</v>
      </c>
      <c r="D343" s="18">
        <v>3771188.5</v>
      </c>
      <c r="E343" s="19"/>
      <c r="F343" s="15">
        <f t="shared" si="5"/>
        <v>-3771188.5</v>
      </c>
    </row>
    <row r="344" spans="1:6" x14ac:dyDescent="0.2">
      <c r="A344" s="91">
        <v>45625</v>
      </c>
      <c r="B344" s="43">
        <v>31662</v>
      </c>
      <c r="C344" s="17" t="s">
        <v>9</v>
      </c>
      <c r="D344" s="18">
        <v>7533956.9299999997</v>
      </c>
      <c r="E344" s="19"/>
      <c r="F344" s="15">
        <f t="shared" si="5"/>
        <v>-7533956.9299999997</v>
      </c>
    </row>
    <row r="345" spans="1:6" x14ac:dyDescent="0.2">
      <c r="A345" s="91">
        <v>45628</v>
      </c>
      <c r="B345" s="43">
        <v>31756</v>
      </c>
      <c r="C345" s="17" t="s">
        <v>9</v>
      </c>
      <c r="D345" s="18">
        <v>160000</v>
      </c>
      <c r="E345" s="19"/>
      <c r="F345" s="15">
        <f t="shared" si="5"/>
        <v>-160000</v>
      </c>
    </row>
    <row r="346" spans="1:6" x14ac:dyDescent="0.2">
      <c r="A346" s="91">
        <v>45628</v>
      </c>
      <c r="B346" s="43">
        <v>31822</v>
      </c>
      <c r="C346" s="17" t="s">
        <v>9</v>
      </c>
      <c r="D346" s="18">
        <v>278395.82</v>
      </c>
      <c r="E346" s="19"/>
      <c r="F346" s="15">
        <f t="shared" si="5"/>
        <v>-278395.82</v>
      </c>
    </row>
    <row r="347" spans="1:6" x14ac:dyDescent="0.2">
      <c r="A347" s="91">
        <v>45628</v>
      </c>
      <c r="B347" s="43">
        <v>31734</v>
      </c>
      <c r="C347" s="17" t="s">
        <v>9</v>
      </c>
      <c r="D347" s="18">
        <v>321600.76</v>
      </c>
      <c r="E347" s="19"/>
      <c r="F347" s="15">
        <f t="shared" si="5"/>
        <v>-321600.76</v>
      </c>
    </row>
    <row r="348" spans="1:6" x14ac:dyDescent="0.2">
      <c r="A348" s="91">
        <v>45628</v>
      </c>
      <c r="B348" s="43">
        <v>31730</v>
      </c>
      <c r="C348" s="17" t="s">
        <v>9</v>
      </c>
      <c r="D348" s="18">
        <v>386265.56</v>
      </c>
      <c r="E348" s="19"/>
      <c r="F348" s="15">
        <f t="shared" si="5"/>
        <v>-386265.56</v>
      </c>
    </row>
    <row r="349" spans="1:6" x14ac:dyDescent="0.2">
      <c r="A349" s="91">
        <v>45628</v>
      </c>
      <c r="B349" s="43">
        <v>31682</v>
      </c>
      <c r="C349" s="17" t="s">
        <v>9</v>
      </c>
      <c r="D349" s="18">
        <v>668071.47</v>
      </c>
      <c r="E349" s="19"/>
      <c r="F349" s="15">
        <f t="shared" si="5"/>
        <v>-668071.47</v>
      </c>
    </row>
    <row r="350" spans="1:6" x14ac:dyDescent="0.2">
      <c r="A350" s="91">
        <v>45628</v>
      </c>
      <c r="B350" s="43">
        <v>31723</v>
      </c>
      <c r="C350" s="17" t="s">
        <v>9</v>
      </c>
      <c r="D350" s="18">
        <v>703967.95</v>
      </c>
      <c r="E350" s="19"/>
      <c r="F350" s="15">
        <f t="shared" si="5"/>
        <v>-703967.95</v>
      </c>
    </row>
    <row r="351" spans="1:6" x14ac:dyDescent="0.2">
      <c r="A351" s="91">
        <v>45628</v>
      </c>
      <c r="B351" s="43">
        <v>31728</v>
      </c>
      <c r="C351" s="17" t="s">
        <v>9</v>
      </c>
      <c r="D351" s="18">
        <v>718848.65</v>
      </c>
      <c r="E351" s="19"/>
      <c r="F351" s="15">
        <f t="shared" si="5"/>
        <v>-718848.65</v>
      </c>
    </row>
    <row r="352" spans="1:6" x14ac:dyDescent="0.2">
      <c r="A352" s="91">
        <v>45628</v>
      </c>
      <c r="B352" s="44">
        <v>31770</v>
      </c>
      <c r="C352" s="22" t="s">
        <v>9</v>
      </c>
      <c r="D352" s="23">
        <v>803800</v>
      </c>
      <c r="E352" s="24"/>
      <c r="F352" s="15">
        <f t="shared" si="5"/>
        <v>-803800</v>
      </c>
    </row>
    <row r="353" spans="1:6" x14ac:dyDescent="0.2">
      <c r="A353" s="91">
        <v>45628</v>
      </c>
      <c r="B353" s="43">
        <v>31725</v>
      </c>
      <c r="C353" s="17" t="s">
        <v>9</v>
      </c>
      <c r="D353" s="18">
        <v>943295.67</v>
      </c>
      <c r="E353" s="19"/>
      <c r="F353" s="15">
        <f t="shared" si="5"/>
        <v>-943295.67</v>
      </c>
    </row>
    <row r="354" spans="1:6" x14ac:dyDescent="0.2">
      <c r="A354" s="91">
        <v>45628</v>
      </c>
      <c r="B354" s="43">
        <v>31664</v>
      </c>
      <c r="C354" s="17" t="s">
        <v>9</v>
      </c>
      <c r="D354" s="18">
        <v>1654584.4</v>
      </c>
      <c r="E354" s="19"/>
      <c r="F354" s="15">
        <f t="shared" si="5"/>
        <v>-1654584.4</v>
      </c>
    </row>
    <row r="355" spans="1:6" x14ac:dyDescent="0.2">
      <c r="A355" s="91">
        <v>45628</v>
      </c>
      <c r="B355" s="43">
        <v>31722</v>
      </c>
      <c r="C355" s="17" t="s">
        <v>9</v>
      </c>
      <c r="D355" s="18">
        <v>1828628.22</v>
      </c>
      <c r="E355" s="19"/>
      <c r="F355" s="15">
        <f t="shared" si="5"/>
        <v>-1828628.22</v>
      </c>
    </row>
    <row r="356" spans="1:6" x14ac:dyDescent="0.2">
      <c r="A356" s="91">
        <v>45628</v>
      </c>
      <c r="B356" s="43">
        <v>31766</v>
      </c>
      <c r="C356" s="17" t="s">
        <v>9</v>
      </c>
      <c r="D356" s="18">
        <v>2411213.7000000002</v>
      </c>
      <c r="E356" s="19"/>
      <c r="F356" s="15">
        <f t="shared" si="5"/>
        <v>-2411213.7000000002</v>
      </c>
    </row>
    <row r="357" spans="1:6" x14ac:dyDescent="0.2">
      <c r="A357" s="91">
        <v>45628</v>
      </c>
      <c r="B357" s="43">
        <v>31720</v>
      </c>
      <c r="C357" s="17" t="s">
        <v>9</v>
      </c>
      <c r="D357" s="18">
        <v>2516824.66</v>
      </c>
      <c r="E357" s="19"/>
      <c r="F357" s="15">
        <f t="shared" si="5"/>
        <v>-2516824.66</v>
      </c>
    </row>
    <row r="358" spans="1:6" x14ac:dyDescent="0.2">
      <c r="A358" s="91">
        <v>45628</v>
      </c>
      <c r="B358" s="43">
        <v>31876</v>
      </c>
      <c r="C358" s="17" t="s">
        <v>9</v>
      </c>
      <c r="D358" s="18">
        <v>3723663.4</v>
      </c>
      <c r="E358" s="19"/>
      <c r="F358" s="15">
        <f t="shared" si="5"/>
        <v>-3723663.4</v>
      </c>
    </row>
    <row r="359" spans="1:6" x14ac:dyDescent="0.2">
      <c r="A359" s="91">
        <v>45628</v>
      </c>
      <c r="B359" s="43">
        <v>31714</v>
      </c>
      <c r="C359" s="17" t="s">
        <v>9</v>
      </c>
      <c r="D359" s="18">
        <v>3928168.72</v>
      </c>
      <c r="E359" s="19"/>
      <c r="F359" s="15">
        <f t="shared" si="5"/>
        <v>-3928168.72</v>
      </c>
    </row>
    <row r="360" spans="1:6" x14ac:dyDescent="0.2">
      <c r="A360" s="91">
        <v>45629</v>
      </c>
      <c r="B360" s="43">
        <v>31663</v>
      </c>
      <c r="C360" s="17" t="s">
        <v>9</v>
      </c>
      <c r="D360" s="18">
        <v>729753.9</v>
      </c>
      <c r="E360" s="19"/>
      <c r="F360" s="15">
        <f t="shared" si="5"/>
        <v>-729753.9</v>
      </c>
    </row>
    <row r="361" spans="1:6" x14ac:dyDescent="0.2">
      <c r="A361" s="91">
        <v>45629</v>
      </c>
      <c r="B361" s="43">
        <v>31729</v>
      </c>
      <c r="C361" s="17" t="s">
        <v>9</v>
      </c>
      <c r="D361" s="18">
        <v>1536719.8</v>
      </c>
      <c r="E361" s="19"/>
      <c r="F361" s="15">
        <f t="shared" si="5"/>
        <v>-1536719.8</v>
      </c>
    </row>
    <row r="362" spans="1:6" x14ac:dyDescent="0.2">
      <c r="A362" s="91">
        <v>45629</v>
      </c>
      <c r="B362" s="43">
        <v>31601</v>
      </c>
      <c r="C362" s="17" t="s">
        <v>9</v>
      </c>
      <c r="D362" s="18">
        <v>2159093.9700000002</v>
      </c>
      <c r="E362" s="19"/>
      <c r="F362" s="15">
        <f t="shared" si="5"/>
        <v>-2159093.9700000002</v>
      </c>
    </row>
    <row r="363" spans="1:6" x14ac:dyDescent="0.2">
      <c r="A363" s="91">
        <v>45629</v>
      </c>
      <c r="B363" s="43">
        <v>31852</v>
      </c>
      <c r="C363" s="17" t="s">
        <v>9</v>
      </c>
      <c r="D363" s="18">
        <v>2625697</v>
      </c>
      <c r="E363" s="19"/>
      <c r="F363" s="15">
        <f t="shared" si="5"/>
        <v>-2625697</v>
      </c>
    </row>
    <row r="364" spans="1:6" x14ac:dyDescent="0.2">
      <c r="A364" s="91">
        <v>45629</v>
      </c>
      <c r="B364" s="43">
        <v>31882</v>
      </c>
      <c r="C364" s="17" t="s">
        <v>9</v>
      </c>
      <c r="D364" s="18">
        <v>5758625</v>
      </c>
      <c r="E364" s="19"/>
      <c r="F364" s="15">
        <f t="shared" si="5"/>
        <v>-5758625</v>
      </c>
    </row>
    <row r="365" spans="1:6" x14ac:dyDescent="0.2">
      <c r="A365" s="91">
        <v>45630</v>
      </c>
      <c r="B365" s="43">
        <v>31786</v>
      </c>
      <c r="C365" s="17" t="s">
        <v>9</v>
      </c>
      <c r="D365" s="18">
        <v>503940.48</v>
      </c>
      <c r="E365" s="19"/>
      <c r="F365" s="15">
        <f t="shared" si="5"/>
        <v>-503940.48</v>
      </c>
    </row>
    <row r="366" spans="1:6" x14ac:dyDescent="0.2">
      <c r="A366" s="91">
        <v>45631</v>
      </c>
      <c r="B366" s="43">
        <v>31819</v>
      </c>
      <c r="C366" s="17" t="s">
        <v>9</v>
      </c>
      <c r="D366" s="18">
        <v>246797.6</v>
      </c>
      <c r="E366" s="19"/>
      <c r="F366" s="15">
        <f t="shared" si="5"/>
        <v>-246797.6</v>
      </c>
    </row>
    <row r="367" spans="1:6" x14ac:dyDescent="0.2">
      <c r="A367" s="91">
        <v>45631</v>
      </c>
      <c r="B367" s="43">
        <v>31727</v>
      </c>
      <c r="C367" s="17" t="s">
        <v>9</v>
      </c>
      <c r="D367" s="18">
        <v>2613233.23</v>
      </c>
      <c r="E367" s="19"/>
      <c r="F367" s="15">
        <f t="shared" si="5"/>
        <v>-2613233.23</v>
      </c>
    </row>
    <row r="368" spans="1:6" x14ac:dyDescent="0.2">
      <c r="A368" s="91">
        <v>45636</v>
      </c>
      <c r="B368" s="43">
        <v>31823</v>
      </c>
      <c r="C368" s="17" t="s">
        <v>9</v>
      </c>
      <c r="D368" s="18">
        <v>332139.12</v>
      </c>
      <c r="E368" s="19"/>
      <c r="F368" s="15">
        <f t="shared" si="5"/>
        <v>-332139.12</v>
      </c>
    </row>
    <row r="369" spans="1:6" x14ac:dyDescent="0.2">
      <c r="A369" s="91">
        <v>45637</v>
      </c>
      <c r="B369" s="43">
        <v>31936</v>
      </c>
      <c r="C369" s="17" t="s">
        <v>9</v>
      </c>
      <c r="D369" s="18">
        <v>187500</v>
      </c>
      <c r="E369" s="19"/>
      <c r="F369" s="15">
        <f t="shared" si="5"/>
        <v>-187500</v>
      </c>
    </row>
    <row r="370" spans="1:6" x14ac:dyDescent="0.2">
      <c r="A370" s="91">
        <v>45646</v>
      </c>
      <c r="B370" s="43">
        <v>31894</v>
      </c>
      <c r="C370" s="17" t="s">
        <v>9</v>
      </c>
      <c r="D370" s="18">
        <v>64966.84</v>
      </c>
      <c r="E370" s="19"/>
      <c r="F370" s="15">
        <f t="shared" si="5"/>
        <v>-64966.84</v>
      </c>
    </row>
    <row r="371" spans="1:6" x14ac:dyDescent="0.2">
      <c r="A371" s="91">
        <v>45649</v>
      </c>
      <c r="B371" s="43">
        <v>31827</v>
      </c>
      <c r="C371" s="17" t="s">
        <v>9</v>
      </c>
      <c r="D371" s="18">
        <v>104864.5</v>
      </c>
      <c r="E371" s="19"/>
      <c r="F371" s="15">
        <f t="shared" si="5"/>
        <v>-104864.5</v>
      </c>
    </row>
    <row r="372" spans="1:6" x14ac:dyDescent="0.2">
      <c r="A372" s="91">
        <v>45649</v>
      </c>
      <c r="B372" s="43">
        <v>31915</v>
      </c>
      <c r="C372" s="17" t="s">
        <v>9</v>
      </c>
      <c r="D372" s="18">
        <v>253551.52</v>
      </c>
      <c r="E372" s="19"/>
      <c r="F372" s="15">
        <f t="shared" si="5"/>
        <v>-253551.52</v>
      </c>
    </row>
    <row r="373" spans="1:6" x14ac:dyDescent="0.2">
      <c r="A373" s="91">
        <v>45649</v>
      </c>
      <c r="B373" s="43">
        <v>31795</v>
      </c>
      <c r="C373" s="17" t="s">
        <v>9</v>
      </c>
      <c r="D373" s="18">
        <v>517526.75</v>
      </c>
      <c r="E373" s="19"/>
      <c r="F373" s="15">
        <f t="shared" si="5"/>
        <v>-517526.75</v>
      </c>
    </row>
    <row r="374" spans="1:6" x14ac:dyDescent="0.2">
      <c r="A374" s="91">
        <v>45649</v>
      </c>
      <c r="B374" s="43">
        <v>31873</v>
      </c>
      <c r="C374" s="17" t="s">
        <v>9</v>
      </c>
      <c r="D374" s="18">
        <v>953000</v>
      </c>
      <c r="E374" s="19"/>
      <c r="F374" s="15">
        <f t="shared" si="5"/>
        <v>-953000</v>
      </c>
    </row>
    <row r="375" spans="1:6" x14ac:dyDescent="0.2">
      <c r="A375" s="91">
        <v>45649</v>
      </c>
      <c r="B375" s="43">
        <v>31796</v>
      </c>
      <c r="C375" s="17" t="s">
        <v>9</v>
      </c>
      <c r="D375" s="18">
        <v>996140.97</v>
      </c>
      <c r="E375" s="19"/>
      <c r="F375" s="15">
        <f t="shared" si="5"/>
        <v>-996140.97</v>
      </c>
    </row>
    <row r="376" spans="1:6" x14ac:dyDescent="0.2">
      <c r="A376" s="91">
        <v>45652</v>
      </c>
      <c r="B376" s="43">
        <v>31854</v>
      </c>
      <c r="C376" s="17" t="s">
        <v>9</v>
      </c>
      <c r="D376" s="18">
        <v>114270</v>
      </c>
      <c r="E376" s="19"/>
      <c r="F376" s="15">
        <f t="shared" si="5"/>
        <v>-114270</v>
      </c>
    </row>
    <row r="377" spans="1:6" x14ac:dyDescent="0.2">
      <c r="A377" s="91">
        <v>45652</v>
      </c>
      <c r="B377" s="43">
        <v>31788</v>
      </c>
      <c r="C377" s="17" t="s">
        <v>9</v>
      </c>
      <c r="D377" s="18">
        <v>298418.93</v>
      </c>
      <c r="E377" s="19"/>
      <c r="F377" s="15">
        <f t="shared" si="5"/>
        <v>-298418.93</v>
      </c>
    </row>
    <row r="378" spans="1:6" x14ac:dyDescent="0.2">
      <c r="A378" s="91">
        <v>45652</v>
      </c>
      <c r="B378" s="43">
        <v>31871</v>
      </c>
      <c r="C378" s="17" t="s">
        <v>9</v>
      </c>
      <c r="D378" s="18">
        <v>713000</v>
      </c>
      <c r="E378" s="19"/>
      <c r="F378" s="15">
        <f t="shared" si="5"/>
        <v>-713000</v>
      </c>
    </row>
    <row r="379" spans="1:6" x14ac:dyDescent="0.2">
      <c r="A379" s="91">
        <v>45652</v>
      </c>
      <c r="B379" s="43">
        <v>31737</v>
      </c>
      <c r="C379" s="17" t="s">
        <v>9</v>
      </c>
      <c r="D379" s="18">
        <v>2180002.75</v>
      </c>
      <c r="E379" s="19"/>
      <c r="F379" s="15">
        <f t="shared" si="5"/>
        <v>-2180002.75</v>
      </c>
    </row>
    <row r="380" spans="1:6" x14ac:dyDescent="0.2">
      <c r="A380" s="91">
        <v>45653</v>
      </c>
      <c r="B380" s="43">
        <v>31944</v>
      </c>
      <c r="C380" s="17" t="s">
        <v>9</v>
      </c>
      <c r="D380" s="18">
        <v>200000</v>
      </c>
      <c r="E380" s="19"/>
      <c r="F380" s="15">
        <f t="shared" si="5"/>
        <v>-200000</v>
      </c>
    </row>
    <row r="381" spans="1:6" x14ac:dyDescent="0.2">
      <c r="A381" s="91">
        <v>45653</v>
      </c>
      <c r="B381" s="43">
        <v>31868</v>
      </c>
      <c r="C381" s="17" t="s">
        <v>9</v>
      </c>
      <c r="D381" s="18">
        <v>1547153.4</v>
      </c>
      <c r="E381" s="19"/>
      <c r="F381" s="15">
        <f t="shared" si="5"/>
        <v>-1547153.4</v>
      </c>
    </row>
    <row r="382" spans="1:6" x14ac:dyDescent="0.2">
      <c r="A382" s="91">
        <v>45656</v>
      </c>
      <c r="B382" s="43">
        <v>31865</v>
      </c>
      <c r="C382" s="17" t="s">
        <v>9</v>
      </c>
      <c r="D382" s="18">
        <v>117500.08</v>
      </c>
      <c r="E382" s="19"/>
      <c r="F382" s="15">
        <f t="shared" si="5"/>
        <v>-117500.08</v>
      </c>
    </row>
    <row r="383" spans="1:6" x14ac:dyDescent="0.2">
      <c r="A383" s="91">
        <v>45656</v>
      </c>
      <c r="B383" s="43">
        <v>31773</v>
      </c>
      <c r="C383" s="17" t="s">
        <v>9</v>
      </c>
      <c r="D383" s="18">
        <v>408768.25</v>
      </c>
      <c r="E383" s="19"/>
      <c r="F383" s="15">
        <f t="shared" si="5"/>
        <v>-408768.25</v>
      </c>
    </row>
    <row r="384" spans="1:6" x14ac:dyDescent="0.2">
      <c r="A384" s="91">
        <v>45656</v>
      </c>
      <c r="B384" s="43">
        <v>31941</v>
      </c>
      <c r="C384" s="17" t="s">
        <v>9</v>
      </c>
      <c r="D384" s="18">
        <v>561381.31999999995</v>
      </c>
      <c r="E384" s="19"/>
      <c r="F384" s="15">
        <f t="shared" si="5"/>
        <v>-561381.31999999995</v>
      </c>
    </row>
    <row r="385" spans="1:6" x14ac:dyDescent="0.2">
      <c r="A385" s="91">
        <v>45659</v>
      </c>
      <c r="B385" s="43">
        <v>31775</v>
      </c>
      <c r="C385" s="17" t="s">
        <v>9</v>
      </c>
      <c r="D385" s="18">
        <v>448350</v>
      </c>
      <c r="E385" s="19"/>
      <c r="F385" s="15">
        <f t="shared" si="5"/>
        <v>-448350</v>
      </c>
    </row>
    <row r="386" spans="1:6" x14ac:dyDescent="0.2">
      <c r="A386" s="91">
        <v>45659</v>
      </c>
      <c r="B386" s="43">
        <v>31602</v>
      </c>
      <c r="C386" s="17" t="s">
        <v>9</v>
      </c>
      <c r="D386" s="18">
        <v>1257839.25</v>
      </c>
      <c r="E386" s="19"/>
      <c r="F386" s="15">
        <f t="shared" si="5"/>
        <v>-1257839.25</v>
      </c>
    </row>
    <row r="387" spans="1:6" x14ac:dyDescent="0.2">
      <c r="A387" s="91">
        <v>45659</v>
      </c>
      <c r="B387" s="43">
        <v>31853</v>
      </c>
      <c r="C387" s="17" t="s">
        <v>9</v>
      </c>
      <c r="D387" s="18">
        <v>2625697.64</v>
      </c>
      <c r="E387" s="19"/>
      <c r="F387" s="15">
        <f t="shared" ref="F387:F450" si="6">+E387-D387</f>
        <v>-2625697.64</v>
      </c>
    </row>
    <row r="388" spans="1:6" x14ac:dyDescent="0.2">
      <c r="A388" s="91">
        <v>45659</v>
      </c>
      <c r="B388" s="43">
        <v>31877</v>
      </c>
      <c r="C388" s="17" t="s">
        <v>9</v>
      </c>
      <c r="D388" s="18">
        <v>3921665.8</v>
      </c>
      <c r="E388" s="19"/>
      <c r="F388" s="15">
        <f t="shared" si="6"/>
        <v>-3921665.8</v>
      </c>
    </row>
    <row r="389" spans="1:6" x14ac:dyDescent="0.2">
      <c r="A389" s="91">
        <v>45659</v>
      </c>
      <c r="B389" s="43">
        <v>31879</v>
      </c>
      <c r="C389" s="17" t="s">
        <v>9</v>
      </c>
      <c r="D389" s="18">
        <v>6269984</v>
      </c>
      <c r="E389" s="19"/>
      <c r="F389" s="15">
        <f t="shared" si="6"/>
        <v>-6269984</v>
      </c>
    </row>
    <row r="390" spans="1:6" x14ac:dyDescent="0.2">
      <c r="A390" s="91">
        <v>45660</v>
      </c>
      <c r="B390" s="43">
        <v>31761</v>
      </c>
      <c r="C390" s="17" t="s">
        <v>9</v>
      </c>
      <c r="D390" s="18">
        <v>110589.45</v>
      </c>
      <c r="E390" s="19"/>
      <c r="F390" s="15">
        <f t="shared" si="6"/>
        <v>-110589.45</v>
      </c>
    </row>
    <row r="391" spans="1:6" x14ac:dyDescent="0.2">
      <c r="A391" s="91">
        <v>45660</v>
      </c>
      <c r="B391" s="43">
        <v>31942</v>
      </c>
      <c r="C391" s="17" t="s">
        <v>9</v>
      </c>
      <c r="D391" s="18">
        <v>3455340.03</v>
      </c>
      <c r="E391" s="19"/>
      <c r="F391" s="15">
        <f t="shared" si="6"/>
        <v>-3455340.03</v>
      </c>
    </row>
    <row r="392" spans="1:6" x14ac:dyDescent="0.2">
      <c r="A392" s="91">
        <v>45660</v>
      </c>
      <c r="B392" s="46">
        <v>31883</v>
      </c>
      <c r="C392" s="47" t="s">
        <v>9</v>
      </c>
      <c r="D392" s="48">
        <v>5758625.8799999999</v>
      </c>
      <c r="E392" s="49"/>
      <c r="F392" s="15">
        <f t="shared" si="6"/>
        <v>-5758625.8799999999</v>
      </c>
    </row>
    <row r="393" spans="1:6" x14ac:dyDescent="0.2">
      <c r="A393" s="91">
        <v>45660</v>
      </c>
      <c r="B393" s="44">
        <v>31964</v>
      </c>
      <c r="C393" s="22" t="s">
        <v>9</v>
      </c>
      <c r="D393" s="23">
        <v>5969020.5</v>
      </c>
      <c r="E393" s="24"/>
      <c r="F393" s="15">
        <f t="shared" si="6"/>
        <v>-5969020.5</v>
      </c>
    </row>
    <row r="394" spans="1:6" x14ac:dyDescent="0.2">
      <c r="A394" s="91">
        <v>45663</v>
      </c>
      <c r="B394" s="43">
        <v>31843</v>
      </c>
      <c r="C394" s="17" t="s">
        <v>9</v>
      </c>
      <c r="D394" s="18">
        <v>311483.58</v>
      </c>
      <c r="E394" s="19"/>
      <c r="F394" s="15">
        <f t="shared" si="6"/>
        <v>-311483.58</v>
      </c>
    </row>
    <row r="395" spans="1:6" x14ac:dyDescent="0.2">
      <c r="A395" s="91">
        <v>45663</v>
      </c>
      <c r="B395" s="43">
        <v>31893</v>
      </c>
      <c r="C395" s="17" t="s">
        <v>9</v>
      </c>
      <c r="D395" s="18">
        <v>354571.96</v>
      </c>
      <c r="E395" s="19"/>
      <c r="F395" s="15">
        <f t="shared" si="6"/>
        <v>-354571.96</v>
      </c>
    </row>
    <row r="396" spans="1:6" x14ac:dyDescent="0.2">
      <c r="A396" s="91">
        <v>45663</v>
      </c>
      <c r="B396" s="43">
        <v>31769</v>
      </c>
      <c r="C396" s="17" t="s">
        <v>9</v>
      </c>
      <c r="D396" s="18">
        <v>6407380</v>
      </c>
      <c r="E396" s="19"/>
      <c r="F396" s="15">
        <f t="shared" si="6"/>
        <v>-6407380</v>
      </c>
    </row>
    <row r="397" spans="1:6" x14ac:dyDescent="0.2">
      <c r="A397" s="91">
        <v>45664</v>
      </c>
      <c r="B397" s="43">
        <v>31946</v>
      </c>
      <c r="C397" s="17" t="s">
        <v>9</v>
      </c>
      <c r="D397" s="18">
        <v>2676085</v>
      </c>
      <c r="E397" s="19"/>
      <c r="F397" s="15">
        <f t="shared" si="6"/>
        <v>-2676085</v>
      </c>
    </row>
    <row r="398" spans="1:6" x14ac:dyDescent="0.2">
      <c r="A398" s="91">
        <v>45665</v>
      </c>
      <c r="B398" s="43">
        <v>31918</v>
      </c>
      <c r="C398" s="17" t="s">
        <v>9</v>
      </c>
      <c r="D398" s="18">
        <v>133408.98000000001</v>
      </c>
      <c r="E398" s="19"/>
      <c r="F398" s="15">
        <f t="shared" si="6"/>
        <v>-133408.98000000001</v>
      </c>
    </row>
    <row r="399" spans="1:6" x14ac:dyDescent="0.2">
      <c r="A399" s="91">
        <v>45667</v>
      </c>
      <c r="B399" s="43">
        <v>32015</v>
      </c>
      <c r="C399" s="17" t="s">
        <v>9</v>
      </c>
      <c r="D399" s="18">
        <v>1000000</v>
      </c>
      <c r="E399" s="19"/>
      <c r="F399" s="15">
        <f t="shared" si="6"/>
        <v>-1000000</v>
      </c>
    </row>
    <row r="400" spans="1:6" x14ac:dyDescent="0.2">
      <c r="A400" s="91">
        <v>45670</v>
      </c>
      <c r="B400" s="43">
        <v>31855</v>
      </c>
      <c r="C400" s="17" t="s">
        <v>9</v>
      </c>
      <c r="D400" s="18">
        <v>225115.97</v>
      </c>
      <c r="E400" s="19"/>
      <c r="F400" s="15">
        <f t="shared" si="6"/>
        <v>-225115.97</v>
      </c>
    </row>
    <row r="401" spans="1:6" x14ac:dyDescent="0.2">
      <c r="A401" s="91">
        <v>45671</v>
      </c>
      <c r="B401" s="43">
        <v>31967</v>
      </c>
      <c r="C401" s="17" t="s">
        <v>9</v>
      </c>
      <c r="D401" s="18">
        <v>359703.49</v>
      </c>
      <c r="E401" s="19"/>
      <c r="F401" s="15">
        <f t="shared" si="6"/>
        <v>-359703.49</v>
      </c>
    </row>
    <row r="402" spans="1:6" x14ac:dyDescent="0.2">
      <c r="A402" s="91">
        <v>45678</v>
      </c>
      <c r="B402" s="43">
        <v>31799</v>
      </c>
      <c r="C402" s="17" t="s">
        <v>9</v>
      </c>
      <c r="D402" s="18">
        <v>92622.1</v>
      </c>
      <c r="E402" s="19"/>
      <c r="F402" s="15">
        <f t="shared" si="6"/>
        <v>-92622.1</v>
      </c>
    </row>
    <row r="403" spans="1:6" x14ac:dyDescent="0.2">
      <c r="A403" s="91">
        <v>45678</v>
      </c>
      <c r="B403" s="43">
        <v>32013</v>
      </c>
      <c r="C403" s="17" t="s">
        <v>9</v>
      </c>
      <c r="D403" s="18">
        <v>1000000</v>
      </c>
      <c r="E403" s="19"/>
      <c r="F403" s="15">
        <f t="shared" si="6"/>
        <v>-1000000</v>
      </c>
    </row>
    <row r="404" spans="1:6" x14ac:dyDescent="0.2">
      <c r="A404" s="91">
        <v>45678</v>
      </c>
      <c r="B404" s="43">
        <v>32014</v>
      </c>
      <c r="C404" s="17" t="s">
        <v>9</v>
      </c>
      <c r="D404" s="18">
        <v>1174000</v>
      </c>
      <c r="E404" s="19"/>
      <c r="F404" s="15">
        <f t="shared" si="6"/>
        <v>-1174000</v>
      </c>
    </row>
    <row r="405" spans="1:6" x14ac:dyDescent="0.2">
      <c r="A405" s="91">
        <v>45680</v>
      </c>
      <c r="B405" s="43">
        <v>32016</v>
      </c>
      <c r="C405" s="17" t="s">
        <v>9</v>
      </c>
      <c r="D405" s="18">
        <v>1630000</v>
      </c>
      <c r="E405" s="19"/>
      <c r="F405" s="15">
        <f t="shared" si="6"/>
        <v>-1630000</v>
      </c>
    </row>
    <row r="406" spans="1:6" x14ac:dyDescent="0.2">
      <c r="A406" s="91">
        <v>45680</v>
      </c>
      <c r="B406" s="43">
        <v>31945</v>
      </c>
      <c r="C406" s="17" t="s">
        <v>9</v>
      </c>
      <c r="D406" s="18">
        <v>1952000</v>
      </c>
      <c r="E406" s="19"/>
      <c r="F406" s="15">
        <f t="shared" si="6"/>
        <v>-1952000</v>
      </c>
    </row>
    <row r="407" spans="1:6" x14ac:dyDescent="0.2">
      <c r="A407" s="91">
        <v>45680</v>
      </c>
      <c r="B407" s="43">
        <v>31943</v>
      </c>
      <c r="C407" s="17" t="s">
        <v>9</v>
      </c>
      <c r="D407" s="18">
        <v>2474000</v>
      </c>
      <c r="E407" s="19"/>
      <c r="F407" s="15">
        <f t="shared" si="6"/>
        <v>-2474000</v>
      </c>
    </row>
    <row r="408" spans="1:6" x14ac:dyDescent="0.2">
      <c r="A408" s="91">
        <v>45684</v>
      </c>
      <c r="B408" s="43">
        <v>32035</v>
      </c>
      <c r="C408" s="17" t="s">
        <v>9</v>
      </c>
      <c r="D408" s="18">
        <v>1124420</v>
      </c>
      <c r="E408" s="19"/>
      <c r="F408" s="15">
        <f t="shared" si="6"/>
        <v>-1124420</v>
      </c>
    </row>
    <row r="409" spans="1:6" x14ac:dyDescent="0.2">
      <c r="A409" s="91">
        <v>45685</v>
      </c>
      <c r="B409" s="43">
        <v>31935</v>
      </c>
      <c r="C409" s="17" t="s">
        <v>9</v>
      </c>
      <c r="D409" s="18">
        <v>60200</v>
      </c>
      <c r="E409" s="19"/>
      <c r="F409" s="15">
        <f t="shared" si="6"/>
        <v>-60200</v>
      </c>
    </row>
    <row r="410" spans="1:6" x14ac:dyDescent="0.2">
      <c r="A410" s="91">
        <v>45685</v>
      </c>
      <c r="B410" s="43">
        <v>31919</v>
      </c>
      <c r="C410" s="17" t="s">
        <v>9</v>
      </c>
      <c r="D410" s="18">
        <v>127000</v>
      </c>
      <c r="E410" s="19"/>
      <c r="F410" s="15">
        <f t="shared" si="6"/>
        <v>-127000</v>
      </c>
    </row>
    <row r="411" spans="1:6" x14ac:dyDescent="0.2">
      <c r="A411" s="91">
        <v>45685</v>
      </c>
      <c r="B411" s="43">
        <v>31856</v>
      </c>
      <c r="C411" s="17" t="s">
        <v>9</v>
      </c>
      <c r="D411" s="18">
        <v>298720</v>
      </c>
      <c r="E411" s="19"/>
      <c r="F411" s="15">
        <f t="shared" si="6"/>
        <v>-298720</v>
      </c>
    </row>
    <row r="412" spans="1:6" x14ac:dyDescent="0.2">
      <c r="A412" s="91">
        <v>45685</v>
      </c>
      <c r="B412" s="43">
        <v>31966</v>
      </c>
      <c r="C412" s="17" t="s">
        <v>9</v>
      </c>
      <c r="D412" s="18">
        <v>454763.64</v>
      </c>
      <c r="E412" s="19"/>
      <c r="F412" s="15">
        <f t="shared" si="6"/>
        <v>-454763.64</v>
      </c>
    </row>
    <row r="413" spans="1:6" x14ac:dyDescent="0.2">
      <c r="A413" s="91">
        <v>45685</v>
      </c>
      <c r="B413" s="43">
        <v>32065</v>
      </c>
      <c r="C413" s="17" t="s">
        <v>9</v>
      </c>
      <c r="D413" s="18">
        <v>2995291.2</v>
      </c>
      <c r="E413" s="19"/>
      <c r="F413" s="15">
        <f t="shared" si="6"/>
        <v>-2995291.2</v>
      </c>
    </row>
    <row r="414" spans="1:6" x14ac:dyDescent="0.2">
      <c r="A414" s="91">
        <v>45685</v>
      </c>
      <c r="B414" s="43">
        <v>31763</v>
      </c>
      <c r="C414" s="17" t="s">
        <v>9</v>
      </c>
      <c r="D414" s="18">
        <v>3081255.04</v>
      </c>
      <c r="E414" s="19"/>
      <c r="F414" s="15">
        <f t="shared" si="6"/>
        <v>-3081255.04</v>
      </c>
    </row>
    <row r="415" spans="1:6" x14ac:dyDescent="0.2">
      <c r="A415" s="91">
        <v>45685</v>
      </c>
      <c r="B415" s="43">
        <v>31880</v>
      </c>
      <c r="C415" s="17" t="s">
        <v>9</v>
      </c>
      <c r="D415" s="18">
        <v>6269984</v>
      </c>
      <c r="E415" s="19"/>
      <c r="F415" s="15">
        <f t="shared" si="6"/>
        <v>-6269984</v>
      </c>
    </row>
    <row r="416" spans="1:6" x14ac:dyDescent="0.2">
      <c r="A416" s="91">
        <v>45686</v>
      </c>
      <c r="B416" s="43">
        <v>31928</v>
      </c>
      <c r="C416" s="17" t="s">
        <v>9</v>
      </c>
      <c r="D416" s="18">
        <v>142320</v>
      </c>
      <c r="E416" s="19"/>
      <c r="F416" s="15">
        <f t="shared" si="6"/>
        <v>-142320</v>
      </c>
    </row>
    <row r="417" spans="1:6" x14ac:dyDescent="0.2">
      <c r="A417" s="91">
        <v>45686</v>
      </c>
      <c r="B417" s="43">
        <v>31930</v>
      </c>
      <c r="C417" s="17" t="s">
        <v>9</v>
      </c>
      <c r="D417" s="18">
        <v>170000</v>
      </c>
      <c r="E417" s="19"/>
      <c r="F417" s="15">
        <f t="shared" si="6"/>
        <v>-170000</v>
      </c>
    </row>
    <row r="418" spans="1:6" x14ac:dyDescent="0.2">
      <c r="A418" s="91">
        <v>45686</v>
      </c>
      <c r="B418" s="43">
        <v>31753</v>
      </c>
      <c r="C418" s="17" t="s">
        <v>9</v>
      </c>
      <c r="D418" s="18">
        <v>1251570.3899999999</v>
      </c>
      <c r="E418" s="19"/>
      <c r="F418" s="15">
        <f t="shared" si="6"/>
        <v>-1251570.3899999999</v>
      </c>
    </row>
    <row r="419" spans="1:6" x14ac:dyDescent="0.2">
      <c r="A419" s="91">
        <v>45686</v>
      </c>
      <c r="B419" s="43">
        <v>31961</v>
      </c>
      <c r="C419" s="17" t="s">
        <v>9</v>
      </c>
      <c r="D419" s="18">
        <v>2000000</v>
      </c>
      <c r="E419" s="19"/>
      <c r="F419" s="15">
        <f t="shared" si="6"/>
        <v>-2000000</v>
      </c>
    </row>
    <row r="420" spans="1:6" x14ac:dyDescent="0.2">
      <c r="A420" s="91">
        <v>45686</v>
      </c>
      <c r="B420" s="46">
        <v>31947</v>
      </c>
      <c r="C420" s="47" t="s">
        <v>9</v>
      </c>
      <c r="D420" s="48">
        <v>2676085</v>
      </c>
      <c r="E420" s="49"/>
      <c r="F420" s="15">
        <f t="shared" si="6"/>
        <v>-2676085</v>
      </c>
    </row>
    <row r="421" spans="1:6" x14ac:dyDescent="0.2">
      <c r="A421" s="91">
        <v>45686</v>
      </c>
      <c r="B421" s="44">
        <v>31754</v>
      </c>
      <c r="C421" s="22" t="s">
        <v>9</v>
      </c>
      <c r="D421" s="23">
        <v>6918624.3399999999</v>
      </c>
      <c r="E421" s="24"/>
      <c r="F421" s="15">
        <f t="shared" si="6"/>
        <v>-6918624.3399999999</v>
      </c>
    </row>
    <row r="422" spans="1:6" x14ac:dyDescent="0.2">
      <c r="A422" s="91">
        <v>45687</v>
      </c>
      <c r="B422" s="43">
        <v>31985</v>
      </c>
      <c r="C422" s="17" t="s">
        <v>9</v>
      </c>
      <c r="D422" s="18">
        <v>25500</v>
      </c>
      <c r="E422" s="19"/>
      <c r="F422" s="15">
        <f t="shared" si="6"/>
        <v>-25500</v>
      </c>
    </row>
    <row r="423" spans="1:6" x14ac:dyDescent="0.2">
      <c r="A423" s="91">
        <v>45687</v>
      </c>
      <c r="B423" s="43">
        <v>31815</v>
      </c>
      <c r="C423" s="17" t="s">
        <v>9</v>
      </c>
      <c r="D423" s="18">
        <v>28972.35</v>
      </c>
      <c r="E423" s="19"/>
      <c r="F423" s="15">
        <f t="shared" si="6"/>
        <v>-28972.35</v>
      </c>
    </row>
    <row r="424" spans="1:6" x14ac:dyDescent="0.2">
      <c r="A424" s="91">
        <v>45687</v>
      </c>
      <c r="B424" s="43">
        <v>31998</v>
      </c>
      <c r="C424" s="17" t="s">
        <v>9</v>
      </c>
      <c r="D424" s="18">
        <v>70499.98</v>
      </c>
      <c r="E424" s="19"/>
      <c r="F424" s="15">
        <f t="shared" si="6"/>
        <v>-70499.98</v>
      </c>
    </row>
    <row r="425" spans="1:6" x14ac:dyDescent="0.2">
      <c r="A425" s="91">
        <v>45687</v>
      </c>
      <c r="B425" s="43">
        <v>31836</v>
      </c>
      <c r="C425" s="17" t="s">
        <v>9</v>
      </c>
      <c r="D425" s="18">
        <v>210000</v>
      </c>
      <c r="E425" s="19"/>
      <c r="F425" s="15">
        <f t="shared" si="6"/>
        <v>-210000</v>
      </c>
    </row>
    <row r="426" spans="1:6" x14ac:dyDescent="0.2">
      <c r="A426" s="91">
        <v>45687</v>
      </c>
      <c r="B426" s="43">
        <v>31886</v>
      </c>
      <c r="C426" s="17" t="s">
        <v>9</v>
      </c>
      <c r="D426" s="18">
        <v>224729.19</v>
      </c>
      <c r="E426" s="19"/>
      <c r="F426" s="15">
        <f t="shared" si="6"/>
        <v>-224729.19</v>
      </c>
    </row>
    <row r="427" spans="1:6" x14ac:dyDescent="0.2">
      <c r="A427" s="91">
        <v>45687</v>
      </c>
      <c r="B427" s="43">
        <v>31917</v>
      </c>
      <c r="C427" s="17" t="s">
        <v>9</v>
      </c>
      <c r="D427" s="18">
        <v>325367.07</v>
      </c>
      <c r="E427" s="19"/>
      <c r="F427" s="15">
        <f t="shared" si="6"/>
        <v>-325367.07</v>
      </c>
    </row>
    <row r="428" spans="1:6" x14ac:dyDescent="0.2">
      <c r="A428" s="91">
        <v>45687</v>
      </c>
      <c r="B428" s="43">
        <v>31824</v>
      </c>
      <c r="C428" s="17" t="s">
        <v>9</v>
      </c>
      <c r="D428" s="18">
        <v>398500</v>
      </c>
      <c r="E428" s="19"/>
      <c r="F428" s="15">
        <f t="shared" si="6"/>
        <v>-398500</v>
      </c>
    </row>
    <row r="429" spans="1:6" x14ac:dyDescent="0.2">
      <c r="A429" s="91">
        <v>45687</v>
      </c>
      <c r="B429" s="43">
        <v>31848</v>
      </c>
      <c r="C429" s="17" t="s">
        <v>9</v>
      </c>
      <c r="D429" s="18">
        <v>626282.61</v>
      </c>
      <c r="E429" s="19"/>
      <c r="F429" s="15">
        <f t="shared" si="6"/>
        <v>-626282.61</v>
      </c>
    </row>
    <row r="430" spans="1:6" x14ac:dyDescent="0.2">
      <c r="A430" s="91">
        <v>45687</v>
      </c>
      <c r="B430" s="43">
        <v>31826</v>
      </c>
      <c r="C430" s="17" t="s">
        <v>9</v>
      </c>
      <c r="D430" s="18">
        <v>949408.98</v>
      </c>
      <c r="E430" s="19"/>
      <c r="F430" s="15">
        <f t="shared" si="6"/>
        <v>-949408.98</v>
      </c>
    </row>
    <row r="431" spans="1:6" x14ac:dyDescent="0.2">
      <c r="A431" s="91">
        <v>45687</v>
      </c>
      <c r="B431" s="43">
        <v>31757</v>
      </c>
      <c r="C431" s="17" t="s">
        <v>9</v>
      </c>
      <c r="D431" s="18">
        <v>1351813.4</v>
      </c>
      <c r="E431" s="19"/>
      <c r="F431" s="15">
        <f t="shared" si="6"/>
        <v>-1351813.4</v>
      </c>
    </row>
    <row r="432" spans="1:6" x14ac:dyDescent="0.2">
      <c r="A432" s="91">
        <v>45687</v>
      </c>
      <c r="B432" s="43">
        <v>31758</v>
      </c>
      <c r="C432" s="17" t="s">
        <v>9</v>
      </c>
      <c r="D432" s="18">
        <v>1685051.47</v>
      </c>
      <c r="E432" s="19"/>
      <c r="F432" s="15">
        <f t="shared" si="6"/>
        <v>-1685051.47</v>
      </c>
    </row>
    <row r="433" spans="1:6" x14ac:dyDescent="0.2">
      <c r="A433" s="91">
        <v>45687</v>
      </c>
      <c r="B433" s="43">
        <v>31774</v>
      </c>
      <c r="C433" s="17" t="s">
        <v>9</v>
      </c>
      <c r="D433" s="18">
        <v>4130243.15</v>
      </c>
      <c r="E433" s="19"/>
      <c r="F433" s="15">
        <f t="shared" si="6"/>
        <v>-4130243.15</v>
      </c>
    </row>
    <row r="434" spans="1:6" x14ac:dyDescent="0.2">
      <c r="A434" s="91">
        <v>45687</v>
      </c>
      <c r="B434" s="43">
        <v>31987</v>
      </c>
      <c r="C434" s="17" t="s">
        <v>9</v>
      </c>
      <c r="D434" s="18">
        <v>4183479.4</v>
      </c>
      <c r="E434" s="19"/>
      <c r="F434" s="15">
        <f t="shared" si="6"/>
        <v>-4183479.4</v>
      </c>
    </row>
    <row r="435" spans="1:6" x14ac:dyDescent="0.2">
      <c r="A435" s="91">
        <v>45687</v>
      </c>
      <c r="B435" s="43">
        <v>31762</v>
      </c>
      <c r="C435" s="17" t="s">
        <v>9</v>
      </c>
      <c r="D435" s="18">
        <v>11438000</v>
      </c>
      <c r="E435" s="19"/>
      <c r="F435" s="15">
        <f t="shared" si="6"/>
        <v>-11438000</v>
      </c>
    </row>
    <row r="436" spans="1:6" x14ac:dyDescent="0.2">
      <c r="A436" s="91">
        <v>45691</v>
      </c>
      <c r="B436" s="43">
        <v>31984</v>
      </c>
      <c r="C436" s="17" t="s">
        <v>9</v>
      </c>
      <c r="D436" s="18">
        <v>119836.85</v>
      </c>
      <c r="E436" s="19"/>
      <c r="F436" s="15">
        <f t="shared" si="6"/>
        <v>-119836.85</v>
      </c>
    </row>
    <row r="437" spans="1:6" x14ac:dyDescent="0.2">
      <c r="A437" s="91">
        <v>45691</v>
      </c>
      <c r="B437" s="43">
        <v>32047</v>
      </c>
      <c r="C437" s="17" t="s">
        <v>9</v>
      </c>
      <c r="D437" s="18">
        <v>119836.85</v>
      </c>
      <c r="E437" s="19"/>
      <c r="F437" s="15">
        <f t="shared" si="6"/>
        <v>-119836.85</v>
      </c>
    </row>
    <row r="438" spans="1:6" x14ac:dyDescent="0.2">
      <c r="A438" s="91">
        <v>45691</v>
      </c>
      <c r="B438" s="43">
        <v>31825</v>
      </c>
      <c r="C438" s="17" t="s">
        <v>9</v>
      </c>
      <c r="D438" s="18">
        <v>405969.51</v>
      </c>
      <c r="E438" s="19"/>
      <c r="F438" s="15">
        <f t="shared" si="6"/>
        <v>-405969.51</v>
      </c>
    </row>
    <row r="439" spans="1:6" x14ac:dyDescent="0.2">
      <c r="A439" s="91">
        <v>45691</v>
      </c>
      <c r="B439" s="43">
        <v>31991</v>
      </c>
      <c r="C439" s="17" t="s">
        <v>9</v>
      </c>
      <c r="D439" s="18">
        <v>3474922.22</v>
      </c>
      <c r="E439" s="19"/>
      <c r="F439" s="15">
        <f t="shared" si="6"/>
        <v>-3474922.22</v>
      </c>
    </row>
    <row r="440" spans="1:6" x14ac:dyDescent="0.2">
      <c r="A440" s="91">
        <v>45691</v>
      </c>
      <c r="B440" s="43">
        <v>31965</v>
      </c>
      <c r="C440" s="17" t="s">
        <v>9</v>
      </c>
      <c r="D440" s="18">
        <v>5969020.8200000003</v>
      </c>
      <c r="E440" s="19"/>
      <c r="F440" s="15">
        <f t="shared" si="6"/>
        <v>-5969020.8200000003</v>
      </c>
    </row>
    <row r="441" spans="1:6" x14ac:dyDescent="0.2">
      <c r="A441" s="91">
        <v>45691</v>
      </c>
      <c r="B441" s="43">
        <v>32021</v>
      </c>
      <c r="C441" s="17" t="s">
        <v>9</v>
      </c>
      <c r="D441" s="18">
        <v>6168363.4400000004</v>
      </c>
      <c r="E441" s="19"/>
      <c r="F441" s="15">
        <f t="shared" si="6"/>
        <v>-6168363.4400000004</v>
      </c>
    </row>
    <row r="442" spans="1:6" x14ac:dyDescent="0.2">
      <c r="A442" s="91">
        <v>45692</v>
      </c>
      <c r="B442" s="43">
        <v>31829</v>
      </c>
      <c r="C442" s="17" t="s">
        <v>9</v>
      </c>
      <c r="D442" s="18">
        <v>482265</v>
      </c>
      <c r="E442" s="19"/>
      <c r="F442" s="15">
        <f t="shared" si="6"/>
        <v>-482265</v>
      </c>
    </row>
    <row r="443" spans="1:6" x14ac:dyDescent="0.2">
      <c r="A443" s="91">
        <v>45692</v>
      </c>
      <c r="B443" s="43">
        <v>31821</v>
      </c>
      <c r="C443" s="17" t="s">
        <v>9</v>
      </c>
      <c r="D443" s="18">
        <v>1209900</v>
      </c>
      <c r="E443" s="19"/>
      <c r="F443" s="15">
        <f t="shared" si="6"/>
        <v>-1209900</v>
      </c>
    </row>
    <row r="444" spans="1:6" x14ac:dyDescent="0.2">
      <c r="A444" s="91">
        <v>45695</v>
      </c>
      <c r="B444" s="43">
        <v>32010</v>
      </c>
      <c r="C444" s="17" t="s">
        <v>9</v>
      </c>
      <c r="D444" s="18">
        <v>2852126</v>
      </c>
      <c r="E444" s="19"/>
      <c r="F444" s="15">
        <f t="shared" si="6"/>
        <v>-2852126</v>
      </c>
    </row>
    <row r="445" spans="1:6" x14ac:dyDescent="0.2">
      <c r="A445" s="91">
        <v>45699</v>
      </c>
      <c r="B445" s="46">
        <v>32063</v>
      </c>
      <c r="C445" s="47" t="s">
        <v>9</v>
      </c>
      <c r="D445" s="48">
        <v>859363.9</v>
      </c>
      <c r="E445" s="62"/>
      <c r="F445" s="15">
        <f t="shared" si="6"/>
        <v>-859363.9</v>
      </c>
    </row>
    <row r="446" spans="1:6" x14ac:dyDescent="0.2">
      <c r="A446" s="91">
        <v>45700</v>
      </c>
      <c r="B446" s="44">
        <v>32041</v>
      </c>
      <c r="C446" s="22" t="s">
        <v>9</v>
      </c>
      <c r="D446" s="23">
        <v>140294.94</v>
      </c>
      <c r="E446" s="30"/>
      <c r="F446" s="15">
        <f t="shared" si="6"/>
        <v>-140294.94</v>
      </c>
    </row>
    <row r="447" spans="1:6" x14ac:dyDescent="0.2">
      <c r="A447" s="91">
        <v>45709</v>
      </c>
      <c r="B447" s="43">
        <v>8725</v>
      </c>
      <c r="C447" s="17" t="s">
        <v>9</v>
      </c>
      <c r="D447" s="18">
        <v>170281.99</v>
      </c>
      <c r="E447" s="19"/>
      <c r="F447" s="15">
        <f t="shared" si="6"/>
        <v>-170281.99</v>
      </c>
    </row>
    <row r="448" spans="1:6" x14ac:dyDescent="0.2">
      <c r="A448" s="91">
        <v>45709</v>
      </c>
      <c r="B448" s="43">
        <v>8726</v>
      </c>
      <c r="C448" s="17" t="s">
        <v>9</v>
      </c>
      <c r="D448" s="18">
        <v>351705.8</v>
      </c>
      <c r="E448" s="19"/>
      <c r="F448" s="15">
        <f t="shared" si="6"/>
        <v>-351705.8</v>
      </c>
    </row>
    <row r="449" spans="1:6" x14ac:dyDescent="0.2">
      <c r="A449" s="91">
        <v>45712</v>
      </c>
      <c r="B449" s="43">
        <v>31888</v>
      </c>
      <c r="C449" s="17" t="s">
        <v>9</v>
      </c>
      <c r="D449" s="18">
        <v>178888.45</v>
      </c>
      <c r="E449" s="19"/>
      <c r="F449" s="15">
        <f t="shared" si="6"/>
        <v>-178888.45</v>
      </c>
    </row>
    <row r="450" spans="1:6" x14ac:dyDescent="0.2">
      <c r="A450" s="91">
        <v>45712</v>
      </c>
      <c r="B450" s="43">
        <v>31963</v>
      </c>
      <c r="C450" s="17" t="s">
        <v>9</v>
      </c>
      <c r="D450" s="18">
        <v>404320</v>
      </c>
      <c r="E450" s="19"/>
      <c r="F450" s="15">
        <f t="shared" si="6"/>
        <v>-404320</v>
      </c>
    </row>
    <row r="451" spans="1:6" x14ac:dyDescent="0.2">
      <c r="A451" s="91">
        <v>45713</v>
      </c>
      <c r="B451" s="43">
        <v>31916</v>
      </c>
      <c r="C451" s="17" t="s">
        <v>9</v>
      </c>
      <c r="D451" s="18">
        <v>253000</v>
      </c>
      <c r="E451" s="19"/>
      <c r="F451" s="15">
        <f t="shared" ref="F451:F514" si="7">+E451-D451</f>
        <v>-253000</v>
      </c>
    </row>
    <row r="452" spans="1:6" x14ac:dyDescent="0.2">
      <c r="A452" s="91">
        <v>45714</v>
      </c>
      <c r="B452" s="43">
        <v>31832</v>
      </c>
      <c r="C452" s="17" t="s">
        <v>9</v>
      </c>
      <c r="D452" s="18">
        <v>88513.919999999998</v>
      </c>
      <c r="E452" s="19"/>
      <c r="F452" s="15">
        <f t="shared" si="7"/>
        <v>-88513.919999999998</v>
      </c>
    </row>
    <row r="453" spans="1:6" x14ac:dyDescent="0.2">
      <c r="A453" s="91">
        <v>45714</v>
      </c>
      <c r="B453" s="43">
        <v>31923</v>
      </c>
      <c r="C453" s="17" t="s">
        <v>9</v>
      </c>
      <c r="D453" s="18">
        <v>90750</v>
      </c>
      <c r="E453" s="19"/>
      <c r="F453" s="15">
        <f t="shared" si="7"/>
        <v>-90750</v>
      </c>
    </row>
    <row r="454" spans="1:6" x14ac:dyDescent="0.2">
      <c r="A454" s="91">
        <v>45714</v>
      </c>
      <c r="B454" s="43">
        <v>32067</v>
      </c>
      <c r="C454" s="17" t="s">
        <v>9</v>
      </c>
      <c r="D454" s="18">
        <v>141680.56</v>
      </c>
      <c r="E454" s="19"/>
      <c r="F454" s="15">
        <f t="shared" si="7"/>
        <v>-141680.56</v>
      </c>
    </row>
    <row r="455" spans="1:6" x14ac:dyDescent="0.2">
      <c r="A455" s="91">
        <v>45714</v>
      </c>
      <c r="B455" s="43">
        <v>31932</v>
      </c>
      <c r="C455" s="17" t="s">
        <v>9</v>
      </c>
      <c r="D455" s="18">
        <v>268620</v>
      </c>
      <c r="E455" s="19"/>
      <c r="F455" s="15">
        <f t="shared" si="7"/>
        <v>-268620</v>
      </c>
    </row>
    <row r="456" spans="1:6" x14ac:dyDescent="0.2">
      <c r="A456" s="91">
        <v>45714</v>
      </c>
      <c r="B456" s="43">
        <v>31851</v>
      </c>
      <c r="C456" s="17" t="s">
        <v>9</v>
      </c>
      <c r="D456" s="18">
        <v>525109.75</v>
      </c>
      <c r="E456" s="19"/>
      <c r="F456" s="15">
        <f t="shared" si="7"/>
        <v>-525109.75</v>
      </c>
    </row>
    <row r="457" spans="1:6" x14ac:dyDescent="0.2">
      <c r="A457" s="91">
        <v>45714</v>
      </c>
      <c r="B457" s="43">
        <v>32126</v>
      </c>
      <c r="C457" s="17" t="s">
        <v>9</v>
      </c>
      <c r="D457" s="18">
        <v>2268100</v>
      </c>
      <c r="E457" s="19"/>
      <c r="F457" s="15">
        <f t="shared" si="7"/>
        <v>-2268100</v>
      </c>
    </row>
    <row r="458" spans="1:6" x14ac:dyDescent="0.2">
      <c r="A458" s="91">
        <v>45714</v>
      </c>
      <c r="B458" s="43">
        <v>31881</v>
      </c>
      <c r="C458" s="17" t="s">
        <v>9</v>
      </c>
      <c r="D458" s="18">
        <v>6269985.2599999998</v>
      </c>
      <c r="E458" s="19"/>
      <c r="F458" s="15">
        <f t="shared" si="7"/>
        <v>-6269985.2599999998</v>
      </c>
    </row>
    <row r="459" spans="1:6" x14ac:dyDescent="0.2">
      <c r="A459" s="91">
        <v>45715</v>
      </c>
      <c r="B459" s="43">
        <v>31864</v>
      </c>
      <c r="C459" s="17" t="s">
        <v>9</v>
      </c>
      <c r="D459" s="18">
        <v>101250</v>
      </c>
      <c r="E459" s="19"/>
      <c r="F459" s="15">
        <f t="shared" si="7"/>
        <v>-101250</v>
      </c>
    </row>
    <row r="460" spans="1:6" x14ac:dyDescent="0.2">
      <c r="A460" s="91">
        <v>45715</v>
      </c>
      <c r="B460" s="43">
        <v>31837</v>
      </c>
      <c r="C460" s="17" t="s">
        <v>9</v>
      </c>
      <c r="D460" s="18">
        <v>355484.5</v>
      </c>
      <c r="E460" s="19"/>
      <c r="F460" s="15">
        <f t="shared" si="7"/>
        <v>-355484.5</v>
      </c>
    </row>
    <row r="461" spans="1:6" x14ac:dyDescent="0.2">
      <c r="A461" s="91">
        <v>45715</v>
      </c>
      <c r="B461" s="43">
        <v>31909</v>
      </c>
      <c r="C461" s="17" t="s">
        <v>9</v>
      </c>
      <c r="D461" s="18">
        <v>429334.8</v>
      </c>
      <c r="E461" s="19"/>
      <c r="F461" s="15">
        <f t="shared" si="7"/>
        <v>-429334.8</v>
      </c>
    </row>
    <row r="462" spans="1:6" x14ac:dyDescent="0.2">
      <c r="A462" s="91">
        <v>45715</v>
      </c>
      <c r="B462" s="43">
        <v>31849</v>
      </c>
      <c r="C462" s="17" t="s">
        <v>9</v>
      </c>
      <c r="D462" s="18">
        <v>548495.64</v>
      </c>
      <c r="E462" s="19"/>
      <c r="F462" s="15">
        <f t="shared" si="7"/>
        <v>-548495.64</v>
      </c>
    </row>
    <row r="463" spans="1:6" x14ac:dyDescent="0.2">
      <c r="A463" s="91">
        <v>45715</v>
      </c>
      <c r="B463" s="43">
        <v>31844</v>
      </c>
      <c r="C463" s="17" t="s">
        <v>9</v>
      </c>
      <c r="D463" s="18">
        <v>861154.1</v>
      </c>
      <c r="E463" s="19"/>
      <c r="F463" s="15">
        <f t="shared" si="7"/>
        <v>-861154.1</v>
      </c>
    </row>
    <row r="464" spans="1:6" x14ac:dyDescent="0.2">
      <c r="A464" s="91">
        <v>45715</v>
      </c>
      <c r="B464" s="43">
        <v>31842</v>
      </c>
      <c r="C464" s="17" t="s">
        <v>9</v>
      </c>
      <c r="D464" s="18">
        <v>1020827.5</v>
      </c>
      <c r="E464" s="19"/>
      <c r="F464" s="15">
        <f t="shared" si="7"/>
        <v>-1020827.5</v>
      </c>
    </row>
    <row r="465" spans="1:6" x14ac:dyDescent="0.2">
      <c r="A465" s="91">
        <v>45715</v>
      </c>
      <c r="B465" s="43">
        <v>31850</v>
      </c>
      <c r="C465" s="17" t="s">
        <v>9</v>
      </c>
      <c r="D465" s="18">
        <v>1089595.81</v>
      </c>
      <c r="E465" s="19"/>
      <c r="F465" s="15">
        <f t="shared" si="7"/>
        <v>-1089595.81</v>
      </c>
    </row>
    <row r="466" spans="1:6" x14ac:dyDescent="0.2">
      <c r="A466" s="91">
        <v>45715</v>
      </c>
      <c r="B466" s="43">
        <v>31841</v>
      </c>
      <c r="C466" s="17" t="s">
        <v>9</v>
      </c>
      <c r="D466" s="18">
        <v>1773694.64</v>
      </c>
      <c r="E466" s="19"/>
      <c r="F466" s="15">
        <f t="shared" si="7"/>
        <v>-1773694.64</v>
      </c>
    </row>
    <row r="467" spans="1:6" x14ac:dyDescent="0.2">
      <c r="A467" s="91">
        <v>45715</v>
      </c>
      <c r="B467" s="43">
        <v>31874</v>
      </c>
      <c r="C467" s="17" t="s">
        <v>9</v>
      </c>
      <c r="D467" s="18">
        <v>2265153.7999999998</v>
      </c>
      <c r="E467" s="19"/>
      <c r="F467" s="15">
        <f t="shared" si="7"/>
        <v>-2265153.7999999998</v>
      </c>
    </row>
    <row r="468" spans="1:6" x14ac:dyDescent="0.2">
      <c r="A468" s="91">
        <v>45715</v>
      </c>
      <c r="B468" s="43">
        <v>31857</v>
      </c>
      <c r="C468" s="17" t="s">
        <v>9</v>
      </c>
      <c r="D468" s="18">
        <v>2350671.0099999998</v>
      </c>
      <c r="E468" s="19"/>
      <c r="F468" s="15">
        <f t="shared" si="7"/>
        <v>-2350671.0099999998</v>
      </c>
    </row>
    <row r="469" spans="1:6" x14ac:dyDescent="0.2">
      <c r="A469" s="91">
        <v>45715</v>
      </c>
      <c r="B469" s="46">
        <v>32125</v>
      </c>
      <c r="C469" s="47" t="s">
        <v>9</v>
      </c>
      <c r="D469" s="48">
        <v>2791900</v>
      </c>
      <c r="E469" s="49"/>
      <c r="F469" s="15">
        <f t="shared" si="7"/>
        <v>-2791900</v>
      </c>
    </row>
    <row r="470" spans="1:6" x14ac:dyDescent="0.2">
      <c r="A470" s="91">
        <v>45715</v>
      </c>
      <c r="B470" s="44">
        <v>31847</v>
      </c>
      <c r="C470" s="22" t="s">
        <v>9</v>
      </c>
      <c r="D470" s="23">
        <v>5022856.71</v>
      </c>
      <c r="E470" s="24"/>
      <c r="F470" s="15">
        <f t="shared" si="7"/>
        <v>-5022856.71</v>
      </c>
    </row>
    <row r="471" spans="1:6" x14ac:dyDescent="0.2">
      <c r="A471" s="91">
        <v>45716</v>
      </c>
      <c r="B471" s="43">
        <v>31983</v>
      </c>
      <c r="C471" s="17" t="s">
        <v>9</v>
      </c>
      <c r="D471" s="18">
        <v>127000</v>
      </c>
      <c r="E471" s="19"/>
      <c r="F471" s="15">
        <f t="shared" si="7"/>
        <v>-127000</v>
      </c>
    </row>
    <row r="472" spans="1:6" x14ac:dyDescent="0.2">
      <c r="A472" s="91">
        <v>45716</v>
      </c>
      <c r="B472" s="43">
        <v>32046</v>
      </c>
      <c r="C472" s="17" t="s">
        <v>9</v>
      </c>
      <c r="D472" s="18">
        <v>127000</v>
      </c>
      <c r="E472" s="19"/>
      <c r="F472" s="15">
        <f t="shared" si="7"/>
        <v>-127000</v>
      </c>
    </row>
    <row r="473" spans="1:6" x14ac:dyDescent="0.2">
      <c r="A473" s="91">
        <v>45716</v>
      </c>
      <c r="B473" s="43">
        <v>31931</v>
      </c>
      <c r="C473" s="17" t="s">
        <v>9</v>
      </c>
      <c r="D473" s="18">
        <v>127583.57</v>
      </c>
      <c r="E473" s="19"/>
      <c r="F473" s="15">
        <f t="shared" si="7"/>
        <v>-127583.57</v>
      </c>
    </row>
    <row r="474" spans="1:6" x14ac:dyDescent="0.2">
      <c r="A474" s="91">
        <v>45716</v>
      </c>
      <c r="B474" s="43">
        <v>31875</v>
      </c>
      <c r="C474" s="17" t="s">
        <v>9</v>
      </c>
      <c r="D474" s="18">
        <v>238210</v>
      </c>
      <c r="E474" s="19"/>
      <c r="F474" s="15">
        <f t="shared" si="7"/>
        <v>-238210</v>
      </c>
    </row>
    <row r="475" spans="1:6" x14ac:dyDescent="0.2">
      <c r="A475" s="91">
        <v>45716</v>
      </c>
      <c r="B475" s="43">
        <v>32129</v>
      </c>
      <c r="C475" s="17" t="s">
        <v>9</v>
      </c>
      <c r="D475" s="18">
        <v>334543.40000000002</v>
      </c>
      <c r="E475" s="19"/>
      <c r="F475" s="15">
        <f t="shared" si="7"/>
        <v>-334543.40000000002</v>
      </c>
    </row>
    <row r="476" spans="1:6" x14ac:dyDescent="0.2">
      <c r="A476" s="91">
        <v>45716</v>
      </c>
      <c r="B476" s="43">
        <v>31962</v>
      </c>
      <c r="C476" s="17" t="s">
        <v>9</v>
      </c>
      <c r="D476" s="18">
        <v>1995675.56</v>
      </c>
      <c r="E476" s="19"/>
      <c r="F476" s="15">
        <f t="shared" si="7"/>
        <v>-1995675.56</v>
      </c>
    </row>
    <row r="477" spans="1:6" x14ac:dyDescent="0.2">
      <c r="A477" s="91">
        <v>45716</v>
      </c>
      <c r="B477" s="43">
        <v>32111</v>
      </c>
      <c r="C477" s="17" t="s">
        <v>9</v>
      </c>
      <c r="D477" s="18">
        <v>4183479.4</v>
      </c>
      <c r="E477" s="19"/>
      <c r="F477" s="15">
        <f t="shared" si="7"/>
        <v>-4183479.4</v>
      </c>
    </row>
    <row r="478" spans="1:6" x14ac:dyDescent="0.2">
      <c r="A478" s="91">
        <v>45716</v>
      </c>
      <c r="B478" s="43">
        <v>31980</v>
      </c>
      <c r="C478" s="17" t="s">
        <v>9</v>
      </c>
      <c r="D478" s="18">
        <v>5655625</v>
      </c>
      <c r="E478" s="19"/>
      <c r="F478" s="15">
        <f t="shared" si="7"/>
        <v>-5655625</v>
      </c>
    </row>
    <row r="479" spans="1:6" x14ac:dyDescent="0.2">
      <c r="A479" s="91">
        <v>45721</v>
      </c>
      <c r="B479" s="43">
        <v>32115</v>
      </c>
      <c r="C479" s="17" t="s">
        <v>9</v>
      </c>
      <c r="D479" s="18">
        <v>160000</v>
      </c>
      <c r="E479" s="19"/>
      <c r="F479" s="15">
        <f t="shared" si="7"/>
        <v>-160000</v>
      </c>
    </row>
    <row r="480" spans="1:6" x14ac:dyDescent="0.2">
      <c r="A480" s="91">
        <v>45721</v>
      </c>
      <c r="B480" s="43">
        <v>32043</v>
      </c>
      <c r="C480" s="17" t="s">
        <v>9</v>
      </c>
      <c r="D480" s="18">
        <v>323400</v>
      </c>
      <c r="E480" s="19"/>
      <c r="F480" s="15">
        <f t="shared" si="7"/>
        <v>-323400</v>
      </c>
    </row>
    <row r="481" spans="1:6" x14ac:dyDescent="0.2">
      <c r="A481" s="91">
        <v>45721</v>
      </c>
      <c r="B481" s="43">
        <v>32012</v>
      </c>
      <c r="C481" s="17" t="s">
        <v>9</v>
      </c>
      <c r="D481" s="18">
        <v>2517976.54</v>
      </c>
      <c r="E481" s="19"/>
      <c r="F481" s="15">
        <f t="shared" si="7"/>
        <v>-2517976.54</v>
      </c>
    </row>
    <row r="482" spans="1:6" x14ac:dyDescent="0.2">
      <c r="A482" s="91">
        <v>45721</v>
      </c>
      <c r="B482" s="43">
        <v>32011</v>
      </c>
      <c r="C482" s="17" t="s">
        <v>9</v>
      </c>
      <c r="D482" s="18">
        <v>2852126.93</v>
      </c>
      <c r="E482" s="19"/>
      <c r="F482" s="15">
        <f t="shared" si="7"/>
        <v>-2852126.93</v>
      </c>
    </row>
    <row r="483" spans="1:6" x14ac:dyDescent="0.2">
      <c r="A483" s="91">
        <v>45721</v>
      </c>
      <c r="B483" s="43">
        <v>32068</v>
      </c>
      <c r="C483" s="17" t="s">
        <v>9</v>
      </c>
      <c r="D483" s="18">
        <v>6000000</v>
      </c>
      <c r="E483" s="19"/>
      <c r="F483" s="15">
        <f t="shared" si="7"/>
        <v>-6000000</v>
      </c>
    </row>
    <row r="484" spans="1:6" x14ac:dyDescent="0.2">
      <c r="A484" s="91">
        <v>45721</v>
      </c>
      <c r="B484" s="43">
        <v>32022</v>
      </c>
      <c r="C484" s="17" t="s">
        <v>9</v>
      </c>
      <c r="D484" s="18">
        <v>6168363.4400000004</v>
      </c>
      <c r="E484" s="19"/>
      <c r="F484" s="15">
        <f t="shared" si="7"/>
        <v>-6168363.4400000004</v>
      </c>
    </row>
    <row r="485" spans="1:6" x14ac:dyDescent="0.2">
      <c r="A485" s="91">
        <v>45722</v>
      </c>
      <c r="B485" s="43">
        <v>31777</v>
      </c>
      <c r="C485" s="17" t="s">
        <v>9</v>
      </c>
      <c r="D485" s="18">
        <v>9341513.4499999993</v>
      </c>
      <c r="E485" s="19"/>
      <c r="F485" s="15">
        <f t="shared" si="7"/>
        <v>-9341513.4499999993</v>
      </c>
    </row>
    <row r="486" spans="1:6" x14ac:dyDescent="0.2">
      <c r="A486" s="91">
        <v>45722</v>
      </c>
      <c r="B486" s="43">
        <v>31833</v>
      </c>
      <c r="C486" s="17" t="s">
        <v>9</v>
      </c>
      <c r="D486" s="18">
        <v>583076.32999999996</v>
      </c>
      <c r="E486" s="19"/>
      <c r="F486" s="15">
        <f t="shared" si="7"/>
        <v>-583076.32999999996</v>
      </c>
    </row>
    <row r="487" spans="1:6" x14ac:dyDescent="0.2">
      <c r="A487" s="91">
        <v>45722</v>
      </c>
      <c r="B487" s="43">
        <v>32070</v>
      </c>
      <c r="C487" s="17" t="s">
        <v>9</v>
      </c>
      <c r="D487" s="18">
        <v>5556183.6900000004</v>
      </c>
      <c r="E487" s="19"/>
      <c r="F487" s="15">
        <f t="shared" si="7"/>
        <v>-5556183.6900000004</v>
      </c>
    </row>
    <row r="488" spans="1:6" x14ac:dyDescent="0.2">
      <c r="A488" s="91">
        <v>45722</v>
      </c>
      <c r="B488" s="43">
        <v>31779</v>
      </c>
      <c r="C488" s="17" t="s">
        <v>9</v>
      </c>
      <c r="D488" s="18">
        <v>8288367.4000000004</v>
      </c>
      <c r="E488" s="19"/>
      <c r="F488" s="15">
        <f t="shared" si="7"/>
        <v>-8288367.4000000004</v>
      </c>
    </row>
    <row r="489" spans="1:6" x14ac:dyDescent="0.2">
      <c r="A489" s="91">
        <v>45722</v>
      </c>
      <c r="B489" s="43">
        <v>31838</v>
      </c>
      <c r="C489" s="17" t="s">
        <v>9</v>
      </c>
      <c r="D489" s="18">
        <v>8885996</v>
      </c>
      <c r="E489" s="19"/>
      <c r="F489" s="15">
        <f t="shared" si="7"/>
        <v>-8885996</v>
      </c>
    </row>
    <row r="490" spans="1:6" x14ac:dyDescent="0.2">
      <c r="A490" s="91">
        <v>45723</v>
      </c>
      <c r="B490" s="43">
        <v>32054</v>
      </c>
      <c r="C490" s="17" t="s">
        <v>9</v>
      </c>
      <c r="D490" s="18">
        <v>967475.22</v>
      </c>
      <c r="E490" s="19"/>
      <c r="F490" s="15">
        <f t="shared" si="7"/>
        <v>-967475.22</v>
      </c>
    </row>
    <row r="491" spans="1:6" x14ac:dyDescent="0.2">
      <c r="A491" s="91">
        <v>45723</v>
      </c>
      <c r="B491" s="43">
        <v>31989</v>
      </c>
      <c r="C491" s="17" t="s">
        <v>9</v>
      </c>
      <c r="D491" s="18">
        <v>1226340.47</v>
      </c>
      <c r="E491" s="19"/>
      <c r="F491" s="15">
        <f t="shared" si="7"/>
        <v>-1226340.47</v>
      </c>
    </row>
    <row r="492" spans="1:6" x14ac:dyDescent="0.2">
      <c r="A492" s="91">
        <v>45726</v>
      </c>
      <c r="B492" s="43">
        <v>31990</v>
      </c>
      <c r="C492" s="17" t="s">
        <v>9</v>
      </c>
      <c r="D492" s="18">
        <v>241308.99</v>
      </c>
      <c r="E492" s="19"/>
      <c r="F492" s="15">
        <f t="shared" si="7"/>
        <v>-241308.99</v>
      </c>
    </row>
    <row r="493" spans="1:6" x14ac:dyDescent="0.2">
      <c r="A493" s="91">
        <v>45727</v>
      </c>
      <c r="B493" s="43">
        <v>31995</v>
      </c>
      <c r="C493" s="17" t="s">
        <v>9</v>
      </c>
      <c r="D493" s="18">
        <v>571622.93000000005</v>
      </c>
      <c r="E493" s="19"/>
      <c r="F493" s="15">
        <f t="shared" si="7"/>
        <v>-571622.93000000005</v>
      </c>
    </row>
    <row r="494" spans="1:6" x14ac:dyDescent="0.2">
      <c r="A494" s="91">
        <v>45727</v>
      </c>
      <c r="B494" s="43">
        <v>31869</v>
      </c>
      <c r="C494" s="17" t="s">
        <v>9</v>
      </c>
      <c r="D494" s="18">
        <v>1418216.8</v>
      </c>
      <c r="E494" s="19"/>
      <c r="F494" s="15">
        <f t="shared" si="7"/>
        <v>-1418216.8</v>
      </c>
    </row>
    <row r="495" spans="1:6" x14ac:dyDescent="0.2">
      <c r="A495" s="91">
        <v>45733</v>
      </c>
      <c r="B495" s="46">
        <v>32091</v>
      </c>
      <c r="C495" s="47" t="s">
        <v>9</v>
      </c>
      <c r="D495" s="48">
        <v>176516.16</v>
      </c>
      <c r="E495" s="49"/>
      <c r="F495" s="15">
        <f t="shared" si="7"/>
        <v>-176516.16</v>
      </c>
    </row>
    <row r="496" spans="1:6" x14ac:dyDescent="0.2">
      <c r="A496" s="91">
        <v>45733</v>
      </c>
      <c r="B496" s="44">
        <v>32113</v>
      </c>
      <c r="C496" s="22" t="s">
        <v>9</v>
      </c>
      <c r="D496" s="23">
        <v>278079.02</v>
      </c>
      <c r="E496" s="24"/>
      <c r="F496" s="15">
        <f t="shared" si="7"/>
        <v>-278079.02</v>
      </c>
    </row>
    <row r="497" spans="1:6" x14ac:dyDescent="0.2">
      <c r="A497" s="91">
        <v>45733</v>
      </c>
      <c r="B497" s="43">
        <v>8730</v>
      </c>
      <c r="C497" s="17" t="s">
        <v>9</v>
      </c>
      <c r="D497" s="18">
        <v>473079.99</v>
      </c>
      <c r="E497" s="19"/>
      <c r="F497" s="15">
        <f t="shared" si="7"/>
        <v>-473079.99</v>
      </c>
    </row>
    <row r="498" spans="1:6" x14ac:dyDescent="0.2">
      <c r="A498" s="91">
        <v>45735</v>
      </c>
      <c r="B498" s="43">
        <v>32193</v>
      </c>
      <c r="C498" s="17" t="s">
        <v>9</v>
      </c>
      <c r="D498" s="18">
        <v>1000000</v>
      </c>
      <c r="E498" s="19"/>
      <c r="F498" s="15">
        <f t="shared" si="7"/>
        <v>-1000000</v>
      </c>
    </row>
    <row r="499" spans="1:6" x14ac:dyDescent="0.2">
      <c r="A499" s="91">
        <v>45737</v>
      </c>
      <c r="B499" s="43">
        <v>31922</v>
      </c>
      <c r="C499" s="17" t="s">
        <v>9</v>
      </c>
      <c r="D499" s="18">
        <v>226800</v>
      </c>
      <c r="E499" s="19"/>
      <c r="F499" s="15">
        <f t="shared" si="7"/>
        <v>-226800</v>
      </c>
    </row>
    <row r="500" spans="1:6" x14ac:dyDescent="0.2">
      <c r="A500" s="91">
        <v>45741</v>
      </c>
      <c r="B500" s="43">
        <v>32064</v>
      </c>
      <c r="C500" s="17" t="s">
        <v>9</v>
      </c>
      <c r="D500" s="18">
        <v>260872.65</v>
      </c>
      <c r="E500" s="19"/>
      <c r="F500" s="15">
        <f t="shared" si="7"/>
        <v>-260872.65</v>
      </c>
    </row>
    <row r="501" spans="1:6" x14ac:dyDescent="0.2">
      <c r="A501" s="91">
        <v>45742</v>
      </c>
      <c r="B501" s="43">
        <v>32195</v>
      </c>
      <c r="C501" s="17" t="s">
        <v>9</v>
      </c>
      <c r="D501" s="18">
        <v>1000000</v>
      </c>
      <c r="E501" s="19"/>
      <c r="F501" s="15">
        <f t="shared" si="7"/>
        <v>-1000000</v>
      </c>
    </row>
    <row r="502" spans="1:6" x14ac:dyDescent="0.2">
      <c r="A502" s="91">
        <v>45742</v>
      </c>
      <c r="B502" s="43">
        <v>32133</v>
      </c>
      <c r="C502" s="17" t="s">
        <v>9</v>
      </c>
      <c r="D502" s="18">
        <v>1046682</v>
      </c>
      <c r="E502" s="19"/>
      <c r="F502" s="15">
        <f t="shared" si="7"/>
        <v>-1046682</v>
      </c>
    </row>
    <row r="503" spans="1:6" x14ac:dyDescent="0.2">
      <c r="A503" s="91">
        <v>45742</v>
      </c>
      <c r="B503" s="43">
        <v>31968</v>
      </c>
      <c r="C503" s="17" t="s">
        <v>9</v>
      </c>
      <c r="D503" s="18">
        <v>406224</v>
      </c>
      <c r="E503" s="19"/>
      <c r="F503" s="15">
        <f t="shared" si="7"/>
        <v>-406224</v>
      </c>
    </row>
    <row r="504" spans="1:6" x14ac:dyDescent="0.2">
      <c r="A504" s="91">
        <v>45743</v>
      </c>
      <c r="B504" s="43">
        <v>32048</v>
      </c>
      <c r="C504" s="17" t="s">
        <v>9</v>
      </c>
      <c r="D504" s="18">
        <v>46783.44</v>
      </c>
      <c r="E504" s="19"/>
      <c r="F504" s="15">
        <f t="shared" si="7"/>
        <v>-46783.44</v>
      </c>
    </row>
    <row r="505" spans="1:6" x14ac:dyDescent="0.2">
      <c r="A505" s="91">
        <v>45743</v>
      </c>
      <c r="B505" s="43">
        <v>32138</v>
      </c>
      <c r="C505" s="17" t="s">
        <v>9</v>
      </c>
      <c r="D505" s="18">
        <v>4301925.4000000004</v>
      </c>
      <c r="E505" s="19"/>
      <c r="F505" s="15">
        <f t="shared" si="7"/>
        <v>-4301925.4000000004</v>
      </c>
    </row>
    <row r="506" spans="1:6" x14ac:dyDescent="0.2">
      <c r="A506" s="91">
        <v>45744</v>
      </c>
      <c r="B506" s="43">
        <v>8729</v>
      </c>
      <c r="C506" s="17" t="s">
        <v>9</v>
      </c>
      <c r="D506" s="18">
        <v>295438.84999999998</v>
      </c>
      <c r="E506" s="19"/>
      <c r="F506" s="15">
        <f t="shared" si="7"/>
        <v>-295438.84999999998</v>
      </c>
    </row>
    <row r="507" spans="1:6" x14ac:dyDescent="0.2">
      <c r="A507" s="91">
        <v>45744</v>
      </c>
      <c r="B507" s="43">
        <v>31920</v>
      </c>
      <c r="C507" s="17" t="s">
        <v>9</v>
      </c>
      <c r="D507" s="18">
        <v>856243.21</v>
      </c>
      <c r="E507" s="19"/>
      <c r="F507" s="15">
        <f t="shared" si="7"/>
        <v>-856243.21</v>
      </c>
    </row>
    <row r="508" spans="1:6" x14ac:dyDescent="0.2">
      <c r="A508" s="91">
        <v>45744</v>
      </c>
      <c r="B508" s="43">
        <v>31982</v>
      </c>
      <c r="C508" s="17" t="s">
        <v>9</v>
      </c>
      <c r="D508" s="18">
        <v>1067500</v>
      </c>
      <c r="E508" s="19"/>
      <c r="F508" s="15">
        <f t="shared" si="7"/>
        <v>-1067500</v>
      </c>
    </row>
    <row r="509" spans="1:6" x14ac:dyDescent="0.2">
      <c r="A509" s="91">
        <v>45744</v>
      </c>
      <c r="B509" s="43">
        <v>31972</v>
      </c>
      <c r="C509" s="17" t="s">
        <v>9</v>
      </c>
      <c r="D509" s="18">
        <v>1535396.2</v>
      </c>
      <c r="E509" s="19"/>
      <c r="F509" s="15">
        <f t="shared" si="7"/>
        <v>-1535396.2</v>
      </c>
    </row>
    <row r="510" spans="1:6" x14ac:dyDescent="0.2">
      <c r="A510" s="91">
        <v>45744</v>
      </c>
      <c r="B510" s="43">
        <v>31973</v>
      </c>
      <c r="C510" s="17" t="s">
        <v>9</v>
      </c>
      <c r="D510" s="18">
        <v>2000314.58</v>
      </c>
      <c r="E510" s="19"/>
      <c r="F510" s="15">
        <f t="shared" si="7"/>
        <v>-2000314.58</v>
      </c>
    </row>
    <row r="511" spans="1:6" x14ac:dyDescent="0.2">
      <c r="A511" s="91">
        <v>45747</v>
      </c>
      <c r="B511" s="43">
        <v>31976</v>
      </c>
      <c r="C511" s="17" t="s">
        <v>9</v>
      </c>
      <c r="D511" s="18">
        <v>1611680</v>
      </c>
      <c r="E511" s="19"/>
      <c r="F511" s="15">
        <f t="shared" si="7"/>
        <v>-1611680</v>
      </c>
    </row>
    <row r="512" spans="1:6" x14ac:dyDescent="0.2">
      <c r="A512" s="91">
        <v>45747</v>
      </c>
      <c r="B512" s="43">
        <v>31992</v>
      </c>
      <c r="C512" s="17" t="s">
        <v>9</v>
      </c>
      <c r="D512" s="18">
        <v>3971122.65</v>
      </c>
      <c r="E512" s="19"/>
      <c r="F512" s="15">
        <f t="shared" si="7"/>
        <v>-3971122.65</v>
      </c>
    </row>
    <row r="513" spans="1:6" x14ac:dyDescent="0.2">
      <c r="A513" s="91">
        <v>45747</v>
      </c>
      <c r="B513" s="43">
        <v>31783</v>
      </c>
      <c r="C513" s="17" t="s">
        <v>9</v>
      </c>
      <c r="D513" s="18">
        <v>278349.5</v>
      </c>
      <c r="E513" s="19"/>
      <c r="F513" s="15">
        <f t="shared" si="7"/>
        <v>-278349.5</v>
      </c>
    </row>
    <row r="514" spans="1:6" x14ac:dyDescent="0.2">
      <c r="A514" s="91">
        <v>45747</v>
      </c>
      <c r="B514" s="43">
        <v>32066</v>
      </c>
      <c r="C514" s="17" t="s">
        <v>9</v>
      </c>
      <c r="D514" s="18">
        <v>367311</v>
      </c>
      <c r="E514" s="19"/>
      <c r="F514" s="15">
        <f t="shared" si="7"/>
        <v>-367311</v>
      </c>
    </row>
    <row r="515" spans="1:6" x14ac:dyDescent="0.2">
      <c r="A515" s="91">
        <v>45747</v>
      </c>
      <c r="B515" s="43">
        <v>31914</v>
      </c>
      <c r="C515" s="17" t="s">
        <v>9</v>
      </c>
      <c r="D515" s="18">
        <v>856519.01</v>
      </c>
      <c r="E515" s="19"/>
      <c r="F515" s="15">
        <f t="shared" ref="F515:F578" si="8">+E515-D515</f>
        <v>-856519.01</v>
      </c>
    </row>
    <row r="516" spans="1:6" x14ac:dyDescent="0.2">
      <c r="A516" s="91">
        <v>45748</v>
      </c>
      <c r="B516" s="43">
        <v>32117</v>
      </c>
      <c r="C516" s="17" t="s">
        <v>9</v>
      </c>
      <c r="D516" s="18">
        <v>41140</v>
      </c>
      <c r="E516" s="19"/>
      <c r="F516" s="15">
        <f t="shared" si="8"/>
        <v>-41140</v>
      </c>
    </row>
    <row r="517" spans="1:6" x14ac:dyDescent="0.2">
      <c r="A517" s="91">
        <v>45748</v>
      </c>
      <c r="B517" s="43">
        <v>32088</v>
      </c>
      <c r="C517" s="17" t="s">
        <v>9</v>
      </c>
      <c r="D517" s="18">
        <v>92000</v>
      </c>
      <c r="E517" s="19"/>
      <c r="F517" s="15">
        <f t="shared" si="8"/>
        <v>-92000</v>
      </c>
    </row>
    <row r="518" spans="1:6" x14ac:dyDescent="0.2">
      <c r="A518" s="91">
        <v>45748</v>
      </c>
      <c r="B518" s="43">
        <v>32118</v>
      </c>
      <c r="C518" s="17" t="s">
        <v>9</v>
      </c>
      <c r="D518" s="18">
        <v>114220</v>
      </c>
      <c r="E518" s="19"/>
      <c r="F518" s="15">
        <f t="shared" si="8"/>
        <v>-114220</v>
      </c>
    </row>
    <row r="519" spans="1:6" x14ac:dyDescent="0.2">
      <c r="A519" s="91">
        <v>45748</v>
      </c>
      <c r="B519" s="43">
        <v>32037</v>
      </c>
      <c r="C519" s="17" t="s">
        <v>9</v>
      </c>
      <c r="D519" s="18">
        <v>227681.4</v>
      </c>
      <c r="E519" s="19"/>
      <c r="F519" s="15">
        <f t="shared" si="8"/>
        <v>-227681.4</v>
      </c>
    </row>
    <row r="520" spans="1:6" x14ac:dyDescent="0.2">
      <c r="A520" s="91">
        <v>45748</v>
      </c>
      <c r="B520" s="43">
        <v>32086</v>
      </c>
      <c r="C520" s="17" t="s">
        <v>9</v>
      </c>
      <c r="D520" s="18">
        <v>260872.65</v>
      </c>
      <c r="E520" s="19"/>
      <c r="F520" s="15">
        <f t="shared" si="8"/>
        <v>-260872.65</v>
      </c>
    </row>
    <row r="521" spans="1:6" x14ac:dyDescent="0.2">
      <c r="A521" s="91">
        <v>45748</v>
      </c>
      <c r="B521" s="43">
        <v>8727</v>
      </c>
      <c r="C521" s="17" t="s">
        <v>9</v>
      </c>
      <c r="D521" s="18">
        <v>425469.2</v>
      </c>
      <c r="E521" s="19"/>
      <c r="F521" s="15">
        <f t="shared" si="8"/>
        <v>-425469.2</v>
      </c>
    </row>
    <row r="522" spans="1:6" x14ac:dyDescent="0.2">
      <c r="A522" s="91">
        <v>45748</v>
      </c>
      <c r="B522" s="46">
        <v>31988</v>
      </c>
      <c r="C522" s="47" t="s">
        <v>9</v>
      </c>
      <c r="D522" s="48">
        <v>445978</v>
      </c>
      <c r="E522" s="49"/>
      <c r="F522" s="15">
        <f t="shared" si="8"/>
        <v>-445978</v>
      </c>
    </row>
    <row r="523" spans="1:6" x14ac:dyDescent="0.2">
      <c r="A523" s="91">
        <v>45748</v>
      </c>
      <c r="B523" s="44">
        <v>32003</v>
      </c>
      <c r="C523" s="22" t="s">
        <v>9</v>
      </c>
      <c r="D523" s="31">
        <v>916141.38</v>
      </c>
      <c r="E523" s="24"/>
      <c r="F523" s="15">
        <f t="shared" si="8"/>
        <v>-916141.38</v>
      </c>
    </row>
    <row r="524" spans="1:6" x14ac:dyDescent="0.2">
      <c r="A524" s="91">
        <v>45748</v>
      </c>
      <c r="B524" s="43">
        <v>31994</v>
      </c>
      <c r="C524" s="17" t="s">
        <v>9</v>
      </c>
      <c r="D524" s="18">
        <v>1518164.47</v>
      </c>
      <c r="E524" s="19"/>
      <c r="F524" s="15">
        <f t="shared" si="8"/>
        <v>-1518164.47</v>
      </c>
    </row>
    <row r="525" spans="1:6" x14ac:dyDescent="0.2">
      <c r="A525" s="91">
        <v>45748</v>
      </c>
      <c r="B525" s="43">
        <v>32124</v>
      </c>
      <c r="C525" s="17" t="s">
        <v>9</v>
      </c>
      <c r="D525" s="18">
        <v>2620403.69</v>
      </c>
      <c r="E525" s="19"/>
      <c r="F525" s="15">
        <f t="shared" si="8"/>
        <v>-2620403.69</v>
      </c>
    </row>
    <row r="526" spans="1:6" x14ac:dyDescent="0.2">
      <c r="A526" s="91">
        <v>45748</v>
      </c>
      <c r="B526" s="43">
        <v>31981</v>
      </c>
      <c r="C526" s="17" t="s">
        <v>9</v>
      </c>
      <c r="D526" s="18">
        <v>3059004</v>
      </c>
      <c r="E526" s="19"/>
      <c r="F526" s="15">
        <f t="shared" si="8"/>
        <v>-3059004</v>
      </c>
    </row>
    <row r="527" spans="1:6" x14ac:dyDescent="0.2">
      <c r="A527" s="91">
        <v>45748</v>
      </c>
      <c r="B527" s="43">
        <v>32094</v>
      </c>
      <c r="C527" s="17" t="s">
        <v>9</v>
      </c>
      <c r="D527" s="18">
        <v>3063134.03</v>
      </c>
      <c r="E527" s="19"/>
      <c r="F527" s="15">
        <f t="shared" si="8"/>
        <v>-3063134.03</v>
      </c>
    </row>
    <row r="528" spans="1:6" x14ac:dyDescent="0.2">
      <c r="A528" s="91">
        <v>45748</v>
      </c>
      <c r="B528" s="43">
        <v>31912</v>
      </c>
      <c r="C528" s="17" t="s">
        <v>9</v>
      </c>
      <c r="D528" s="18">
        <v>3070118.46</v>
      </c>
      <c r="E528" s="19"/>
      <c r="F528" s="15">
        <f t="shared" si="8"/>
        <v>-3070118.46</v>
      </c>
    </row>
    <row r="529" spans="1:6" x14ac:dyDescent="0.2">
      <c r="A529" s="91">
        <v>45748</v>
      </c>
      <c r="B529" s="43">
        <v>32134</v>
      </c>
      <c r="C529" s="17" t="s">
        <v>9</v>
      </c>
      <c r="D529" s="18">
        <v>3689719.77</v>
      </c>
      <c r="E529" s="19"/>
      <c r="F529" s="15">
        <f t="shared" si="8"/>
        <v>-3689719.77</v>
      </c>
    </row>
    <row r="530" spans="1:6" x14ac:dyDescent="0.2">
      <c r="A530" s="91">
        <v>45748</v>
      </c>
      <c r="B530" s="43">
        <v>31979</v>
      </c>
      <c r="C530" s="17" t="s">
        <v>9</v>
      </c>
      <c r="D530" s="18">
        <v>4230678.99</v>
      </c>
      <c r="E530" s="19"/>
      <c r="F530" s="15">
        <f t="shared" si="8"/>
        <v>-4230678.99</v>
      </c>
    </row>
    <row r="531" spans="1:6" x14ac:dyDescent="0.2">
      <c r="A531" s="91">
        <v>45748</v>
      </c>
      <c r="B531" s="43">
        <v>32001</v>
      </c>
      <c r="C531" s="17" t="s">
        <v>9</v>
      </c>
      <c r="D531" s="18">
        <v>6946163</v>
      </c>
      <c r="E531" s="19"/>
      <c r="F531" s="15">
        <f t="shared" si="8"/>
        <v>-6946163</v>
      </c>
    </row>
    <row r="532" spans="1:6" x14ac:dyDescent="0.2">
      <c r="A532" s="91">
        <v>45748</v>
      </c>
      <c r="B532" s="43">
        <v>32060</v>
      </c>
      <c r="C532" s="17" t="s">
        <v>9</v>
      </c>
      <c r="D532" s="18">
        <v>9900954.6600000001</v>
      </c>
      <c r="E532" s="19"/>
      <c r="F532" s="15">
        <f t="shared" si="8"/>
        <v>-9900954.6600000001</v>
      </c>
    </row>
    <row r="533" spans="1:6" x14ac:dyDescent="0.2">
      <c r="A533" s="91">
        <v>45750</v>
      </c>
      <c r="B533" s="43">
        <v>32186</v>
      </c>
      <c r="C533" s="17" t="s">
        <v>9</v>
      </c>
      <c r="D533" s="18">
        <v>6000000</v>
      </c>
      <c r="E533" s="19"/>
      <c r="F533" s="15">
        <f t="shared" si="8"/>
        <v>-6000000</v>
      </c>
    </row>
    <row r="534" spans="1:6" x14ac:dyDescent="0.2">
      <c r="A534" s="91">
        <v>45750</v>
      </c>
      <c r="B534" s="43">
        <v>32069</v>
      </c>
      <c r="C534" s="17" t="s">
        <v>9</v>
      </c>
      <c r="D534" s="18">
        <v>6336726.8799999999</v>
      </c>
      <c r="E534" s="19"/>
      <c r="F534" s="15">
        <f t="shared" si="8"/>
        <v>-6336726.8799999999</v>
      </c>
    </row>
    <row r="535" spans="1:6" x14ac:dyDescent="0.2">
      <c r="A535" s="91">
        <v>45751</v>
      </c>
      <c r="B535" s="43">
        <v>32123</v>
      </c>
      <c r="C535" s="17" t="s">
        <v>9</v>
      </c>
      <c r="D535" s="18">
        <v>1119943.3999999999</v>
      </c>
      <c r="E535" s="19"/>
      <c r="F535" s="15">
        <f t="shared" si="8"/>
        <v>-1119943.3999999999</v>
      </c>
    </row>
    <row r="536" spans="1:6" x14ac:dyDescent="0.2">
      <c r="A536" s="91">
        <v>45751</v>
      </c>
      <c r="B536" s="43">
        <v>32188</v>
      </c>
      <c r="C536" s="17" t="s">
        <v>9</v>
      </c>
      <c r="D536" s="18">
        <v>3268318</v>
      </c>
      <c r="E536" s="19"/>
      <c r="F536" s="15">
        <f t="shared" si="8"/>
        <v>-3268318</v>
      </c>
    </row>
    <row r="537" spans="1:6" x14ac:dyDescent="0.2">
      <c r="A537" s="91">
        <v>45754</v>
      </c>
      <c r="B537" s="43">
        <v>32161</v>
      </c>
      <c r="C537" s="17" t="s">
        <v>9</v>
      </c>
      <c r="D537" s="18">
        <v>180200.4</v>
      </c>
      <c r="E537" s="19"/>
      <c r="F537" s="15">
        <f t="shared" si="8"/>
        <v>-180200.4</v>
      </c>
    </row>
    <row r="538" spans="1:6" x14ac:dyDescent="0.2">
      <c r="A538" s="91">
        <v>45754</v>
      </c>
      <c r="B538" s="43">
        <v>32140</v>
      </c>
      <c r="C538" s="17" t="s">
        <v>9</v>
      </c>
      <c r="D538" s="18">
        <v>528526.6</v>
      </c>
      <c r="E538" s="19"/>
      <c r="F538" s="15">
        <f t="shared" si="8"/>
        <v>-528526.6</v>
      </c>
    </row>
    <row r="539" spans="1:6" x14ac:dyDescent="0.2">
      <c r="A539" s="91">
        <v>45756</v>
      </c>
      <c r="B539" s="43">
        <v>32095</v>
      </c>
      <c r="C539" s="17" t="s">
        <v>9</v>
      </c>
      <c r="D539" s="18">
        <v>608420.89</v>
      </c>
      <c r="E539" s="19"/>
      <c r="F539" s="15">
        <f t="shared" si="8"/>
        <v>-608420.89</v>
      </c>
    </row>
    <row r="540" spans="1:6" x14ac:dyDescent="0.2">
      <c r="A540" s="91">
        <v>45756</v>
      </c>
      <c r="B540" s="43">
        <v>31993</v>
      </c>
      <c r="C540" s="17" t="s">
        <v>9</v>
      </c>
      <c r="D540" s="18">
        <v>732050</v>
      </c>
      <c r="E540" s="19"/>
      <c r="F540" s="15">
        <f t="shared" si="8"/>
        <v>-732050</v>
      </c>
    </row>
    <row r="541" spans="1:6" x14ac:dyDescent="0.2">
      <c r="A541" s="91">
        <v>45763</v>
      </c>
      <c r="B541" s="43">
        <v>32120</v>
      </c>
      <c r="C541" s="17" t="s">
        <v>9</v>
      </c>
      <c r="D541" s="18">
        <v>348723.89</v>
      </c>
      <c r="E541" s="19"/>
      <c r="F541" s="15">
        <f t="shared" si="8"/>
        <v>-348723.89</v>
      </c>
    </row>
    <row r="542" spans="1:6" x14ac:dyDescent="0.2">
      <c r="A542" s="91">
        <v>45763</v>
      </c>
      <c r="B542" s="43">
        <v>32130</v>
      </c>
      <c r="C542" s="17" t="s">
        <v>9</v>
      </c>
      <c r="D542" s="18">
        <v>356950</v>
      </c>
      <c r="E542" s="19"/>
      <c r="F542" s="15">
        <f t="shared" si="8"/>
        <v>-356950</v>
      </c>
    </row>
    <row r="543" spans="1:6" x14ac:dyDescent="0.2">
      <c r="A543" s="91">
        <v>45763</v>
      </c>
      <c r="B543" s="43">
        <v>8728</v>
      </c>
      <c r="C543" s="17" t="s">
        <v>9</v>
      </c>
      <c r="D543" s="18">
        <v>798039.98</v>
      </c>
      <c r="E543" s="19"/>
      <c r="F543" s="15">
        <f t="shared" si="8"/>
        <v>-798039.98</v>
      </c>
    </row>
    <row r="544" spans="1:6" x14ac:dyDescent="0.2">
      <c r="A544" s="91">
        <v>45763</v>
      </c>
      <c r="B544" s="43">
        <v>32004</v>
      </c>
      <c r="C544" s="17" t="s">
        <v>9</v>
      </c>
      <c r="D544" s="18">
        <v>5967444</v>
      </c>
      <c r="E544" s="19"/>
      <c r="F544" s="15">
        <f t="shared" si="8"/>
        <v>-5967444</v>
      </c>
    </row>
    <row r="545" spans="1:6" x14ac:dyDescent="0.2">
      <c r="A545" s="91">
        <v>45768</v>
      </c>
      <c r="B545" s="46">
        <v>32172</v>
      </c>
      <c r="C545" s="47" t="s">
        <v>9</v>
      </c>
      <c r="D545" s="48">
        <v>127000</v>
      </c>
      <c r="E545" s="49"/>
      <c r="F545" s="15">
        <f t="shared" si="8"/>
        <v>-127000</v>
      </c>
    </row>
    <row r="546" spans="1:6" x14ac:dyDescent="0.2">
      <c r="A546" s="91">
        <v>45768</v>
      </c>
      <c r="B546" s="44">
        <v>32121</v>
      </c>
      <c r="C546" s="22" t="s">
        <v>9</v>
      </c>
      <c r="D546" s="23">
        <v>436367.38</v>
      </c>
      <c r="E546" s="24"/>
      <c r="F546" s="15">
        <f t="shared" si="8"/>
        <v>-436367.38</v>
      </c>
    </row>
    <row r="547" spans="1:6" x14ac:dyDescent="0.2">
      <c r="A547" s="91">
        <v>45769</v>
      </c>
      <c r="B547" s="43">
        <v>32199</v>
      </c>
      <c r="C547" s="17" t="s">
        <v>9</v>
      </c>
      <c r="D547" s="18">
        <v>267547.83</v>
      </c>
      <c r="E547" s="19"/>
      <c r="F547" s="15">
        <f t="shared" si="8"/>
        <v>-267547.83</v>
      </c>
    </row>
    <row r="548" spans="1:6" x14ac:dyDescent="0.2">
      <c r="A548" s="91">
        <v>45769</v>
      </c>
      <c r="B548" s="43">
        <v>31934</v>
      </c>
      <c r="C548" s="17" t="s">
        <v>9</v>
      </c>
      <c r="D548" s="18">
        <v>369963</v>
      </c>
      <c r="E548" s="19"/>
      <c r="F548" s="15">
        <f t="shared" si="8"/>
        <v>-369963</v>
      </c>
    </row>
    <row r="549" spans="1:6" x14ac:dyDescent="0.2">
      <c r="A549" s="91">
        <v>45769</v>
      </c>
      <c r="B549" s="43">
        <v>32194</v>
      </c>
      <c r="C549" s="17" t="s">
        <v>9</v>
      </c>
      <c r="D549" s="18">
        <v>920100</v>
      </c>
      <c r="E549" s="19"/>
      <c r="F549" s="15">
        <f t="shared" si="8"/>
        <v>-920100</v>
      </c>
    </row>
    <row r="550" spans="1:6" x14ac:dyDescent="0.2">
      <c r="A550" s="91">
        <v>45769</v>
      </c>
      <c r="B550" s="43">
        <v>32196</v>
      </c>
      <c r="C550" s="17" t="s">
        <v>9</v>
      </c>
      <c r="D550" s="18">
        <v>2013600</v>
      </c>
      <c r="E550" s="19"/>
      <c r="F550" s="15">
        <f t="shared" si="8"/>
        <v>-2013600</v>
      </c>
    </row>
    <row r="551" spans="1:6" x14ac:dyDescent="0.2">
      <c r="A551" s="91">
        <v>45771</v>
      </c>
      <c r="B551" s="43">
        <v>32044</v>
      </c>
      <c r="C551" s="17" t="s">
        <v>9</v>
      </c>
      <c r="D551" s="18">
        <v>189970</v>
      </c>
      <c r="E551" s="19"/>
      <c r="F551" s="15">
        <f t="shared" si="8"/>
        <v>-189970</v>
      </c>
    </row>
    <row r="552" spans="1:6" x14ac:dyDescent="0.2">
      <c r="A552" s="91">
        <v>45776</v>
      </c>
      <c r="B552" s="43">
        <v>32112</v>
      </c>
      <c r="C552" s="17" t="s">
        <v>9</v>
      </c>
      <c r="D552" s="18">
        <v>38200</v>
      </c>
      <c r="E552" s="19"/>
      <c r="F552" s="15">
        <f t="shared" si="8"/>
        <v>-38200</v>
      </c>
    </row>
    <row r="553" spans="1:6" x14ac:dyDescent="0.2">
      <c r="A553" s="91">
        <v>45776</v>
      </c>
      <c r="B553" s="43">
        <v>32229</v>
      </c>
      <c r="C553" s="17" t="s">
        <v>9</v>
      </c>
      <c r="D553" s="18">
        <v>170000.04</v>
      </c>
      <c r="E553" s="19"/>
      <c r="F553" s="15">
        <f t="shared" si="8"/>
        <v>-170000.04</v>
      </c>
    </row>
    <row r="554" spans="1:6" x14ac:dyDescent="0.2">
      <c r="A554" s="91">
        <v>45776</v>
      </c>
      <c r="B554" s="43">
        <v>32154</v>
      </c>
      <c r="C554" s="17" t="s">
        <v>9</v>
      </c>
      <c r="D554" s="18">
        <v>229823.4</v>
      </c>
      <c r="E554" s="19"/>
      <c r="F554" s="15">
        <f t="shared" si="8"/>
        <v>-229823.4</v>
      </c>
    </row>
    <row r="555" spans="1:6" x14ac:dyDescent="0.2">
      <c r="A555" s="91">
        <v>45776</v>
      </c>
      <c r="B555" s="43">
        <v>32200</v>
      </c>
      <c r="C555" s="17" t="s">
        <v>9</v>
      </c>
      <c r="D555" s="18">
        <v>389025.34</v>
      </c>
      <c r="E555" s="19"/>
      <c r="F555" s="15">
        <f t="shared" si="8"/>
        <v>-389025.34</v>
      </c>
    </row>
    <row r="556" spans="1:6" x14ac:dyDescent="0.2">
      <c r="A556" s="91">
        <v>45776</v>
      </c>
      <c r="B556" s="43">
        <v>32109</v>
      </c>
      <c r="C556" s="17" t="s">
        <v>9</v>
      </c>
      <c r="D556" s="18">
        <v>427333.22</v>
      </c>
      <c r="E556" s="19"/>
      <c r="F556" s="15">
        <f t="shared" si="8"/>
        <v>-427333.22</v>
      </c>
    </row>
    <row r="557" spans="1:6" x14ac:dyDescent="0.2">
      <c r="A557" s="91">
        <v>45776</v>
      </c>
      <c r="B557" s="43">
        <v>32137</v>
      </c>
      <c r="C557" s="17" t="s">
        <v>9</v>
      </c>
      <c r="D557" s="18">
        <v>481824.2</v>
      </c>
      <c r="E557" s="19"/>
      <c r="F557" s="15">
        <f t="shared" si="8"/>
        <v>-481824.2</v>
      </c>
    </row>
    <row r="558" spans="1:6" x14ac:dyDescent="0.2">
      <c r="A558" s="91">
        <v>45776</v>
      </c>
      <c r="B558" s="43">
        <v>32116</v>
      </c>
      <c r="C558" s="17" t="s">
        <v>9</v>
      </c>
      <c r="D558" s="18">
        <v>909658.79</v>
      </c>
      <c r="E558" s="19"/>
      <c r="F558" s="15">
        <f t="shared" si="8"/>
        <v>-909658.79</v>
      </c>
    </row>
    <row r="559" spans="1:6" x14ac:dyDescent="0.2">
      <c r="A559" s="91">
        <v>45776</v>
      </c>
      <c r="B559" s="43">
        <v>31999</v>
      </c>
      <c r="C559" s="17" t="s">
        <v>9</v>
      </c>
      <c r="D559" s="18">
        <v>2551381.87</v>
      </c>
      <c r="E559" s="19"/>
      <c r="F559" s="15">
        <f t="shared" si="8"/>
        <v>-2551381.87</v>
      </c>
    </row>
    <row r="560" spans="1:6" x14ac:dyDescent="0.2">
      <c r="A560" s="91">
        <v>45776</v>
      </c>
      <c r="B560" s="43">
        <v>32225</v>
      </c>
      <c r="C560" s="17" t="s">
        <v>9</v>
      </c>
      <c r="D560" s="18">
        <v>4372213.4000000004</v>
      </c>
      <c r="E560" s="19"/>
      <c r="F560" s="15">
        <f t="shared" si="8"/>
        <v>-4372213.4000000004</v>
      </c>
    </row>
    <row r="561" spans="1:6" x14ac:dyDescent="0.2">
      <c r="A561" s="91">
        <v>45776</v>
      </c>
      <c r="B561" s="43">
        <v>31862</v>
      </c>
      <c r="C561" s="17" t="s">
        <v>9</v>
      </c>
      <c r="D561" s="18">
        <v>7814961.3499999996</v>
      </c>
      <c r="E561" s="19"/>
      <c r="F561" s="15">
        <f t="shared" si="8"/>
        <v>-7814961.3499999996</v>
      </c>
    </row>
    <row r="562" spans="1:6" x14ac:dyDescent="0.2">
      <c r="A562" s="91">
        <v>45776</v>
      </c>
      <c r="B562" s="43">
        <v>32061</v>
      </c>
      <c r="C562" s="17" t="s">
        <v>9</v>
      </c>
      <c r="D562" s="18">
        <v>9900954.6600000001</v>
      </c>
      <c r="E562" s="19"/>
      <c r="F562" s="15">
        <f t="shared" si="8"/>
        <v>-9900954.6600000001</v>
      </c>
    </row>
    <row r="563" spans="1:6" x14ac:dyDescent="0.2">
      <c r="A563" s="91">
        <v>45777</v>
      </c>
      <c r="B563" s="43">
        <v>32217</v>
      </c>
      <c r="C563" s="17" t="s">
        <v>9</v>
      </c>
      <c r="D563" s="25">
        <v>84700</v>
      </c>
      <c r="E563" s="19"/>
      <c r="F563" s="15">
        <f t="shared" si="8"/>
        <v>-84700</v>
      </c>
    </row>
    <row r="564" spans="1:6" x14ac:dyDescent="0.2">
      <c r="A564" s="91">
        <v>45777</v>
      </c>
      <c r="B564" s="43">
        <v>32042</v>
      </c>
      <c r="C564" s="17" t="s">
        <v>9</v>
      </c>
      <c r="D564" s="25">
        <v>270947.88</v>
      </c>
      <c r="E564" s="19"/>
      <c r="F564" s="15">
        <f t="shared" si="8"/>
        <v>-270947.88</v>
      </c>
    </row>
    <row r="565" spans="1:6" x14ac:dyDescent="0.2">
      <c r="A565" s="91">
        <v>45777</v>
      </c>
      <c r="B565" s="43">
        <v>32000</v>
      </c>
      <c r="C565" s="17" t="s">
        <v>9</v>
      </c>
      <c r="D565" s="25">
        <v>965314.63</v>
      </c>
      <c r="E565" s="19"/>
      <c r="F565" s="15">
        <f t="shared" si="8"/>
        <v>-965314.63</v>
      </c>
    </row>
    <row r="566" spans="1:6" x14ac:dyDescent="0.2">
      <c r="A566" s="91">
        <v>45777</v>
      </c>
      <c r="B566" s="43">
        <v>32168</v>
      </c>
      <c r="C566" s="17" t="s">
        <v>9</v>
      </c>
      <c r="D566" s="25">
        <v>1025400</v>
      </c>
      <c r="E566" s="19"/>
      <c r="F566" s="15">
        <f t="shared" si="8"/>
        <v>-1025400</v>
      </c>
    </row>
    <row r="567" spans="1:6" x14ac:dyDescent="0.2">
      <c r="A567" s="91">
        <v>45777</v>
      </c>
      <c r="B567" s="43">
        <v>32038</v>
      </c>
      <c r="C567" s="17" t="s">
        <v>9</v>
      </c>
      <c r="D567" s="25">
        <v>1137933.8799999999</v>
      </c>
      <c r="E567" s="19"/>
      <c r="F567" s="15">
        <f t="shared" si="8"/>
        <v>-1137933.8799999999</v>
      </c>
    </row>
    <row r="568" spans="1:6" x14ac:dyDescent="0.2">
      <c r="A568" s="91">
        <v>45777</v>
      </c>
      <c r="B568" s="46">
        <v>32045</v>
      </c>
      <c r="C568" s="47" t="s">
        <v>9</v>
      </c>
      <c r="D568" s="52">
        <v>1303617</v>
      </c>
      <c r="E568" s="49"/>
      <c r="F568" s="15">
        <f t="shared" si="8"/>
        <v>-1303617</v>
      </c>
    </row>
    <row r="569" spans="1:6" x14ac:dyDescent="0.2">
      <c r="A569" s="91">
        <v>45777</v>
      </c>
      <c r="B569" s="44">
        <v>32053</v>
      </c>
      <c r="C569" s="22" t="s">
        <v>9</v>
      </c>
      <c r="D569" s="53">
        <v>2005260</v>
      </c>
      <c r="E569" s="24"/>
      <c r="F569" s="15">
        <f t="shared" si="8"/>
        <v>-2005260</v>
      </c>
    </row>
    <row r="570" spans="1:6" x14ac:dyDescent="0.2">
      <c r="A570" s="91">
        <v>45777</v>
      </c>
      <c r="B570" s="43">
        <v>32170</v>
      </c>
      <c r="C570" s="17" t="s">
        <v>9</v>
      </c>
      <c r="D570" s="25">
        <v>2470734</v>
      </c>
      <c r="E570" s="19"/>
      <c r="F570" s="15">
        <f t="shared" si="8"/>
        <v>-2470734</v>
      </c>
    </row>
    <row r="571" spans="1:6" x14ac:dyDescent="0.2">
      <c r="A571" s="91">
        <v>45777</v>
      </c>
      <c r="B571" s="43">
        <v>32056</v>
      </c>
      <c r="C571" s="17" t="s">
        <v>9</v>
      </c>
      <c r="D571" s="25">
        <v>2717511.97</v>
      </c>
      <c r="E571" s="19"/>
      <c r="F571" s="15">
        <f t="shared" si="8"/>
        <v>-2717511.97</v>
      </c>
    </row>
    <row r="572" spans="1:6" x14ac:dyDescent="0.2">
      <c r="A572" s="91">
        <v>45777</v>
      </c>
      <c r="B572" s="43">
        <v>31927</v>
      </c>
      <c r="C572" s="17" t="s">
        <v>9</v>
      </c>
      <c r="D572" s="25">
        <v>6753304.3300000001</v>
      </c>
      <c r="E572" s="19"/>
      <c r="F572" s="15">
        <f t="shared" si="8"/>
        <v>-6753304.3300000001</v>
      </c>
    </row>
    <row r="573" spans="1:6" x14ac:dyDescent="0.2">
      <c r="A573" s="91">
        <v>45782</v>
      </c>
      <c r="B573" s="43">
        <v>32206</v>
      </c>
      <c r="C573" s="17" t="s">
        <v>9</v>
      </c>
      <c r="D573" s="18">
        <v>274849</v>
      </c>
      <c r="E573" s="19"/>
      <c r="F573" s="15">
        <f t="shared" si="8"/>
        <v>-274849</v>
      </c>
    </row>
    <row r="574" spans="1:6" x14ac:dyDescent="0.2">
      <c r="A574" s="91">
        <v>45782</v>
      </c>
      <c r="B574" s="43">
        <v>32156</v>
      </c>
      <c r="C574" s="17" t="s">
        <v>9</v>
      </c>
      <c r="D574" s="18">
        <v>844995.62</v>
      </c>
      <c r="E574" s="19"/>
      <c r="F574" s="15">
        <f t="shared" si="8"/>
        <v>-844995.62</v>
      </c>
    </row>
    <row r="575" spans="1:6" x14ac:dyDescent="0.2">
      <c r="A575" s="91">
        <v>45782</v>
      </c>
      <c r="B575" s="43">
        <v>32233</v>
      </c>
      <c r="C575" s="17" t="s">
        <v>9</v>
      </c>
      <c r="D575" s="18">
        <v>1845843.4</v>
      </c>
      <c r="E575" s="19"/>
      <c r="F575" s="15">
        <f t="shared" si="8"/>
        <v>-1845843.4</v>
      </c>
    </row>
    <row r="576" spans="1:6" x14ac:dyDescent="0.2">
      <c r="A576" s="91">
        <v>45782</v>
      </c>
      <c r="B576" s="43">
        <v>32184</v>
      </c>
      <c r="C576" s="17" t="s">
        <v>9</v>
      </c>
      <c r="D576" s="18">
        <v>3164326.72</v>
      </c>
      <c r="E576" s="19"/>
      <c r="F576" s="15">
        <f t="shared" si="8"/>
        <v>-3164326.72</v>
      </c>
    </row>
    <row r="577" spans="1:6" x14ac:dyDescent="0.2">
      <c r="A577" s="91">
        <v>45782</v>
      </c>
      <c r="B577" s="43">
        <v>32239</v>
      </c>
      <c r="C577" s="17" t="s">
        <v>9</v>
      </c>
      <c r="D577" s="18">
        <v>3268318</v>
      </c>
      <c r="E577" s="19"/>
      <c r="F577" s="15">
        <f t="shared" si="8"/>
        <v>-3268318</v>
      </c>
    </row>
    <row r="578" spans="1:6" x14ac:dyDescent="0.2">
      <c r="A578" s="91">
        <v>45782</v>
      </c>
      <c r="B578" s="43">
        <v>32207</v>
      </c>
      <c r="C578" s="17" t="s">
        <v>9</v>
      </c>
      <c r="D578" s="18">
        <v>3763269.99</v>
      </c>
      <c r="E578" s="19"/>
      <c r="F578" s="15">
        <f t="shared" si="8"/>
        <v>-3763269.99</v>
      </c>
    </row>
    <row r="579" spans="1:6" x14ac:dyDescent="0.2">
      <c r="A579" s="91">
        <v>45782</v>
      </c>
      <c r="B579" s="43">
        <v>32220</v>
      </c>
      <c r="C579" s="17" t="s">
        <v>9</v>
      </c>
      <c r="D579" s="18">
        <v>6000000</v>
      </c>
      <c r="E579" s="19"/>
      <c r="F579" s="15">
        <f t="shared" ref="F579:F642" si="9">+E579-D579</f>
        <v>-6000000</v>
      </c>
    </row>
    <row r="580" spans="1:6" x14ac:dyDescent="0.2">
      <c r="A580" s="91">
        <v>45782</v>
      </c>
      <c r="B580" s="43">
        <v>32187</v>
      </c>
      <c r="C580" s="17" t="s">
        <v>9</v>
      </c>
      <c r="D580" s="18">
        <v>6571098.7800000003</v>
      </c>
      <c r="E580" s="19"/>
      <c r="F580" s="15">
        <f t="shared" si="9"/>
        <v>-6571098.7800000003</v>
      </c>
    </row>
    <row r="581" spans="1:6" x14ac:dyDescent="0.2">
      <c r="A581" s="91">
        <v>45782</v>
      </c>
      <c r="B581" s="43">
        <v>32089</v>
      </c>
      <c r="C581" s="17" t="s">
        <v>9</v>
      </c>
      <c r="D581" s="18">
        <v>6600000</v>
      </c>
      <c r="E581" s="19"/>
      <c r="F581" s="15">
        <f t="shared" si="9"/>
        <v>-6600000</v>
      </c>
    </row>
    <row r="582" spans="1:6" x14ac:dyDescent="0.2">
      <c r="A582" s="91">
        <v>45783</v>
      </c>
      <c r="B582" s="43">
        <v>32197</v>
      </c>
      <c r="C582" s="17" t="s">
        <v>9</v>
      </c>
      <c r="D582" s="18">
        <v>924202.39</v>
      </c>
      <c r="E582" s="19"/>
      <c r="F582" s="15">
        <f t="shared" si="9"/>
        <v>-924202.39</v>
      </c>
    </row>
    <row r="583" spans="1:6" x14ac:dyDescent="0.2">
      <c r="A583" s="91">
        <v>45783</v>
      </c>
      <c r="B583" s="43">
        <v>32189</v>
      </c>
      <c r="C583" s="17" t="s">
        <v>9</v>
      </c>
      <c r="D583" s="18">
        <v>3268318.8</v>
      </c>
      <c r="E583" s="19"/>
      <c r="F583" s="15">
        <f t="shared" si="9"/>
        <v>-3268318.8</v>
      </c>
    </row>
    <row r="584" spans="1:6" x14ac:dyDescent="0.2">
      <c r="A584" s="91">
        <v>45784</v>
      </c>
      <c r="B584" s="43">
        <v>32136</v>
      </c>
      <c r="C584" s="17" t="s">
        <v>9</v>
      </c>
      <c r="D584" s="18">
        <v>154898.9</v>
      </c>
      <c r="E584" s="19"/>
      <c r="F584" s="15">
        <f t="shared" si="9"/>
        <v>-154898.9</v>
      </c>
    </row>
    <row r="585" spans="1:6" x14ac:dyDescent="0.2">
      <c r="A585" s="91">
        <v>45784</v>
      </c>
      <c r="B585" s="43">
        <v>32135</v>
      </c>
      <c r="C585" s="17" t="s">
        <v>9</v>
      </c>
      <c r="D585" s="18">
        <v>420188.92</v>
      </c>
      <c r="E585" s="19"/>
      <c r="F585" s="15">
        <f t="shared" si="9"/>
        <v>-420188.92</v>
      </c>
    </row>
    <row r="586" spans="1:6" x14ac:dyDescent="0.2">
      <c r="A586" s="91">
        <v>45784</v>
      </c>
      <c r="B586" s="43">
        <v>32005</v>
      </c>
      <c r="C586" s="17" t="s">
        <v>9</v>
      </c>
      <c r="D586" s="18">
        <v>5967444</v>
      </c>
      <c r="E586" s="19"/>
      <c r="F586" s="15">
        <f t="shared" si="9"/>
        <v>-5967444</v>
      </c>
    </row>
    <row r="587" spans="1:6" x14ac:dyDescent="0.2">
      <c r="A587" s="91">
        <v>45785</v>
      </c>
      <c r="B587" s="43">
        <v>32087</v>
      </c>
      <c r="C587" s="17" t="s">
        <v>9</v>
      </c>
      <c r="D587" s="18">
        <v>309674.44</v>
      </c>
      <c r="E587" s="19"/>
      <c r="F587" s="15">
        <f t="shared" si="9"/>
        <v>-309674.44</v>
      </c>
    </row>
    <row r="588" spans="1:6" x14ac:dyDescent="0.2">
      <c r="A588" s="91">
        <v>45786</v>
      </c>
      <c r="B588" s="43">
        <v>32209</v>
      </c>
      <c r="C588" s="17" t="s">
        <v>9</v>
      </c>
      <c r="D588" s="18">
        <v>80970.02</v>
      </c>
      <c r="E588" s="19"/>
      <c r="F588" s="15">
        <f t="shared" si="9"/>
        <v>-80970.02</v>
      </c>
    </row>
    <row r="589" spans="1:6" x14ac:dyDescent="0.2">
      <c r="A589" s="91">
        <v>45789</v>
      </c>
      <c r="B589" s="43">
        <v>32211</v>
      </c>
      <c r="C589" s="17" t="s">
        <v>9</v>
      </c>
      <c r="D589" s="18">
        <v>426359.75</v>
      </c>
      <c r="E589" s="19"/>
      <c r="F589" s="15">
        <f t="shared" si="9"/>
        <v>-426359.75</v>
      </c>
    </row>
    <row r="590" spans="1:6" x14ac:dyDescent="0.2">
      <c r="A590" s="91">
        <v>45791</v>
      </c>
      <c r="B590" s="43">
        <v>32122</v>
      </c>
      <c r="C590" s="17" t="s">
        <v>9</v>
      </c>
      <c r="D590" s="18">
        <v>36546.839999999997</v>
      </c>
      <c r="E590" s="19"/>
      <c r="F590" s="15">
        <f t="shared" si="9"/>
        <v>-36546.839999999997</v>
      </c>
    </row>
    <row r="591" spans="1:6" x14ac:dyDescent="0.2">
      <c r="A591" s="91">
        <v>45793</v>
      </c>
      <c r="B591" s="43">
        <v>32216</v>
      </c>
      <c r="C591" s="17" t="s">
        <v>9</v>
      </c>
      <c r="D591" s="18">
        <v>353646.16</v>
      </c>
      <c r="E591" s="19"/>
      <c r="F591" s="15">
        <f t="shared" si="9"/>
        <v>-353646.16</v>
      </c>
    </row>
    <row r="592" spans="1:6" x14ac:dyDescent="0.2">
      <c r="A592" s="91">
        <v>45793</v>
      </c>
      <c r="B592" s="43">
        <v>32005</v>
      </c>
      <c r="C592" s="17" t="s">
        <v>9</v>
      </c>
      <c r="D592" s="18">
        <v>5967444</v>
      </c>
      <c r="E592" s="19"/>
      <c r="F592" s="15">
        <f t="shared" si="9"/>
        <v>-5967444</v>
      </c>
    </row>
    <row r="593" spans="1:6" x14ac:dyDescent="0.2">
      <c r="A593" s="91">
        <v>45796</v>
      </c>
      <c r="B593" s="46">
        <v>31975</v>
      </c>
      <c r="C593" s="47" t="s">
        <v>9</v>
      </c>
      <c r="D593" s="48">
        <v>2340231.5699999998</v>
      </c>
      <c r="E593" s="49"/>
      <c r="F593" s="15">
        <f t="shared" si="9"/>
        <v>-2340231.5699999998</v>
      </c>
    </row>
    <row r="594" spans="1:6" x14ac:dyDescent="0.2">
      <c r="A594" s="91">
        <v>45798</v>
      </c>
      <c r="B594" s="44">
        <v>32173</v>
      </c>
      <c r="C594" s="22" t="s">
        <v>9</v>
      </c>
      <c r="D594" s="23">
        <v>339875</v>
      </c>
      <c r="E594" s="24"/>
      <c r="F594" s="15">
        <f t="shared" si="9"/>
        <v>-339875</v>
      </c>
    </row>
    <row r="595" spans="1:6" x14ac:dyDescent="0.2">
      <c r="A595" s="91">
        <v>45798</v>
      </c>
      <c r="B595" s="43">
        <v>32227</v>
      </c>
      <c r="C595" s="17" t="s">
        <v>9</v>
      </c>
      <c r="D595" s="18">
        <v>1534016.72</v>
      </c>
      <c r="E595" s="19"/>
      <c r="F595" s="15">
        <f t="shared" si="9"/>
        <v>-1534016.72</v>
      </c>
    </row>
    <row r="596" spans="1:6" x14ac:dyDescent="0.2">
      <c r="A596" s="91">
        <v>45800</v>
      </c>
      <c r="B596" s="43">
        <v>32002</v>
      </c>
      <c r="C596" s="17" t="s">
        <v>9</v>
      </c>
      <c r="D596" s="18">
        <v>6946163.8099999996</v>
      </c>
      <c r="E596" s="19"/>
      <c r="F596" s="15">
        <f t="shared" si="9"/>
        <v>-6946163.8099999996</v>
      </c>
    </row>
    <row r="597" spans="1:6" x14ac:dyDescent="0.2">
      <c r="A597" s="91">
        <v>45803</v>
      </c>
      <c r="B597" s="43">
        <v>32345</v>
      </c>
      <c r="C597" s="17" t="s">
        <v>9</v>
      </c>
      <c r="D597" s="18">
        <v>344635.67</v>
      </c>
      <c r="E597" s="19"/>
      <c r="F597" s="15">
        <f t="shared" si="9"/>
        <v>-344635.67</v>
      </c>
    </row>
    <row r="598" spans="1:6" x14ac:dyDescent="0.2">
      <c r="A598" s="91">
        <v>45804</v>
      </c>
      <c r="B598" s="43">
        <v>32210</v>
      </c>
      <c r="C598" s="17" t="s">
        <v>9</v>
      </c>
      <c r="D598" s="18">
        <v>108443.4</v>
      </c>
      <c r="E598" s="19"/>
      <c r="F598" s="15">
        <f t="shared" si="9"/>
        <v>-108443.4</v>
      </c>
    </row>
    <row r="599" spans="1:6" x14ac:dyDescent="0.2">
      <c r="A599" s="91">
        <v>45804</v>
      </c>
      <c r="B599" s="43">
        <v>32254</v>
      </c>
      <c r="C599" s="17" t="s">
        <v>9</v>
      </c>
      <c r="D599" s="18">
        <v>213969.14</v>
      </c>
      <c r="E599" s="19"/>
      <c r="F599" s="15">
        <f t="shared" si="9"/>
        <v>-213969.14</v>
      </c>
    </row>
    <row r="600" spans="1:6" x14ac:dyDescent="0.2">
      <c r="A600" s="91">
        <v>45804</v>
      </c>
      <c r="B600" s="43">
        <v>82182</v>
      </c>
      <c r="C600" s="17" t="s">
        <v>9</v>
      </c>
      <c r="D600" s="18">
        <v>280570.21000000002</v>
      </c>
      <c r="E600" s="19"/>
      <c r="F600" s="15">
        <f t="shared" si="9"/>
        <v>-280570.21000000002</v>
      </c>
    </row>
    <row r="601" spans="1:6" x14ac:dyDescent="0.2">
      <c r="A601" s="91">
        <v>45804</v>
      </c>
      <c r="B601" s="43">
        <v>32228</v>
      </c>
      <c r="C601" s="17" t="s">
        <v>9</v>
      </c>
      <c r="D601" s="18">
        <v>338509.75</v>
      </c>
      <c r="E601" s="19"/>
      <c r="F601" s="15">
        <f t="shared" si="9"/>
        <v>-338509.75</v>
      </c>
    </row>
    <row r="602" spans="1:6" x14ac:dyDescent="0.2">
      <c r="A602" s="91">
        <v>45804</v>
      </c>
      <c r="B602" s="43">
        <v>32275</v>
      </c>
      <c r="C602" s="17" t="s">
        <v>9</v>
      </c>
      <c r="D602" s="18">
        <v>345000</v>
      </c>
      <c r="E602" s="19"/>
      <c r="F602" s="15">
        <f t="shared" si="9"/>
        <v>-345000</v>
      </c>
    </row>
    <row r="603" spans="1:6" x14ac:dyDescent="0.2">
      <c r="A603" s="91">
        <v>45804</v>
      </c>
      <c r="B603" s="43">
        <v>32192</v>
      </c>
      <c r="C603" s="17" t="s">
        <v>9</v>
      </c>
      <c r="D603" s="18">
        <v>982898</v>
      </c>
      <c r="E603" s="19"/>
      <c r="F603" s="15">
        <f t="shared" si="9"/>
        <v>-982898</v>
      </c>
    </row>
    <row r="604" spans="1:6" x14ac:dyDescent="0.2">
      <c r="A604" s="91">
        <v>45804</v>
      </c>
      <c r="B604" s="43">
        <v>32238</v>
      </c>
      <c r="C604" s="17" t="s">
        <v>9</v>
      </c>
      <c r="D604" s="18">
        <v>2652200</v>
      </c>
      <c r="E604" s="19"/>
      <c r="F604" s="15">
        <f t="shared" si="9"/>
        <v>-2652200</v>
      </c>
    </row>
    <row r="605" spans="1:6" x14ac:dyDescent="0.2">
      <c r="A605" s="91">
        <v>45805</v>
      </c>
      <c r="B605" s="43">
        <v>32274</v>
      </c>
      <c r="C605" s="17" t="s">
        <v>9</v>
      </c>
      <c r="D605" s="18">
        <v>306629.53000000003</v>
      </c>
      <c r="E605" s="19"/>
      <c r="F605" s="15">
        <f t="shared" si="9"/>
        <v>-306629.53000000003</v>
      </c>
    </row>
    <row r="606" spans="1:6" x14ac:dyDescent="0.2">
      <c r="A606" s="91">
        <v>45805</v>
      </c>
      <c r="B606" s="43">
        <v>32281</v>
      </c>
      <c r="C606" s="17" t="s">
        <v>9</v>
      </c>
      <c r="D606" s="18">
        <v>4604583.4000000004</v>
      </c>
      <c r="E606" s="19"/>
      <c r="F606" s="15">
        <f t="shared" si="9"/>
        <v>-4604583.4000000004</v>
      </c>
    </row>
    <row r="607" spans="1:6" x14ac:dyDescent="0.2">
      <c r="A607" s="91">
        <v>45806</v>
      </c>
      <c r="B607" s="43">
        <v>32132</v>
      </c>
      <c r="C607" s="17" t="s">
        <v>9</v>
      </c>
      <c r="D607" s="18">
        <v>280570.21000000002</v>
      </c>
      <c r="E607" s="19"/>
      <c r="F607" s="15">
        <f t="shared" si="9"/>
        <v>-280570.21000000002</v>
      </c>
    </row>
    <row r="608" spans="1:6" x14ac:dyDescent="0.2">
      <c r="A608" s="91">
        <v>45806</v>
      </c>
      <c r="B608" s="43">
        <v>32344</v>
      </c>
      <c r="C608" s="17" t="s">
        <v>9</v>
      </c>
      <c r="D608" s="18">
        <v>524943.4</v>
      </c>
      <c r="E608" s="19"/>
      <c r="F608" s="15">
        <f t="shared" si="9"/>
        <v>-524943.4</v>
      </c>
    </row>
    <row r="609" spans="1:6" x14ac:dyDescent="0.2">
      <c r="A609" s="91">
        <v>45806</v>
      </c>
      <c r="B609" s="43">
        <v>32237</v>
      </c>
      <c r="C609" s="17" t="s">
        <v>9</v>
      </c>
      <c r="D609" s="18">
        <v>2501200</v>
      </c>
      <c r="E609" s="19"/>
      <c r="F609" s="15">
        <f t="shared" si="9"/>
        <v>-2501200</v>
      </c>
    </row>
    <row r="610" spans="1:6" x14ac:dyDescent="0.2">
      <c r="A610" s="91">
        <v>45806</v>
      </c>
      <c r="B610" s="43">
        <v>32099</v>
      </c>
      <c r="C610" s="17" t="s">
        <v>9</v>
      </c>
      <c r="D610" s="18">
        <v>2748674.87</v>
      </c>
      <c r="E610" s="19"/>
      <c r="F610" s="15">
        <f t="shared" si="9"/>
        <v>-2748674.87</v>
      </c>
    </row>
    <row r="611" spans="1:6" x14ac:dyDescent="0.2">
      <c r="A611" s="91">
        <v>45806</v>
      </c>
      <c r="B611" s="43">
        <v>32062</v>
      </c>
      <c r="C611" s="17" t="s">
        <v>9</v>
      </c>
      <c r="D611" s="18">
        <v>9900955.2200000007</v>
      </c>
      <c r="E611" s="19"/>
      <c r="F611" s="15">
        <f t="shared" si="9"/>
        <v>-9900955.2200000007</v>
      </c>
    </row>
    <row r="612" spans="1:6" x14ac:dyDescent="0.2">
      <c r="A612" s="91">
        <v>45807</v>
      </c>
      <c r="B612" s="43">
        <v>32310</v>
      </c>
      <c r="C612" s="17" t="s">
        <v>9</v>
      </c>
      <c r="D612" s="18">
        <v>85496.4</v>
      </c>
      <c r="E612" s="19"/>
      <c r="F612" s="15">
        <f t="shared" si="9"/>
        <v>-85496.4</v>
      </c>
    </row>
    <row r="613" spans="1:6" x14ac:dyDescent="0.2">
      <c r="A613" s="91">
        <v>45807</v>
      </c>
      <c r="B613" s="43">
        <v>32215</v>
      </c>
      <c r="C613" s="17" t="s">
        <v>9</v>
      </c>
      <c r="D613" s="18">
        <v>206850</v>
      </c>
      <c r="E613" s="19"/>
      <c r="F613" s="15">
        <f t="shared" si="9"/>
        <v>-206850</v>
      </c>
    </row>
    <row r="614" spans="1:6" x14ac:dyDescent="0.2">
      <c r="A614" s="91">
        <v>45807</v>
      </c>
      <c r="B614" s="43">
        <v>32182</v>
      </c>
      <c r="C614" s="17" t="s">
        <v>9</v>
      </c>
      <c r="D614" s="18">
        <v>223850</v>
      </c>
      <c r="E614" s="19"/>
      <c r="F614" s="15">
        <f t="shared" si="9"/>
        <v>-223850</v>
      </c>
    </row>
    <row r="615" spans="1:6" x14ac:dyDescent="0.2">
      <c r="A615" s="91">
        <v>45807</v>
      </c>
      <c r="B615" s="43">
        <v>32203</v>
      </c>
      <c r="C615" s="17" t="s">
        <v>9</v>
      </c>
      <c r="D615" s="18">
        <v>333880.7</v>
      </c>
      <c r="E615" s="19"/>
      <c r="F615" s="15">
        <f t="shared" si="9"/>
        <v>-333880.7</v>
      </c>
    </row>
    <row r="616" spans="1:6" x14ac:dyDescent="0.2">
      <c r="A616" s="91">
        <v>45807</v>
      </c>
      <c r="B616" s="43">
        <v>32331</v>
      </c>
      <c r="C616" s="17" t="s">
        <v>9</v>
      </c>
      <c r="D616" s="18">
        <v>724747.65</v>
      </c>
      <c r="E616" s="19"/>
      <c r="F616" s="15">
        <f t="shared" si="9"/>
        <v>-724747.65</v>
      </c>
    </row>
    <row r="617" spans="1:6" x14ac:dyDescent="0.2">
      <c r="A617" s="91">
        <v>45807</v>
      </c>
      <c r="B617" s="43">
        <v>32169</v>
      </c>
      <c r="C617" s="17" t="s">
        <v>9</v>
      </c>
      <c r="D617" s="25">
        <v>983804.76</v>
      </c>
      <c r="E617" s="19"/>
      <c r="F617" s="15">
        <f t="shared" si="9"/>
        <v>-983804.76</v>
      </c>
    </row>
    <row r="618" spans="1:6" x14ac:dyDescent="0.2">
      <c r="A618" s="91">
        <v>45807</v>
      </c>
      <c r="B618" s="43">
        <v>32167</v>
      </c>
      <c r="C618" s="17" t="s">
        <v>9</v>
      </c>
      <c r="D618" s="25">
        <v>1056037.1499999999</v>
      </c>
      <c r="E618" s="19"/>
      <c r="F618" s="15">
        <f t="shared" si="9"/>
        <v>-1056037.1499999999</v>
      </c>
    </row>
    <row r="619" spans="1:6" x14ac:dyDescent="0.2">
      <c r="A619" s="91">
        <v>45807</v>
      </c>
      <c r="B619" s="43">
        <v>32218</v>
      </c>
      <c r="C619" s="17" t="s">
        <v>9</v>
      </c>
      <c r="D619" s="25">
        <v>1081847</v>
      </c>
      <c r="E619" s="19"/>
      <c r="F619" s="15">
        <f t="shared" si="9"/>
        <v>-1081847</v>
      </c>
    </row>
    <row r="620" spans="1:6" x14ac:dyDescent="0.2">
      <c r="A620" s="91">
        <v>45807</v>
      </c>
      <c r="B620" s="46">
        <v>32131</v>
      </c>
      <c r="C620" s="47" t="s">
        <v>9</v>
      </c>
      <c r="D620" s="52">
        <v>1324922.27</v>
      </c>
      <c r="E620" s="49"/>
      <c r="F620" s="15">
        <f t="shared" si="9"/>
        <v>-1324922.27</v>
      </c>
    </row>
    <row r="621" spans="1:6" x14ac:dyDescent="0.2">
      <c r="A621" s="91">
        <v>45807</v>
      </c>
      <c r="B621" s="44">
        <v>32236</v>
      </c>
      <c r="C621" s="22" t="s">
        <v>9</v>
      </c>
      <c r="D621" s="53">
        <v>3136277.16</v>
      </c>
      <c r="E621" s="24"/>
      <c r="F621" s="15">
        <f t="shared" si="9"/>
        <v>-3136277.16</v>
      </c>
    </row>
    <row r="622" spans="1:6" x14ac:dyDescent="0.2">
      <c r="A622" s="91">
        <v>45807</v>
      </c>
      <c r="B622" s="43">
        <v>32180</v>
      </c>
      <c r="C622" s="17" t="s">
        <v>9</v>
      </c>
      <c r="D622" s="25">
        <v>3619510</v>
      </c>
      <c r="E622" s="19"/>
      <c r="F622" s="15">
        <f t="shared" si="9"/>
        <v>-3619510</v>
      </c>
    </row>
    <row r="623" spans="1:6" x14ac:dyDescent="0.2">
      <c r="A623" s="91">
        <v>45807</v>
      </c>
      <c r="B623" s="43">
        <v>32287</v>
      </c>
      <c r="C623" s="17" t="s">
        <v>9</v>
      </c>
      <c r="D623" s="25">
        <v>5623838</v>
      </c>
      <c r="E623" s="19"/>
      <c r="F623" s="15">
        <f t="shared" si="9"/>
        <v>-5623838</v>
      </c>
    </row>
    <row r="624" spans="1:6" x14ac:dyDescent="0.2">
      <c r="A624" s="91">
        <v>45807</v>
      </c>
      <c r="B624" s="43">
        <v>32090</v>
      </c>
      <c r="C624" s="17" t="s">
        <v>9</v>
      </c>
      <c r="D624" s="25">
        <v>6647287.9000000004</v>
      </c>
      <c r="E624" s="19"/>
      <c r="F624" s="15">
        <f t="shared" si="9"/>
        <v>-6647287.9000000004</v>
      </c>
    </row>
    <row r="625" spans="1:6" x14ac:dyDescent="0.2">
      <c r="A625" s="91">
        <v>45807</v>
      </c>
      <c r="B625" s="43">
        <v>32176</v>
      </c>
      <c r="C625" s="17" t="s">
        <v>9</v>
      </c>
      <c r="D625" s="25">
        <v>7121419</v>
      </c>
      <c r="E625" s="19"/>
      <c r="F625" s="15">
        <f t="shared" si="9"/>
        <v>-7121419</v>
      </c>
    </row>
    <row r="626" spans="1:6" x14ac:dyDescent="0.2">
      <c r="A626" s="91">
        <v>45810</v>
      </c>
      <c r="B626" s="43">
        <v>32276</v>
      </c>
      <c r="C626" s="17" t="s">
        <v>9</v>
      </c>
      <c r="D626" s="18">
        <v>113915.8</v>
      </c>
      <c r="E626" s="19"/>
      <c r="F626" s="15">
        <f t="shared" si="9"/>
        <v>-113915.8</v>
      </c>
    </row>
    <row r="627" spans="1:6" x14ac:dyDescent="0.2">
      <c r="A627" s="91">
        <v>45810</v>
      </c>
      <c r="B627" s="43">
        <v>32297</v>
      </c>
      <c r="C627" s="17" t="s">
        <v>9</v>
      </c>
      <c r="D627" s="18">
        <v>326849.59999999998</v>
      </c>
      <c r="E627" s="19"/>
      <c r="F627" s="15">
        <f t="shared" si="9"/>
        <v>-326849.59999999998</v>
      </c>
    </row>
    <row r="628" spans="1:6" x14ac:dyDescent="0.2">
      <c r="A628" s="91">
        <v>45810</v>
      </c>
      <c r="B628" s="43">
        <v>32235</v>
      </c>
      <c r="C628" s="17" t="s">
        <v>9</v>
      </c>
      <c r="D628" s="18">
        <v>1050609</v>
      </c>
      <c r="E628" s="19"/>
      <c r="F628" s="15">
        <f t="shared" si="9"/>
        <v>-1050609</v>
      </c>
    </row>
    <row r="629" spans="1:6" x14ac:dyDescent="0.2">
      <c r="A629" s="91">
        <v>45810</v>
      </c>
      <c r="B629" s="43">
        <v>32162</v>
      </c>
      <c r="C629" s="17" t="s">
        <v>9</v>
      </c>
      <c r="D629" s="18">
        <v>2835735.28</v>
      </c>
      <c r="E629" s="19"/>
      <c r="F629" s="15">
        <f t="shared" si="9"/>
        <v>-2835735.28</v>
      </c>
    </row>
    <row r="630" spans="1:6" x14ac:dyDescent="0.2">
      <c r="A630" s="91">
        <v>45810</v>
      </c>
      <c r="B630" s="43">
        <v>32295</v>
      </c>
      <c r="C630" s="17" t="s">
        <v>9</v>
      </c>
      <c r="D630" s="18">
        <v>3268318</v>
      </c>
      <c r="E630" s="19"/>
      <c r="F630" s="15">
        <f t="shared" si="9"/>
        <v>-3268318</v>
      </c>
    </row>
    <row r="631" spans="1:6" x14ac:dyDescent="0.2">
      <c r="A631" s="91">
        <v>45810</v>
      </c>
      <c r="B631" s="43">
        <v>32240</v>
      </c>
      <c r="C631" s="17" t="s">
        <v>9</v>
      </c>
      <c r="D631" s="18">
        <v>3268318.8</v>
      </c>
      <c r="E631" s="19"/>
      <c r="F631" s="15">
        <f t="shared" si="9"/>
        <v>-3268318.8</v>
      </c>
    </row>
    <row r="632" spans="1:6" x14ac:dyDescent="0.2">
      <c r="A632" s="91">
        <v>45810</v>
      </c>
      <c r="B632" s="43">
        <v>32293</v>
      </c>
      <c r="C632" s="17" t="s">
        <v>9</v>
      </c>
      <c r="D632" s="18">
        <v>6000000</v>
      </c>
      <c r="E632" s="19"/>
      <c r="F632" s="15">
        <f t="shared" si="9"/>
        <v>-6000000</v>
      </c>
    </row>
    <row r="633" spans="1:6" x14ac:dyDescent="0.2">
      <c r="A633" s="91">
        <v>45810</v>
      </c>
      <c r="B633" s="43">
        <v>32289</v>
      </c>
      <c r="C633" s="17" t="s">
        <v>9</v>
      </c>
      <c r="D633" s="18">
        <v>6125972</v>
      </c>
      <c r="E633" s="19"/>
      <c r="F633" s="15">
        <f t="shared" si="9"/>
        <v>-6125972</v>
      </c>
    </row>
    <row r="634" spans="1:6" x14ac:dyDescent="0.2">
      <c r="A634" s="91">
        <v>45810</v>
      </c>
      <c r="B634" s="43">
        <v>32221</v>
      </c>
      <c r="C634" s="17" t="s">
        <v>9</v>
      </c>
      <c r="D634" s="18">
        <v>6784783.8600000003</v>
      </c>
      <c r="E634" s="19"/>
      <c r="F634" s="15">
        <f t="shared" si="9"/>
        <v>-6784783.8600000003</v>
      </c>
    </row>
    <row r="635" spans="1:6" x14ac:dyDescent="0.2">
      <c r="A635" s="91">
        <v>45810</v>
      </c>
      <c r="B635" s="43">
        <v>32174</v>
      </c>
      <c r="C635" s="17" t="s">
        <v>9</v>
      </c>
      <c r="D635" s="18">
        <v>10139336</v>
      </c>
      <c r="E635" s="19"/>
      <c r="F635" s="15">
        <f t="shared" si="9"/>
        <v>-10139336</v>
      </c>
    </row>
    <row r="636" spans="1:6" x14ac:dyDescent="0.2">
      <c r="A636" s="91">
        <v>45811</v>
      </c>
      <c r="B636" s="43">
        <v>32264</v>
      </c>
      <c r="C636" s="17" t="s">
        <v>9</v>
      </c>
      <c r="D636" s="18">
        <v>8364</v>
      </c>
      <c r="E636" s="19"/>
      <c r="F636" s="15">
        <f t="shared" si="9"/>
        <v>-8364</v>
      </c>
    </row>
    <row r="637" spans="1:6" x14ac:dyDescent="0.2">
      <c r="A637" s="91">
        <v>45811</v>
      </c>
      <c r="B637" s="43">
        <v>32317</v>
      </c>
      <c r="C637" s="17" t="s">
        <v>9</v>
      </c>
      <c r="D637" s="18">
        <v>152654.28</v>
      </c>
      <c r="E637" s="19"/>
      <c r="F637" s="15">
        <f t="shared" si="9"/>
        <v>-152654.28</v>
      </c>
    </row>
    <row r="638" spans="1:6" x14ac:dyDescent="0.2">
      <c r="A638" s="91">
        <v>45811</v>
      </c>
      <c r="B638" s="43">
        <v>32285</v>
      </c>
      <c r="C638" s="17" t="s">
        <v>9</v>
      </c>
      <c r="D638" s="18">
        <v>373508.35</v>
      </c>
      <c r="E638" s="19"/>
      <c r="F638" s="15">
        <f t="shared" si="9"/>
        <v>-373508.35</v>
      </c>
    </row>
    <row r="639" spans="1:6" x14ac:dyDescent="0.2">
      <c r="A639" s="91">
        <v>45811</v>
      </c>
      <c r="B639" s="43">
        <v>32284</v>
      </c>
      <c r="C639" s="17" t="s">
        <v>9</v>
      </c>
      <c r="D639" s="18">
        <v>607730.72</v>
      </c>
      <c r="E639" s="19"/>
      <c r="F639" s="15">
        <f t="shared" si="9"/>
        <v>-607730.72</v>
      </c>
    </row>
    <row r="640" spans="1:6" x14ac:dyDescent="0.2">
      <c r="A640" s="91">
        <v>45811</v>
      </c>
      <c r="B640" s="43">
        <v>32298</v>
      </c>
      <c r="C640" s="17" t="s">
        <v>9</v>
      </c>
      <c r="D640" s="18">
        <v>945021.85</v>
      </c>
      <c r="E640" s="19"/>
      <c r="F640" s="15">
        <f t="shared" si="9"/>
        <v>-945021.85</v>
      </c>
    </row>
    <row r="641" spans="1:6" x14ac:dyDescent="0.2">
      <c r="A641" s="91">
        <v>45811</v>
      </c>
      <c r="B641" s="43">
        <v>32185</v>
      </c>
      <c r="C641" s="17" t="s">
        <v>9</v>
      </c>
      <c r="D641" s="18">
        <v>1420434.4</v>
      </c>
      <c r="E641" s="19"/>
      <c r="F641" s="15">
        <f t="shared" si="9"/>
        <v>-1420434.4</v>
      </c>
    </row>
    <row r="642" spans="1:6" x14ac:dyDescent="0.2">
      <c r="A642" s="91">
        <v>45811</v>
      </c>
      <c r="B642" s="43">
        <v>32171</v>
      </c>
      <c r="C642" s="17" t="s">
        <v>9</v>
      </c>
      <c r="D642" s="18">
        <v>1585514</v>
      </c>
      <c r="E642" s="19"/>
      <c r="F642" s="15">
        <f t="shared" si="9"/>
        <v>-1585514</v>
      </c>
    </row>
    <row r="643" spans="1:6" x14ac:dyDescent="0.2">
      <c r="A643" s="91">
        <v>45811</v>
      </c>
      <c r="B643" s="43">
        <v>32155</v>
      </c>
      <c r="C643" s="17" t="s">
        <v>9</v>
      </c>
      <c r="D643" s="18">
        <v>3150574</v>
      </c>
      <c r="E643" s="19"/>
      <c r="F643" s="15">
        <f t="shared" ref="F643:F706" si="10">+E643-D643</f>
        <v>-3150574</v>
      </c>
    </row>
    <row r="644" spans="1:6" x14ac:dyDescent="0.2">
      <c r="A644" s="91">
        <v>45812</v>
      </c>
      <c r="B644" s="43">
        <v>32277</v>
      </c>
      <c r="C644" s="17" t="s">
        <v>9</v>
      </c>
      <c r="D644" s="18">
        <v>350000</v>
      </c>
      <c r="E644" s="19"/>
      <c r="F644" s="15">
        <f t="shared" si="10"/>
        <v>-350000</v>
      </c>
    </row>
    <row r="645" spans="1:6" x14ac:dyDescent="0.2">
      <c r="A645" s="91">
        <v>45812</v>
      </c>
      <c r="B645" s="43">
        <v>32272</v>
      </c>
      <c r="C645" s="17" t="s">
        <v>9</v>
      </c>
      <c r="D645" s="18">
        <v>431967.95</v>
      </c>
      <c r="E645" s="19"/>
      <c r="F645" s="15">
        <f t="shared" si="10"/>
        <v>-431967.95</v>
      </c>
    </row>
    <row r="646" spans="1:6" x14ac:dyDescent="0.2">
      <c r="A646" s="91">
        <v>45812</v>
      </c>
      <c r="B646" s="43">
        <v>32259</v>
      </c>
      <c r="C646" s="17" t="s">
        <v>9</v>
      </c>
      <c r="D646" s="18">
        <v>924214.58</v>
      </c>
      <c r="E646" s="19"/>
      <c r="F646" s="15">
        <f t="shared" si="10"/>
        <v>-924214.58</v>
      </c>
    </row>
    <row r="647" spans="1:6" x14ac:dyDescent="0.2">
      <c r="A647" s="91">
        <v>45814</v>
      </c>
      <c r="B647" s="46">
        <v>32273</v>
      </c>
      <c r="C647" s="47" t="s">
        <v>9</v>
      </c>
      <c r="D647" s="48">
        <v>416524.86</v>
      </c>
      <c r="E647" s="49"/>
      <c r="F647" s="15">
        <f t="shared" si="10"/>
        <v>-416524.86</v>
      </c>
    </row>
    <row r="648" spans="1:6" x14ac:dyDescent="0.2">
      <c r="A648" s="91">
        <v>45817</v>
      </c>
      <c r="B648" s="44">
        <v>32304</v>
      </c>
      <c r="C648" s="22" t="s">
        <v>9</v>
      </c>
      <c r="D648" s="31">
        <v>295912.24</v>
      </c>
      <c r="E648" s="24"/>
      <c r="F648" s="15">
        <f t="shared" si="10"/>
        <v>-295912.24</v>
      </c>
    </row>
    <row r="649" spans="1:6" x14ac:dyDescent="0.2">
      <c r="A649" s="91">
        <v>45817</v>
      </c>
      <c r="B649" s="43">
        <v>32157</v>
      </c>
      <c r="C649" s="17" t="s">
        <v>9</v>
      </c>
      <c r="D649" s="18">
        <v>4593589</v>
      </c>
      <c r="E649" s="19"/>
      <c r="F649" s="15">
        <f t="shared" si="10"/>
        <v>-4593589</v>
      </c>
    </row>
    <row r="650" spans="1:6" x14ac:dyDescent="0.2">
      <c r="A650" s="91">
        <v>45818</v>
      </c>
      <c r="B650" s="43">
        <v>32363</v>
      </c>
      <c r="C650" s="17" t="s">
        <v>9</v>
      </c>
      <c r="D650" s="18">
        <v>887637.02</v>
      </c>
      <c r="E650" s="19"/>
      <c r="F650" s="15">
        <f t="shared" si="10"/>
        <v>-887637.02</v>
      </c>
    </row>
    <row r="651" spans="1:6" x14ac:dyDescent="0.2">
      <c r="A651" s="91">
        <v>45819</v>
      </c>
      <c r="B651" s="43">
        <v>32006</v>
      </c>
      <c r="C651" s="17" t="s">
        <v>9</v>
      </c>
      <c r="D651" s="18">
        <v>5967444.8300000001</v>
      </c>
      <c r="E651" s="19"/>
      <c r="F651" s="15">
        <f t="shared" si="10"/>
        <v>-5967444.8300000001</v>
      </c>
    </row>
    <row r="652" spans="1:6" x14ac:dyDescent="0.2">
      <c r="A652" s="91">
        <v>45820</v>
      </c>
      <c r="B652" s="43">
        <v>32214</v>
      </c>
      <c r="C652" s="17" t="s">
        <v>9</v>
      </c>
      <c r="D652" s="18">
        <v>274100</v>
      </c>
      <c r="E652" s="19"/>
      <c r="F652" s="15">
        <f t="shared" si="10"/>
        <v>-274100</v>
      </c>
    </row>
    <row r="653" spans="1:6" x14ac:dyDescent="0.2">
      <c r="A653" s="91">
        <v>45825</v>
      </c>
      <c r="B653" s="43">
        <v>32212</v>
      </c>
      <c r="C653" s="17" t="s">
        <v>9</v>
      </c>
      <c r="D653" s="18">
        <v>409000</v>
      </c>
      <c r="E653" s="19"/>
      <c r="F653" s="15">
        <f t="shared" si="10"/>
        <v>-409000</v>
      </c>
    </row>
    <row r="654" spans="1:6" x14ac:dyDescent="0.2">
      <c r="A654" s="91">
        <v>45826</v>
      </c>
      <c r="B654" s="43">
        <v>32160</v>
      </c>
      <c r="C654" s="17" t="s">
        <v>9</v>
      </c>
      <c r="D654" s="18">
        <v>92202</v>
      </c>
      <c r="E654" s="19"/>
      <c r="F654" s="15">
        <f t="shared" si="10"/>
        <v>-92202</v>
      </c>
    </row>
    <row r="655" spans="1:6" x14ac:dyDescent="0.2">
      <c r="A655" s="91">
        <v>45827</v>
      </c>
      <c r="B655" s="43">
        <v>32163</v>
      </c>
      <c r="C655" s="17" t="s">
        <v>9</v>
      </c>
      <c r="D655" s="18">
        <v>2769037</v>
      </c>
      <c r="E655" s="19"/>
      <c r="F655" s="15">
        <f t="shared" si="10"/>
        <v>-2769037</v>
      </c>
    </row>
    <row r="656" spans="1:6" x14ac:dyDescent="0.2">
      <c r="A656" s="91">
        <v>45832</v>
      </c>
      <c r="B656" s="43">
        <v>32374</v>
      </c>
      <c r="C656" s="17" t="s">
        <v>9</v>
      </c>
      <c r="D656" s="18">
        <v>5287663</v>
      </c>
      <c r="E656" s="19"/>
      <c r="F656" s="15">
        <f t="shared" si="10"/>
        <v>-5287663</v>
      </c>
    </row>
    <row r="657" spans="1:6" x14ac:dyDescent="0.2">
      <c r="A657" s="91">
        <v>45833</v>
      </c>
      <c r="B657" s="43">
        <v>32204</v>
      </c>
      <c r="C657" s="17" t="s">
        <v>9</v>
      </c>
      <c r="D657" s="18">
        <v>72753.19</v>
      </c>
      <c r="E657" s="19"/>
      <c r="F657" s="15">
        <f t="shared" si="10"/>
        <v>-72753.19</v>
      </c>
    </row>
    <row r="658" spans="1:6" x14ac:dyDescent="0.2">
      <c r="A658" s="91">
        <v>45833</v>
      </c>
      <c r="B658" s="43">
        <v>32301</v>
      </c>
      <c r="C658" s="17" t="s">
        <v>9</v>
      </c>
      <c r="D658" s="18">
        <v>2438500</v>
      </c>
      <c r="E658" s="19"/>
      <c r="F658" s="15">
        <f t="shared" si="10"/>
        <v>-2438500</v>
      </c>
    </row>
    <row r="659" spans="1:6" x14ac:dyDescent="0.2">
      <c r="A659" s="91">
        <v>45834</v>
      </c>
      <c r="B659" s="43">
        <v>32300</v>
      </c>
      <c r="C659" s="17" t="s">
        <v>9</v>
      </c>
      <c r="D659" s="18">
        <v>2384000</v>
      </c>
      <c r="E659" s="19"/>
      <c r="F659" s="15">
        <f t="shared" si="10"/>
        <v>-2384000</v>
      </c>
    </row>
    <row r="660" spans="1:6" x14ac:dyDescent="0.2">
      <c r="A660" s="91">
        <v>45834</v>
      </c>
      <c r="B660" s="43">
        <v>32414</v>
      </c>
      <c r="C660" s="17" t="s">
        <v>9</v>
      </c>
      <c r="D660" s="18">
        <v>2413000</v>
      </c>
      <c r="E660" s="19"/>
      <c r="F660" s="15">
        <f t="shared" si="10"/>
        <v>-2413000</v>
      </c>
    </row>
    <row r="661" spans="1:6" x14ac:dyDescent="0.2">
      <c r="A661" s="91">
        <v>45835</v>
      </c>
      <c r="B661" s="43">
        <v>32349</v>
      </c>
      <c r="C661" s="17" t="s">
        <v>9</v>
      </c>
      <c r="D661" s="18">
        <v>227530.03</v>
      </c>
      <c r="E661" s="19"/>
      <c r="F661" s="15">
        <f t="shared" si="10"/>
        <v>-227530.03</v>
      </c>
    </row>
    <row r="662" spans="1:6" x14ac:dyDescent="0.2">
      <c r="A662" s="91">
        <v>45835</v>
      </c>
      <c r="B662" s="43">
        <v>32360</v>
      </c>
      <c r="C662" s="17" t="s">
        <v>9</v>
      </c>
      <c r="D662" s="18">
        <v>650480.89</v>
      </c>
      <c r="E662" s="19"/>
      <c r="F662" s="15">
        <f t="shared" si="10"/>
        <v>-650480.89</v>
      </c>
    </row>
    <row r="663" spans="1:6" x14ac:dyDescent="0.2">
      <c r="A663" s="91">
        <v>45835</v>
      </c>
      <c r="B663" s="43">
        <v>32413</v>
      </c>
      <c r="C663" s="17" t="s">
        <v>9</v>
      </c>
      <c r="D663" s="18">
        <v>2312500</v>
      </c>
      <c r="E663" s="19"/>
      <c r="F663" s="15">
        <f t="shared" si="10"/>
        <v>-2312500</v>
      </c>
    </row>
    <row r="664" spans="1:6" x14ac:dyDescent="0.2">
      <c r="A664" s="91">
        <v>45835</v>
      </c>
      <c r="B664" s="43">
        <v>32362</v>
      </c>
      <c r="C664" s="17" t="s">
        <v>9</v>
      </c>
      <c r="D664" s="18">
        <v>133921.59</v>
      </c>
      <c r="E664" s="19"/>
      <c r="F664" s="15">
        <f t="shared" si="10"/>
        <v>-133921.59</v>
      </c>
    </row>
    <row r="665" spans="1:6" x14ac:dyDescent="0.2">
      <c r="A665" s="91">
        <v>45838</v>
      </c>
      <c r="B665" s="43">
        <v>32359</v>
      </c>
      <c r="C665" s="17" t="s">
        <v>9</v>
      </c>
      <c r="D665" s="18">
        <v>591145.21</v>
      </c>
      <c r="E665" s="19"/>
      <c r="F665" s="15">
        <f t="shared" si="10"/>
        <v>-591145.21</v>
      </c>
    </row>
    <row r="666" spans="1:6" x14ac:dyDescent="0.2">
      <c r="A666" s="91">
        <v>45839</v>
      </c>
      <c r="B666" s="43">
        <v>32370</v>
      </c>
      <c r="C666" s="17" t="s">
        <v>9</v>
      </c>
      <c r="D666" s="18">
        <v>85496.4</v>
      </c>
      <c r="E666" s="19"/>
      <c r="F666" s="15">
        <f t="shared" si="10"/>
        <v>-85496.4</v>
      </c>
    </row>
    <row r="667" spans="1:6" x14ac:dyDescent="0.2">
      <c r="A667" s="91">
        <v>45839</v>
      </c>
      <c r="B667" s="43">
        <v>32398</v>
      </c>
      <c r="C667" s="17" t="s">
        <v>9</v>
      </c>
      <c r="D667" s="18">
        <v>4678043.4000000004</v>
      </c>
      <c r="E667" s="19"/>
      <c r="F667" s="15">
        <f t="shared" si="10"/>
        <v>-4678043.4000000004</v>
      </c>
    </row>
    <row r="668" spans="1:6" x14ac:dyDescent="0.2">
      <c r="A668" s="91">
        <v>45839</v>
      </c>
      <c r="B668" s="43">
        <v>32372</v>
      </c>
      <c r="C668" s="17" t="s">
        <v>9</v>
      </c>
      <c r="D668" s="18">
        <v>6000000</v>
      </c>
      <c r="E668" s="19"/>
      <c r="F668" s="15">
        <f t="shared" si="10"/>
        <v>-6000000</v>
      </c>
    </row>
    <row r="669" spans="1:6" x14ac:dyDescent="0.2">
      <c r="A669" s="91">
        <v>45839</v>
      </c>
      <c r="B669" s="43">
        <v>32339</v>
      </c>
      <c r="C669" s="17" t="s">
        <v>9</v>
      </c>
      <c r="D669" s="18">
        <v>6379731.2199999997</v>
      </c>
      <c r="E669" s="19"/>
      <c r="F669" s="15">
        <f t="shared" si="10"/>
        <v>-6379731.2199999997</v>
      </c>
    </row>
    <row r="670" spans="1:6" x14ac:dyDescent="0.2">
      <c r="A670" s="91">
        <v>45839</v>
      </c>
      <c r="B670" s="43">
        <v>32294</v>
      </c>
      <c r="C670" s="17" t="s">
        <v>9</v>
      </c>
      <c r="D670" s="18">
        <v>6989318.6799999997</v>
      </c>
      <c r="E670" s="19"/>
      <c r="F670" s="15">
        <f t="shared" si="10"/>
        <v>-6989318.6799999997</v>
      </c>
    </row>
    <row r="671" spans="1:6" x14ac:dyDescent="0.2">
      <c r="A671" s="91">
        <v>45839</v>
      </c>
      <c r="B671" s="43">
        <v>32375</v>
      </c>
      <c r="C671" s="17" t="s">
        <v>9</v>
      </c>
      <c r="D671" s="18">
        <v>9836054.1400000006</v>
      </c>
      <c r="E671" s="19"/>
      <c r="F671" s="15">
        <f t="shared" si="10"/>
        <v>-9836054.1400000006</v>
      </c>
    </row>
    <row r="672" spans="1:6" x14ac:dyDescent="0.2">
      <c r="A672" s="91">
        <v>45840</v>
      </c>
      <c r="B672" s="43">
        <v>32299</v>
      </c>
      <c r="C672" s="17" t="s">
        <v>9</v>
      </c>
      <c r="D672" s="18">
        <v>910913.85</v>
      </c>
      <c r="E672" s="19"/>
      <c r="F672" s="15">
        <f t="shared" si="10"/>
        <v>-910913.85</v>
      </c>
    </row>
    <row r="673" spans="1:6" x14ac:dyDescent="0.2">
      <c r="A673" s="91">
        <v>45841</v>
      </c>
      <c r="B673" s="43">
        <v>32341</v>
      </c>
      <c r="C673" s="17" t="s">
        <v>9</v>
      </c>
      <c r="D673" s="18">
        <v>21425</v>
      </c>
      <c r="E673" s="19"/>
      <c r="F673" s="15">
        <f t="shared" si="10"/>
        <v>-21425</v>
      </c>
    </row>
    <row r="674" spans="1:6" x14ac:dyDescent="0.2">
      <c r="A674" s="91">
        <v>45841</v>
      </c>
      <c r="B674" s="43">
        <v>32302</v>
      </c>
      <c r="C674" s="17" t="s">
        <v>9</v>
      </c>
      <c r="D674" s="18">
        <v>257166.66</v>
      </c>
      <c r="E674" s="19"/>
      <c r="F674" s="15">
        <f t="shared" si="10"/>
        <v>-257166.66</v>
      </c>
    </row>
    <row r="675" spans="1:6" x14ac:dyDescent="0.2">
      <c r="A675" s="91">
        <v>45841</v>
      </c>
      <c r="B675" s="46">
        <v>32296</v>
      </c>
      <c r="C675" s="47" t="s">
        <v>9</v>
      </c>
      <c r="D675" s="48">
        <v>3268318.8</v>
      </c>
      <c r="E675" s="49"/>
      <c r="F675" s="15">
        <f t="shared" si="10"/>
        <v>-3268318.8</v>
      </c>
    </row>
    <row r="676" spans="1:6" x14ac:dyDescent="0.2">
      <c r="A676" s="91">
        <v>45841</v>
      </c>
      <c r="B676" s="44">
        <v>32365</v>
      </c>
      <c r="C676" s="22" t="s">
        <v>9</v>
      </c>
      <c r="D676" s="23">
        <v>3431701</v>
      </c>
      <c r="E676" s="24"/>
      <c r="F676" s="15">
        <f t="shared" si="10"/>
        <v>-3431701</v>
      </c>
    </row>
    <row r="677" spans="1:6" x14ac:dyDescent="0.2">
      <c r="A677" s="91">
        <v>45842</v>
      </c>
      <c r="B677" s="43">
        <v>31929</v>
      </c>
      <c r="C677" s="17" t="s">
        <v>9</v>
      </c>
      <c r="D677" s="18">
        <v>141219</v>
      </c>
      <c r="E677" s="19"/>
      <c r="F677" s="15">
        <f t="shared" si="10"/>
        <v>-141219</v>
      </c>
    </row>
    <row r="678" spans="1:6" x14ac:dyDescent="0.2">
      <c r="A678" s="91">
        <v>45842</v>
      </c>
      <c r="B678" s="43">
        <v>32226</v>
      </c>
      <c r="C678" s="17" t="s">
        <v>9</v>
      </c>
      <c r="D678" s="18">
        <v>370252.35</v>
      </c>
      <c r="E678" s="19"/>
      <c r="F678" s="15">
        <f t="shared" si="10"/>
        <v>-370252.35</v>
      </c>
    </row>
    <row r="679" spans="1:6" x14ac:dyDescent="0.2">
      <c r="A679" s="91">
        <v>45846</v>
      </c>
      <c r="B679" s="43">
        <v>32367</v>
      </c>
      <c r="C679" s="17" t="s">
        <v>9</v>
      </c>
      <c r="D679" s="18">
        <v>393143.9</v>
      </c>
      <c r="E679" s="19"/>
      <c r="F679" s="15">
        <f t="shared" si="10"/>
        <v>-393143.9</v>
      </c>
    </row>
    <row r="680" spans="1:6" x14ac:dyDescent="0.2">
      <c r="A680" s="91">
        <v>45849</v>
      </c>
      <c r="B680" s="43">
        <v>32283</v>
      </c>
      <c r="C680" s="17" t="s">
        <v>9</v>
      </c>
      <c r="D680" s="18">
        <v>382296.85</v>
      </c>
      <c r="E680" s="19"/>
      <c r="F680" s="15">
        <f t="shared" si="10"/>
        <v>-382296.85</v>
      </c>
    </row>
    <row r="681" spans="1:6" x14ac:dyDescent="0.2">
      <c r="A681" s="91">
        <v>45860</v>
      </c>
      <c r="B681" s="43">
        <v>32312</v>
      </c>
      <c r="C681" s="17" t="s">
        <v>9</v>
      </c>
      <c r="D681" s="18">
        <v>273718.09999999998</v>
      </c>
      <c r="E681" s="19"/>
      <c r="F681" s="15">
        <f t="shared" si="10"/>
        <v>-273718.09999999998</v>
      </c>
    </row>
    <row r="682" spans="1:6" x14ac:dyDescent="0.2">
      <c r="A682" s="91">
        <v>45860</v>
      </c>
      <c r="B682" s="43">
        <v>32474</v>
      </c>
      <c r="C682" s="17" t="s">
        <v>9</v>
      </c>
      <c r="D682" s="18">
        <v>1393050</v>
      </c>
      <c r="E682" s="19"/>
      <c r="F682" s="15">
        <f t="shared" si="10"/>
        <v>-1393050</v>
      </c>
    </row>
    <row r="683" spans="1:6" x14ac:dyDescent="0.2">
      <c r="A683" s="91">
        <v>45861</v>
      </c>
      <c r="B683" s="43">
        <v>32271</v>
      </c>
      <c r="C683" s="17" t="s">
        <v>9</v>
      </c>
      <c r="D683" s="18">
        <v>217100</v>
      </c>
      <c r="E683" s="19"/>
      <c r="F683" s="15">
        <f t="shared" si="10"/>
        <v>-217100</v>
      </c>
    </row>
    <row r="684" spans="1:6" x14ac:dyDescent="0.2">
      <c r="A684" s="91">
        <v>45862</v>
      </c>
      <c r="B684" s="43">
        <v>32332</v>
      </c>
      <c r="C684" s="17" t="s">
        <v>9</v>
      </c>
      <c r="D684" s="18">
        <v>125840</v>
      </c>
      <c r="E684" s="19"/>
      <c r="F684" s="15">
        <f t="shared" si="10"/>
        <v>-125840</v>
      </c>
    </row>
    <row r="685" spans="1:6" x14ac:dyDescent="0.2">
      <c r="A685" s="91">
        <v>45862</v>
      </c>
      <c r="B685" s="43">
        <v>32280</v>
      </c>
      <c r="C685" s="17" t="s">
        <v>9</v>
      </c>
      <c r="D685" s="18">
        <v>378140</v>
      </c>
      <c r="E685" s="19"/>
      <c r="F685" s="15">
        <f t="shared" si="10"/>
        <v>-378140</v>
      </c>
    </row>
    <row r="686" spans="1:6" x14ac:dyDescent="0.2">
      <c r="A686" s="91">
        <v>45862</v>
      </c>
      <c r="B686" s="43">
        <v>32311</v>
      </c>
      <c r="C686" s="17" t="s">
        <v>9</v>
      </c>
      <c r="D686" s="18">
        <v>465645.7</v>
      </c>
      <c r="E686" s="19"/>
      <c r="F686" s="15">
        <f t="shared" si="10"/>
        <v>-465645.7</v>
      </c>
    </row>
    <row r="687" spans="1:6" x14ac:dyDescent="0.2">
      <c r="A687" s="91">
        <v>45863</v>
      </c>
      <c r="B687" s="43">
        <v>32403</v>
      </c>
      <c r="C687" s="17" t="s">
        <v>9</v>
      </c>
      <c r="D687" s="18">
        <v>489243.4</v>
      </c>
      <c r="E687" s="19"/>
      <c r="F687" s="15">
        <f t="shared" si="10"/>
        <v>-489243.4</v>
      </c>
    </row>
    <row r="688" spans="1:6" x14ac:dyDescent="0.2">
      <c r="A688" s="91">
        <v>45863</v>
      </c>
      <c r="B688" s="43">
        <v>32472</v>
      </c>
      <c r="C688" s="17" t="s">
        <v>9</v>
      </c>
      <c r="D688" s="18">
        <v>2000000</v>
      </c>
      <c r="E688" s="19"/>
      <c r="F688" s="15">
        <f t="shared" si="10"/>
        <v>-2000000</v>
      </c>
    </row>
    <row r="689" spans="1:6" x14ac:dyDescent="0.2">
      <c r="A689" s="91">
        <v>45866</v>
      </c>
      <c r="B689" s="66">
        <v>32423</v>
      </c>
      <c r="C689" s="33" t="s">
        <v>9</v>
      </c>
      <c r="D689" s="64">
        <v>126120.57</v>
      </c>
      <c r="E689" s="35"/>
      <c r="F689" s="15">
        <f t="shared" si="10"/>
        <v>-126120.57</v>
      </c>
    </row>
    <row r="690" spans="1:6" x14ac:dyDescent="0.2">
      <c r="A690" s="92">
        <v>45866</v>
      </c>
      <c r="B690" s="70">
        <v>32422</v>
      </c>
      <c r="C690" s="47" t="s">
        <v>9</v>
      </c>
      <c r="D690" s="63">
        <v>186388.4</v>
      </c>
      <c r="E690" s="49"/>
      <c r="F690" s="15">
        <f t="shared" si="10"/>
        <v>-186388.4</v>
      </c>
    </row>
    <row r="691" spans="1:6" x14ac:dyDescent="0.2">
      <c r="A691" s="92">
        <v>45866</v>
      </c>
      <c r="B691" s="70">
        <v>32404</v>
      </c>
      <c r="C691" s="47" t="s">
        <v>9</v>
      </c>
      <c r="D691" s="63">
        <v>926878.75</v>
      </c>
      <c r="E691" s="49"/>
      <c r="F691" s="15">
        <f t="shared" si="10"/>
        <v>-926878.75</v>
      </c>
    </row>
    <row r="692" spans="1:6" x14ac:dyDescent="0.2">
      <c r="A692" s="91">
        <v>45866</v>
      </c>
      <c r="B692" s="72">
        <v>32361</v>
      </c>
      <c r="C692" s="55" t="s">
        <v>9</v>
      </c>
      <c r="D692" s="8">
        <v>1216869.6599999999</v>
      </c>
      <c r="E692" s="7"/>
      <c r="F692" s="15">
        <f t="shared" si="10"/>
        <v>-1216869.6599999999</v>
      </c>
    </row>
    <row r="693" spans="1:6" x14ac:dyDescent="0.2">
      <c r="A693" s="91">
        <v>45867</v>
      </c>
      <c r="B693" s="60">
        <v>32314</v>
      </c>
      <c r="C693" s="61" t="s">
        <v>9</v>
      </c>
      <c r="D693" s="13">
        <v>8796</v>
      </c>
      <c r="E693" s="14"/>
      <c r="F693" s="15">
        <f t="shared" si="10"/>
        <v>-8796</v>
      </c>
    </row>
    <row r="694" spans="1:6" x14ac:dyDescent="0.2">
      <c r="A694" s="91">
        <v>45867</v>
      </c>
      <c r="B694" s="43">
        <v>32388</v>
      </c>
      <c r="C694" s="17" t="s">
        <v>9</v>
      </c>
      <c r="D694" s="18">
        <v>22999.99</v>
      </c>
      <c r="E694" s="19"/>
      <c r="F694" s="15">
        <f t="shared" si="10"/>
        <v>-22999.99</v>
      </c>
    </row>
    <row r="695" spans="1:6" x14ac:dyDescent="0.2">
      <c r="A695" s="91">
        <v>45867</v>
      </c>
      <c r="B695" s="43">
        <v>32328</v>
      </c>
      <c r="C695" s="17" t="s">
        <v>9</v>
      </c>
      <c r="D695" s="18">
        <v>491834.75</v>
      </c>
      <c r="E695" s="19"/>
      <c r="F695" s="15">
        <f t="shared" si="10"/>
        <v>-491834.75</v>
      </c>
    </row>
    <row r="696" spans="1:6" x14ac:dyDescent="0.2">
      <c r="A696" s="91">
        <v>45867</v>
      </c>
      <c r="B696" s="43">
        <v>32420</v>
      </c>
      <c r="C696" s="17" t="s">
        <v>9</v>
      </c>
      <c r="D696" s="18">
        <v>565673.88</v>
      </c>
      <c r="E696" s="19"/>
      <c r="F696" s="15">
        <f t="shared" si="10"/>
        <v>-565673.88</v>
      </c>
    </row>
    <row r="697" spans="1:6" x14ac:dyDescent="0.2">
      <c r="A697" s="91">
        <v>45867</v>
      </c>
      <c r="B697" s="43">
        <v>32265</v>
      </c>
      <c r="C697" s="17" t="s">
        <v>9</v>
      </c>
      <c r="D697" s="18">
        <v>624004.91</v>
      </c>
      <c r="E697" s="19"/>
      <c r="F697" s="15">
        <f t="shared" si="10"/>
        <v>-624004.91</v>
      </c>
    </row>
    <row r="698" spans="1:6" x14ac:dyDescent="0.2">
      <c r="A698" s="91">
        <v>45867</v>
      </c>
      <c r="B698" s="43">
        <v>32401</v>
      </c>
      <c r="C698" s="17" t="s">
        <v>9</v>
      </c>
      <c r="D698" s="18">
        <v>680531.17</v>
      </c>
      <c r="E698" s="19"/>
      <c r="F698" s="15">
        <f t="shared" si="10"/>
        <v>-680531.17</v>
      </c>
    </row>
    <row r="699" spans="1:6" x14ac:dyDescent="0.2">
      <c r="A699" s="91">
        <v>45867</v>
      </c>
      <c r="B699" s="43">
        <v>32178</v>
      </c>
      <c r="C699" s="17" t="s">
        <v>9</v>
      </c>
      <c r="D699" s="18">
        <v>897877.94</v>
      </c>
      <c r="E699" s="19"/>
      <c r="F699" s="15">
        <f t="shared" si="10"/>
        <v>-897877.94</v>
      </c>
    </row>
    <row r="700" spans="1:6" x14ac:dyDescent="0.2">
      <c r="A700" s="91">
        <v>45867</v>
      </c>
      <c r="B700" s="43">
        <v>32205</v>
      </c>
      <c r="C700" s="17" t="s">
        <v>9</v>
      </c>
      <c r="D700" s="18">
        <v>1376968.09</v>
      </c>
      <c r="E700" s="19"/>
      <c r="F700" s="15">
        <f t="shared" si="10"/>
        <v>-1376968.09</v>
      </c>
    </row>
    <row r="701" spans="1:6" x14ac:dyDescent="0.2">
      <c r="A701" s="91">
        <v>45867</v>
      </c>
      <c r="B701" s="43">
        <v>32230</v>
      </c>
      <c r="C701" s="17" t="s">
        <v>9</v>
      </c>
      <c r="D701" s="18">
        <v>1422887.34</v>
      </c>
      <c r="E701" s="19"/>
      <c r="F701" s="15">
        <f t="shared" si="10"/>
        <v>-1422887.34</v>
      </c>
    </row>
    <row r="702" spans="1:6" x14ac:dyDescent="0.2">
      <c r="A702" s="91">
        <v>45867</v>
      </c>
      <c r="B702" s="43">
        <v>32164</v>
      </c>
      <c r="C702" s="17" t="s">
        <v>9</v>
      </c>
      <c r="D702" s="18">
        <v>2769038.2</v>
      </c>
      <c r="E702" s="19"/>
      <c r="F702" s="15">
        <f t="shared" si="10"/>
        <v>-2769038.2</v>
      </c>
    </row>
    <row r="703" spans="1:6" x14ac:dyDescent="0.2">
      <c r="A703" s="91">
        <v>45867</v>
      </c>
      <c r="B703" s="43">
        <v>32181</v>
      </c>
      <c r="C703" s="17" t="s">
        <v>9</v>
      </c>
      <c r="D703" s="18">
        <v>3619510</v>
      </c>
      <c r="E703" s="19"/>
      <c r="F703" s="15">
        <f t="shared" si="10"/>
        <v>-3619510</v>
      </c>
    </row>
    <row r="704" spans="1:6" x14ac:dyDescent="0.2">
      <c r="A704" s="91">
        <v>45867</v>
      </c>
      <c r="B704" s="43">
        <v>32464</v>
      </c>
      <c r="C704" s="17" t="s">
        <v>9</v>
      </c>
      <c r="D704" s="18">
        <v>5005293.4000000004</v>
      </c>
      <c r="E704" s="19"/>
      <c r="F704" s="15">
        <f t="shared" si="10"/>
        <v>-5005293.4000000004</v>
      </c>
    </row>
    <row r="705" spans="1:6" x14ac:dyDescent="0.2">
      <c r="A705" s="91">
        <v>45867</v>
      </c>
      <c r="B705" s="43">
        <v>32415</v>
      </c>
      <c r="C705" s="17" t="s">
        <v>9</v>
      </c>
      <c r="D705" s="18">
        <v>6879129.4199999999</v>
      </c>
      <c r="E705" s="19"/>
      <c r="F705" s="15">
        <f t="shared" si="10"/>
        <v>-6879129.4199999999</v>
      </c>
    </row>
    <row r="706" spans="1:6" x14ac:dyDescent="0.2">
      <c r="A706" s="91">
        <v>45868</v>
      </c>
      <c r="B706" s="43">
        <v>32234</v>
      </c>
      <c r="C706" s="17" t="s">
        <v>9</v>
      </c>
      <c r="D706" s="18">
        <v>231850.28</v>
      </c>
      <c r="E706" s="19"/>
      <c r="F706" s="15">
        <f t="shared" si="10"/>
        <v>-231850.28</v>
      </c>
    </row>
    <row r="707" spans="1:6" x14ac:dyDescent="0.2">
      <c r="A707" s="91">
        <v>45868</v>
      </c>
      <c r="B707" s="43">
        <v>32327</v>
      </c>
      <c r="C707" s="17" t="s">
        <v>9</v>
      </c>
      <c r="D707" s="18">
        <v>422037.42</v>
      </c>
      <c r="E707" s="19"/>
      <c r="F707" s="15">
        <f t="shared" ref="F707:F770" si="11">+E707-D707</f>
        <v>-422037.42</v>
      </c>
    </row>
    <row r="708" spans="1:6" x14ac:dyDescent="0.2">
      <c r="A708" s="91">
        <v>45868</v>
      </c>
      <c r="B708" s="43">
        <v>32208</v>
      </c>
      <c r="C708" s="17" t="s">
        <v>9</v>
      </c>
      <c r="D708" s="18">
        <v>3249223.25</v>
      </c>
      <c r="E708" s="19"/>
      <c r="F708" s="15">
        <f t="shared" si="11"/>
        <v>-3249223.25</v>
      </c>
    </row>
    <row r="709" spans="1:6" x14ac:dyDescent="0.2">
      <c r="A709" s="91">
        <v>45868</v>
      </c>
      <c r="B709" s="43">
        <v>32291</v>
      </c>
      <c r="C709" s="17" t="s">
        <v>9</v>
      </c>
      <c r="D709" s="18">
        <v>3727432.77</v>
      </c>
      <c r="E709" s="19"/>
      <c r="F709" s="15">
        <f t="shared" si="11"/>
        <v>-3727432.77</v>
      </c>
    </row>
    <row r="710" spans="1:6" x14ac:dyDescent="0.2">
      <c r="A710" s="91">
        <v>45869</v>
      </c>
      <c r="B710" s="43">
        <v>32369</v>
      </c>
      <c r="C710" s="17" t="s">
        <v>9</v>
      </c>
      <c r="D710" s="18">
        <v>305043.3</v>
      </c>
      <c r="E710" s="19"/>
      <c r="F710" s="15">
        <f t="shared" si="11"/>
        <v>-305043.3</v>
      </c>
    </row>
    <row r="711" spans="1:6" x14ac:dyDescent="0.2">
      <c r="A711" s="91">
        <v>45869</v>
      </c>
      <c r="B711" s="46">
        <v>32325</v>
      </c>
      <c r="C711" s="58" t="s">
        <v>9</v>
      </c>
      <c r="D711" s="48">
        <v>455285.56</v>
      </c>
      <c r="E711" s="49"/>
      <c r="F711" s="15">
        <f t="shared" si="11"/>
        <v>-455285.56</v>
      </c>
    </row>
    <row r="712" spans="1:6" x14ac:dyDescent="0.2">
      <c r="A712" s="91">
        <v>45869</v>
      </c>
      <c r="B712" s="44">
        <v>32390</v>
      </c>
      <c r="C712" s="59" t="s">
        <v>9</v>
      </c>
      <c r="D712" s="23">
        <v>470133.19</v>
      </c>
      <c r="E712" s="24"/>
      <c r="F712" s="15">
        <f t="shared" si="11"/>
        <v>-470133.19</v>
      </c>
    </row>
    <row r="713" spans="1:6" x14ac:dyDescent="0.2">
      <c r="A713" s="91">
        <v>45869</v>
      </c>
      <c r="B713" s="43">
        <v>32487</v>
      </c>
      <c r="C713" s="17" t="s">
        <v>9</v>
      </c>
      <c r="D713" s="18">
        <v>1025948.39</v>
      </c>
      <c r="E713" s="19"/>
      <c r="F713" s="15">
        <f t="shared" si="11"/>
        <v>-1025948.39</v>
      </c>
    </row>
    <row r="714" spans="1:6" x14ac:dyDescent="0.2">
      <c r="A714" s="91">
        <v>45869</v>
      </c>
      <c r="B714" s="43">
        <v>32266</v>
      </c>
      <c r="C714" s="17" t="s">
        <v>9</v>
      </c>
      <c r="D714" s="18">
        <v>1183165.2</v>
      </c>
      <c r="E714" s="19"/>
      <c r="F714" s="15">
        <f t="shared" si="11"/>
        <v>-1183165.2</v>
      </c>
    </row>
    <row r="715" spans="1:6" x14ac:dyDescent="0.2">
      <c r="A715" s="91">
        <v>45869</v>
      </c>
      <c r="B715" s="43">
        <v>32282</v>
      </c>
      <c r="C715" s="17" t="s">
        <v>9</v>
      </c>
      <c r="D715" s="18">
        <v>1747116</v>
      </c>
      <c r="E715" s="19"/>
      <c r="F715" s="15">
        <f t="shared" si="11"/>
        <v>-1747116</v>
      </c>
    </row>
    <row r="716" spans="1:6" x14ac:dyDescent="0.2">
      <c r="A716" s="91">
        <v>45869</v>
      </c>
      <c r="B716" s="43">
        <v>32278</v>
      </c>
      <c r="C716" s="17" t="s">
        <v>9</v>
      </c>
      <c r="D716" s="18">
        <v>1875597</v>
      </c>
      <c r="E716" s="19"/>
      <c r="F716" s="15">
        <f t="shared" si="11"/>
        <v>-1875597</v>
      </c>
    </row>
    <row r="717" spans="1:6" x14ac:dyDescent="0.2">
      <c r="A717" s="91">
        <v>45869</v>
      </c>
      <c r="B717" s="43">
        <v>32270</v>
      </c>
      <c r="C717" s="17" t="s">
        <v>9</v>
      </c>
      <c r="D717" s="18">
        <v>2544616.92</v>
      </c>
      <c r="E717" s="19"/>
      <c r="F717" s="15">
        <f t="shared" si="11"/>
        <v>-2544616.92</v>
      </c>
    </row>
    <row r="718" spans="1:6" x14ac:dyDescent="0.2">
      <c r="A718" s="91">
        <v>45869</v>
      </c>
      <c r="B718" s="43">
        <v>32484</v>
      </c>
      <c r="C718" s="17" t="s">
        <v>9</v>
      </c>
      <c r="D718" s="18">
        <v>3431701</v>
      </c>
      <c r="E718" s="19"/>
      <c r="F718" s="15">
        <f t="shared" si="11"/>
        <v>-3431701</v>
      </c>
    </row>
    <row r="719" spans="1:6" x14ac:dyDescent="0.2">
      <c r="A719" s="91">
        <v>45869</v>
      </c>
      <c r="B719" s="43">
        <v>32268</v>
      </c>
      <c r="C719" s="17" t="s">
        <v>9</v>
      </c>
      <c r="D719" s="18">
        <v>3621337</v>
      </c>
      <c r="E719" s="19"/>
      <c r="F719" s="15">
        <f t="shared" si="11"/>
        <v>-3621337</v>
      </c>
    </row>
    <row r="720" spans="1:6" x14ac:dyDescent="0.2">
      <c r="A720" s="91">
        <v>45869</v>
      </c>
      <c r="B720" s="43">
        <v>32425</v>
      </c>
      <c r="C720" s="17" t="s">
        <v>9</v>
      </c>
      <c r="D720" s="18">
        <v>6230368.3200000003</v>
      </c>
      <c r="E720" s="19"/>
      <c r="F720" s="15">
        <f t="shared" si="11"/>
        <v>-6230368.3200000003</v>
      </c>
    </row>
    <row r="721" spans="1:6" x14ac:dyDescent="0.2">
      <c r="A721" s="91">
        <v>45870</v>
      </c>
      <c r="B721" s="43">
        <v>32447</v>
      </c>
      <c r="C721" s="17" t="s">
        <v>9</v>
      </c>
      <c r="D721" s="18">
        <v>89773.25</v>
      </c>
      <c r="E721" s="19"/>
      <c r="F721" s="15">
        <f t="shared" si="11"/>
        <v>-89773.25</v>
      </c>
    </row>
    <row r="722" spans="1:6" x14ac:dyDescent="0.2">
      <c r="A722" s="91">
        <v>45870</v>
      </c>
      <c r="B722" s="43">
        <v>32391</v>
      </c>
      <c r="C722" s="17" t="s">
        <v>9</v>
      </c>
      <c r="D722" s="18">
        <v>140000</v>
      </c>
      <c r="E722" s="19"/>
      <c r="F722" s="15">
        <f t="shared" si="11"/>
        <v>-140000</v>
      </c>
    </row>
    <row r="723" spans="1:6" x14ac:dyDescent="0.2">
      <c r="A723" s="91">
        <v>45870</v>
      </c>
      <c r="B723" s="43">
        <v>32343</v>
      </c>
      <c r="C723" s="17" t="s">
        <v>9</v>
      </c>
      <c r="D723" s="18">
        <v>732050</v>
      </c>
      <c r="E723" s="19"/>
      <c r="F723" s="15">
        <f t="shared" si="11"/>
        <v>-732050</v>
      </c>
    </row>
    <row r="724" spans="1:6" x14ac:dyDescent="0.2">
      <c r="A724" s="91">
        <v>45870</v>
      </c>
      <c r="B724" s="43">
        <v>32483</v>
      </c>
      <c r="C724" s="17" t="s">
        <v>9</v>
      </c>
      <c r="D724" s="18">
        <v>6623855</v>
      </c>
      <c r="E724" s="19"/>
      <c r="F724" s="15">
        <f t="shared" si="11"/>
        <v>-6623855</v>
      </c>
    </row>
    <row r="725" spans="1:6" x14ac:dyDescent="0.2">
      <c r="A725" s="91">
        <v>45873</v>
      </c>
      <c r="B725" s="43">
        <v>32303</v>
      </c>
      <c r="C725" s="17" t="s">
        <v>9</v>
      </c>
      <c r="D725" s="18">
        <v>547600</v>
      </c>
      <c r="E725" s="19"/>
      <c r="F725" s="15">
        <f t="shared" si="11"/>
        <v>-547600</v>
      </c>
    </row>
    <row r="726" spans="1:6" x14ac:dyDescent="0.2">
      <c r="A726" s="91">
        <v>45873</v>
      </c>
      <c r="B726" s="43">
        <v>32338</v>
      </c>
      <c r="C726" s="17" t="s">
        <v>9</v>
      </c>
      <c r="D726" s="18">
        <v>794925.95</v>
      </c>
      <c r="E726" s="19"/>
      <c r="F726" s="15">
        <f t="shared" si="11"/>
        <v>-794925.95</v>
      </c>
    </row>
    <row r="727" spans="1:6" x14ac:dyDescent="0.2">
      <c r="A727" s="91">
        <v>45873</v>
      </c>
      <c r="B727" s="43">
        <v>32479</v>
      </c>
      <c r="C727" s="17" t="s">
        <v>9</v>
      </c>
      <c r="D727" s="18">
        <v>6298000</v>
      </c>
      <c r="E727" s="19"/>
      <c r="F727" s="15">
        <f t="shared" si="11"/>
        <v>-6298000</v>
      </c>
    </row>
    <row r="728" spans="1:6" x14ac:dyDescent="0.2">
      <c r="A728" s="91">
        <v>45873</v>
      </c>
      <c r="B728" s="43">
        <v>32373</v>
      </c>
      <c r="C728" s="17" t="s">
        <v>9</v>
      </c>
      <c r="D728" s="18">
        <v>6989318.6799999997</v>
      </c>
      <c r="E728" s="19"/>
      <c r="F728" s="15">
        <f t="shared" si="11"/>
        <v>-6989318.6799999997</v>
      </c>
    </row>
    <row r="729" spans="1:6" x14ac:dyDescent="0.2">
      <c r="A729" s="91">
        <v>45874</v>
      </c>
      <c r="B729" s="43">
        <v>32385</v>
      </c>
      <c r="C729" s="17" t="s">
        <v>9</v>
      </c>
      <c r="D729" s="18">
        <v>108443.4</v>
      </c>
      <c r="E729" s="19"/>
      <c r="F729" s="15">
        <f t="shared" si="11"/>
        <v>-108443.4</v>
      </c>
    </row>
    <row r="730" spans="1:6" x14ac:dyDescent="0.2">
      <c r="A730" s="91">
        <v>45875</v>
      </c>
      <c r="B730" s="43">
        <v>32346</v>
      </c>
      <c r="C730" s="17" t="s">
        <v>9</v>
      </c>
      <c r="D730" s="18">
        <v>4127322.19</v>
      </c>
      <c r="E730" s="19"/>
      <c r="F730" s="15">
        <f t="shared" si="11"/>
        <v>-4127322.19</v>
      </c>
    </row>
    <row r="731" spans="1:6" x14ac:dyDescent="0.2">
      <c r="A731" s="91">
        <v>45880</v>
      </c>
      <c r="B731" s="43">
        <v>32458</v>
      </c>
      <c r="C731" s="17" t="s">
        <v>9</v>
      </c>
      <c r="D731" s="18">
        <v>140000</v>
      </c>
      <c r="E731" s="19"/>
      <c r="F731" s="15">
        <f t="shared" si="11"/>
        <v>-140000</v>
      </c>
    </row>
    <row r="732" spans="1:6" x14ac:dyDescent="0.2">
      <c r="A732" s="91">
        <v>45881</v>
      </c>
      <c r="B732" s="43">
        <v>32518</v>
      </c>
      <c r="C732" s="17" t="s">
        <v>9</v>
      </c>
      <c r="D732" s="18">
        <v>1423178.96</v>
      </c>
      <c r="E732" s="19"/>
      <c r="F732" s="15">
        <f t="shared" si="11"/>
        <v>-1423178.96</v>
      </c>
    </row>
    <row r="733" spans="1:6" x14ac:dyDescent="0.2">
      <c r="A733" s="91">
        <v>45888</v>
      </c>
      <c r="B733" s="43">
        <v>32400</v>
      </c>
      <c r="C733" s="17" t="s">
        <v>9</v>
      </c>
      <c r="D733" s="18">
        <v>14250</v>
      </c>
      <c r="E733" s="19"/>
      <c r="F733" s="15">
        <f t="shared" si="11"/>
        <v>-14250</v>
      </c>
    </row>
    <row r="734" spans="1:6" x14ac:dyDescent="0.2">
      <c r="A734" s="91">
        <v>45890</v>
      </c>
      <c r="B734" s="43">
        <v>32421</v>
      </c>
      <c r="C734" s="17" t="s">
        <v>9</v>
      </c>
      <c r="D734" s="18">
        <v>1202427.04</v>
      </c>
      <c r="E734" s="19"/>
      <c r="F734" s="15">
        <f t="shared" si="11"/>
        <v>-1202427.04</v>
      </c>
    </row>
    <row r="735" spans="1:6" x14ac:dyDescent="0.2">
      <c r="A735" s="91">
        <v>45890</v>
      </c>
      <c r="B735" s="43">
        <v>32475</v>
      </c>
      <c r="C735" s="17" t="s">
        <v>9</v>
      </c>
      <c r="D735" s="18">
        <v>1393050</v>
      </c>
      <c r="E735" s="19"/>
      <c r="F735" s="15">
        <f t="shared" si="11"/>
        <v>-1393050</v>
      </c>
    </row>
    <row r="736" spans="1:6" x14ac:dyDescent="0.2">
      <c r="A736" s="91">
        <v>45890</v>
      </c>
      <c r="B736" s="43">
        <v>32473</v>
      </c>
      <c r="C736" s="17" t="s">
        <v>9</v>
      </c>
      <c r="D736" s="18">
        <v>2113600</v>
      </c>
      <c r="E736" s="19"/>
      <c r="F736" s="15">
        <f t="shared" si="11"/>
        <v>-2113600</v>
      </c>
    </row>
    <row r="737" spans="1:6" x14ac:dyDescent="0.2">
      <c r="A737" s="91">
        <v>45895</v>
      </c>
      <c r="B737" s="43">
        <v>32512</v>
      </c>
      <c r="C737" s="17" t="s">
        <v>9</v>
      </c>
      <c r="D737" s="18">
        <v>97928.19</v>
      </c>
      <c r="E737" s="19"/>
      <c r="F737" s="15">
        <f t="shared" si="11"/>
        <v>-97928.19</v>
      </c>
    </row>
    <row r="738" spans="1:6" x14ac:dyDescent="0.2">
      <c r="A738" s="91">
        <v>45895</v>
      </c>
      <c r="B738" s="43">
        <v>32459</v>
      </c>
      <c r="C738" s="17" t="s">
        <v>9</v>
      </c>
      <c r="D738" s="18">
        <v>119836.85</v>
      </c>
      <c r="E738" s="19"/>
      <c r="F738" s="15">
        <f t="shared" si="11"/>
        <v>-119836.85</v>
      </c>
    </row>
    <row r="739" spans="1:6" x14ac:dyDescent="0.2">
      <c r="A739" s="91">
        <v>45895</v>
      </c>
      <c r="B739" s="43">
        <v>32286</v>
      </c>
      <c r="C739" s="17" t="s">
        <v>9</v>
      </c>
      <c r="D739" s="18">
        <v>235396.42</v>
      </c>
      <c r="E739" s="19"/>
      <c r="F739" s="15">
        <f t="shared" si="11"/>
        <v>-235396.42</v>
      </c>
    </row>
    <row r="740" spans="1:6" x14ac:dyDescent="0.2">
      <c r="A740" s="91">
        <v>45895</v>
      </c>
      <c r="B740" s="43">
        <v>32418</v>
      </c>
      <c r="C740" s="17" t="s">
        <v>9</v>
      </c>
      <c r="D740" s="18">
        <v>982065</v>
      </c>
      <c r="E740" s="19"/>
      <c r="F740" s="15">
        <f t="shared" si="11"/>
        <v>-982065</v>
      </c>
    </row>
    <row r="741" spans="1:6" x14ac:dyDescent="0.2">
      <c r="A741" s="91">
        <v>45895</v>
      </c>
      <c r="B741" s="43">
        <v>32427</v>
      </c>
      <c r="C741" s="17" t="s">
        <v>9</v>
      </c>
      <c r="D741" s="18">
        <v>5697441.2699999996</v>
      </c>
      <c r="E741" s="19"/>
      <c r="F741" s="15">
        <f t="shared" si="11"/>
        <v>-5697441.2699999996</v>
      </c>
    </row>
    <row r="742" spans="1:6" x14ac:dyDescent="0.2">
      <c r="A742" s="91">
        <v>45895</v>
      </c>
      <c r="B742" s="43">
        <v>32540</v>
      </c>
      <c r="C742" s="17" t="s">
        <v>9</v>
      </c>
      <c r="D742" s="18">
        <v>6592068</v>
      </c>
      <c r="E742" s="19"/>
      <c r="F742" s="15">
        <f t="shared" si="11"/>
        <v>-6592068</v>
      </c>
    </row>
    <row r="743" spans="1:6" x14ac:dyDescent="0.2">
      <c r="A743" s="91">
        <v>45896</v>
      </c>
      <c r="B743" s="43">
        <v>32417</v>
      </c>
      <c r="C743" s="17" t="s">
        <v>9</v>
      </c>
      <c r="D743" s="18">
        <v>273718.09999999998</v>
      </c>
      <c r="E743" s="19"/>
      <c r="F743" s="15">
        <f t="shared" si="11"/>
        <v>-273718.09999999998</v>
      </c>
    </row>
    <row r="744" spans="1:6" x14ac:dyDescent="0.2">
      <c r="A744" s="91">
        <v>45897</v>
      </c>
      <c r="B744" s="43">
        <v>32322</v>
      </c>
      <c r="C744" s="17" t="s">
        <v>9</v>
      </c>
      <c r="D744" s="18">
        <v>372067.22</v>
      </c>
      <c r="E744" s="19"/>
      <c r="F744" s="15">
        <f t="shared" si="11"/>
        <v>-372067.22</v>
      </c>
    </row>
    <row r="745" spans="1:6" x14ac:dyDescent="0.2">
      <c r="A745" s="91">
        <v>45898</v>
      </c>
      <c r="B745" s="43">
        <v>32448</v>
      </c>
      <c r="C745" s="17" t="s">
        <v>9</v>
      </c>
      <c r="D745" s="18">
        <v>263857.40000000002</v>
      </c>
      <c r="E745" s="19"/>
      <c r="F745" s="15">
        <f t="shared" si="11"/>
        <v>-263857.40000000002</v>
      </c>
    </row>
    <row r="746" spans="1:6" x14ac:dyDescent="0.2">
      <c r="A746" s="91">
        <v>45898</v>
      </c>
      <c r="B746" s="43">
        <v>32460</v>
      </c>
      <c r="C746" s="17" t="s">
        <v>9</v>
      </c>
      <c r="D746" s="18">
        <v>1050000</v>
      </c>
      <c r="E746" s="19"/>
      <c r="F746" s="15">
        <f t="shared" si="11"/>
        <v>-1050000</v>
      </c>
    </row>
    <row r="747" spans="1:6" x14ac:dyDescent="0.2">
      <c r="A747" s="91">
        <v>45898</v>
      </c>
      <c r="B747" s="43">
        <v>32340</v>
      </c>
      <c r="C747" s="17" t="s">
        <v>9</v>
      </c>
      <c r="D747" s="18">
        <v>1350443.16</v>
      </c>
      <c r="E747" s="19"/>
      <c r="F747" s="15">
        <f t="shared" si="11"/>
        <v>-1350443.16</v>
      </c>
    </row>
    <row r="748" spans="1:6" x14ac:dyDescent="0.2">
      <c r="A748" s="91">
        <v>45898</v>
      </c>
      <c r="B748" s="43">
        <v>32313</v>
      </c>
      <c r="C748" s="17" t="s">
        <v>9</v>
      </c>
      <c r="D748" s="18">
        <v>3468097.06</v>
      </c>
      <c r="E748" s="19"/>
      <c r="F748" s="15">
        <f t="shared" si="11"/>
        <v>-3468097.06</v>
      </c>
    </row>
    <row r="749" spans="1:6" x14ac:dyDescent="0.2">
      <c r="A749" s="91">
        <v>45898</v>
      </c>
      <c r="B749" s="43">
        <v>32476</v>
      </c>
      <c r="C749" s="17" t="s">
        <v>9</v>
      </c>
      <c r="D749" s="18">
        <v>5875774.0599999996</v>
      </c>
      <c r="E749" s="19"/>
      <c r="F749" s="15">
        <f t="shared" si="11"/>
        <v>-5875774.0599999996</v>
      </c>
    </row>
    <row r="750" spans="1:6" x14ac:dyDescent="0.2">
      <c r="A750" s="91">
        <v>45566</v>
      </c>
      <c r="B750" s="43">
        <v>31703</v>
      </c>
      <c r="C750" s="20" t="s">
        <v>98</v>
      </c>
      <c r="D750" s="18">
        <v>50000</v>
      </c>
      <c r="E750" s="19"/>
      <c r="F750" s="15">
        <f t="shared" si="11"/>
        <v>-50000</v>
      </c>
    </row>
    <row r="751" spans="1:6" x14ac:dyDescent="0.2">
      <c r="A751" s="91">
        <v>45566</v>
      </c>
      <c r="B751" s="43">
        <v>31704</v>
      </c>
      <c r="C751" s="20" t="s">
        <v>98</v>
      </c>
      <c r="D751" s="18">
        <v>50000</v>
      </c>
      <c r="E751" s="19"/>
      <c r="F751" s="15">
        <f t="shared" si="11"/>
        <v>-50000</v>
      </c>
    </row>
    <row r="752" spans="1:6" x14ac:dyDescent="0.2">
      <c r="A752" s="91">
        <v>45568</v>
      </c>
      <c r="B752" s="43">
        <v>31701</v>
      </c>
      <c r="C752" s="20" t="s">
        <v>98</v>
      </c>
      <c r="D752" s="18">
        <v>50000</v>
      </c>
      <c r="E752" s="19"/>
      <c r="F752" s="15">
        <f t="shared" si="11"/>
        <v>-50000</v>
      </c>
    </row>
    <row r="753" spans="1:8" x14ac:dyDescent="0.2">
      <c r="A753" s="91">
        <v>45611</v>
      </c>
      <c r="B753" s="46">
        <v>31806</v>
      </c>
      <c r="C753" s="56" t="s">
        <v>98</v>
      </c>
      <c r="D753" s="48">
        <v>50000</v>
      </c>
      <c r="E753" s="49"/>
      <c r="F753" s="15">
        <f t="shared" si="11"/>
        <v>-50000</v>
      </c>
    </row>
    <row r="754" spans="1:8" x14ac:dyDescent="0.2">
      <c r="A754" s="91">
        <v>45611</v>
      </c>
      <c r="B754" s="44">
        <v>31813</v>
      </c>
      <c r="C754" s="57" t="s">
        <v>98</v>
      </c>
      <c r="D754" s="23">
        <v>50000</v>
      </c>
      <c r="E754" s="24"/>
      <c r="F754" s="15">
        <f t="shared" si="11"/>
        <v>-50000</v>
      </c>
    </row>
    <row r="755" spans="1:8" x14ac:dyDescent="0.2">
      <c r="A755" s="91">
        <v>45621</v>
      </c>
      <c r="B755" s="43">
        <v>31896</v>
      </c>
      <c r="C755" s="20" t="s">
        <v>98</v>
      </c>
      <c r="D755" s="18">
        <v>50000</v>
      </c>
      <c r="E755" s="19"/>
      <c r="F755" s="15">
        <f t="shared" si="11"/>
        <v>-50000</v>
      </c>
    </row>
    <row r="756" spans="1:8" x14ac:dyDescent="0.2">
      <c r="A756" s="91">
        <v>45621</v>
      </c>
      <c r="B756" s="43">
        <v>31898</v>
      </c>
      <c r="C756" s="20" t="s">
        <v>98</v>
      </c>
      <c r="D756" s="18">
        <v>50000</v>
      </c>
      <c r="E756" s="19"/>
      <c r="F756" s="15">
        <f t="shared" si="11"/>
        <v>-50000</v>
      </c>
    </row>
    <row r="757" spans="1:8" x14ac:dyDescent="0.2">
      <c r="A757" s="91">
        <v>45625</v>
      </c>
      <c r="B757" s="43">
        <v>31906</v>
      </c>
      <c r="C757" s="20" t="s">
        <v>98</v>
      </c>
      <c r="D757" s="18">
        <v>50000</v>
      </c>
      <c r="E757" s="19"/>
      <c r="F757" s="15">
        <f t="shared" si="11"/>
        <v>-50000</v>
      </c>
    </row>
    <row r="758" spans="1:8" x14ac:dyDescent="0.2">
      <c r="A758" s="91">
        <v>45625</v>
      </c>
      <c r="B758" s="43">
        <v>31904</v>
      </c>
      <c r="C758" s="20" t="s">
        <v>98</v>
      </c>
      <c r="D758" s="18">
        <v>50000</v>
      </c>
      <c r="E758" s="19"/>
      <c r="F758" s="15">
        <f t="shared" si="11"/>
        <v>-50000</v>
      </c>
    </row>
    <row r="759" spans="1:8" x14ac:dyDescent="0.2">
      <c r="A759" s="91">
        <v>45644</v>
      </c>
      <c r="B759" s="43">
        <v>31960</v>
      </c>
      <c r="C759" s="20" t="s">
        <v>98</v>
      </c>
      <c r="D759" s="18">
        <v>50000</v>
      </c>
      <c r="E759" s="19"/>
      <c r="F759" s="15">
        <f t="shared" si="11"/>
        <v>-50000</v>
      </c>
    </row>
    <row r="760" spans="1:8" x14ac:dyDescent="0.2">
      <c r="A760" s="91">
        <v>45644</v>
      </c>
      <c r="B760" s="43">
        <v>31957</v>
      </c>
      <c r="C760" s="20" t="s">
        <v>98</v>
      </c>
      <c r="D760" s="18">
        <v>50000</v>
      </c>
      <c r="E760" s="19"/>
      <c r="F760" s="15">
        <f t="shared" si="11"/>
        <v>-50000</v>
      </c>
    </row>
    <row r="761" spans="1:8" x14ac:dyDescent="0.2">
      <c r="A761" s="91">
        <v>45652</v>
      </c>
      <c r="B761" s="43">
        <v>31950</v>
      </c>
      <c r="C761" s="20" t="s">
        <v>98</v>
      </c>
      <c r="D761" s="18">
        <v>50000</v>
      </c>
      <c r="E761" s="19"/>
      <c r="F761" s="15">
        <f t="shared" si="11"/>
        <v>-50000</v>
      </c>
    </row>
    <row r="762" spans="1:8" x14ac:dyDescent="0.2">
      <c r="A762" s="91">
        <v>45652</v>
      </c>
      <c r="B762" s="43">
        <v>31951</v>
      </c>
      <c r="C762" s="20" t="s">
        <v>98</v>
      </c>
      <c r="D762" s="18">
        <v>50000</v>
      </c>
      <c r="E762" s="19"/>
      <c r="F762" s="15">
        <f t="shared" si="11"/>
        <v>-50000</v>
      </c>
    </row>
    <row r="763" spans="1:8" x14ac:dyDescent="0.2">
      <c r="A763" s="91">
        <v>45894</v>
      </c>
      <c r="B763" s="43">
        <v>32524</v>
      </c>
      <c r="C763" s="20" t="s">
        <v>98</v>
      </c>
      <c r="D763" s="18">
        <v>50000</v>
      </c>
      <c r="E763" s="19"/>
      <c r="F763" s="15">
        <f t="shared" si="11"/>
        <v>-50000</v>
      </c>
    </row>
    <row r="764" spans="1:8" x14ac:dyDescent="0.2">
      <c r="A764" s="91">
        <v>45544</v>
      </c>
      <c r="B764" s="16">
        <v>31709</v>
      </c>
      <c r="C764" s="20" t="s">
        <v>30</v>
      </c>
      <c r="D764" s="18">
        <v>50000</v>
      </c>
      <c r="E764" s="19"/>
      <c r="F764" s="15">
        <f t="shared" si="11"/>
        <v>-50000</v>
      </c>
      <c r="H764" s="10"/>
    </row>
    <row r="765" spans="1:8" x14ac:dyDescent="0.2">
      <c r="A765" s="91">
        <v>45567</v>
      </c>
      <c r="B765" s="43">
        <v>31698</v>
      </c>
      <c r="C765" s="20" t="s">
        <v>30</v>
      </c>
      <c r="D765" s="18">
        <v>50000</v>
      </c>
      <c r="E765" s="19"/>
      <c r="F765" s="15">
        <f t="shared" si="11"/>
        <v>-50000</v>
      </c>
    </row>
    <row r="766" spans="1:8" x14ac:dyDescent="0.2">
      <c r="A766" s="91">
        <v>45595</v>
      </c>
      <c r="B766" s="43">
        <v>31805</v>
      </c>
      <c r="C766" s="20" t="s">
        <v>30</v>
      </c>
      <c r="D766" s="18">
        <v>50000</v>
      </c>
      <c r="E766" s="19"/>
      <c r="F766" s="15">
        <f t="shared" si="11"/>
        <v>-50000</v>
      </c>
    </row>
    <row r="767" spans="1:8" x14ac:dyDescent="0.2">
      <c r="A767" s="91">
        <v>45611</v>
      </c>
      <c r="B767" s="43">
        <v>31812</v>
      </c>
      <c r="C767" s="20" t="s">
        <v>30</v>
      </c>
      <c r="D767" s="18">
        <v>50000</v>
      </c>
      <c r="E767" s="19"/>
      <c r="F767" s="15">
        <f t="shared" si="11"/>
        <v>-50000</v>
      </c>
    </row>
    <row r="768" spans="1:8" x14ac:dyDescent="0.2">
      <c r="A768" s="91">
        <v>45615</v>
      </c>
      <c r="B768" s="43">
        <v>31814</v>
      </c>
      <c r="C768" s="20" t="s">
        <v>30</v>
      </c>
      <c r="D768" s="18">
        <v>50000</v>
      </c>
      <c r="E768" s="19"/>
      <c r="F768" s="15">
        <f t="shared" si="11"/>
        <v>-50000</v>
      </c>
    </row>
    <row r="769" spans="1:6" x14ac:dyDescent="0.2">
      <c r="A769" s="91">
        <v>45624</v>
      </c>
      <c r="B769" s="43">
        <v>31900</v>
      </c>
      <c r="C769" s="20" t="s">
        <v>30</v>
      </c>
      <c r="D769" s="18">
        <v>50000</v>
      </c>
      <c r="E769" s="19"/>
      <c r="F769" s="15">
        <f t="shared" si="11"/>
        <v>-50000</v>
      </c>
    </row>
    <row r="770" spans="1:6" x14ac:dyDescent="0.2">
      <c r="A770" s="91">
        <v>45644</v>
      </c>
      <c r="B770" s="43">
        <v>31958</v>
      </c>
      <c r="C770" s="20" t="s">
        <v>30</v>
      </c>
      <c r="D770" s="18">
        <v>50000</v>
      </c>
      <c r="E770" s="19"/>
      <c r="F770" s="15">
        <f t="shared" si="11"/>
        <v>-50000</v>
      </c>
    </row>
    <row r="771" spans="1:6" x14ac:dyDescent="0.2">
      <c r="A771" s="91">
        <v>45653</v>
      </c>
      <c r="B771" s="43">
        <v>31954</v>
      </c>
      <c r="C771" s="20" t="s">
        <v>30</v>
      </c>
      <c r="D771" s="18">
        <v>50000</v>
      </c>
      <c r="E771" s="19"/>
      <c r="F771" s="15">
        <f t="shared" ref="F771:F834" si="12">+E771-D771</f>
        <v>-50000</v>
      </c>
    </row>
    <row r="772" spans="1:6" x14ac:dyDescent="0.2">
      <c r="A772" s="91">
        <v>45678</v>
      </c>
      <c r="B772" s="43">
        <v>32017</v>
      </c>
      <c r="C772" s="20" t="s">
        <v>30</v>
      </c>
      <c r="D772" s="18">
        <v>50000</v>
      </c>
      <c r="E772" s="19"/>
      <c r="F772" s="15">
        <f t="shared" si="12"/>
        <v>-50000</v>
      </c>
    </row>
    <row r="773" spans="1:6" x14ac:dyDescent="0.2">
      <c r="A773" s="91">
        <v>45679</v>
      </c>
      <c r="B773" s="43">
        <v>32031</v>
      </c>
      <c r="C773" s="20" t="s">
        <v>30</v>
      </c>
      <c r="D773" s="18">
        <v>50000</v>
      </c>
      <c r="E773" s="19"/>
      <c r="F773" s="15">
        <f t="shared" si="12"/>
        <v>-50000</v>
      </c>
    </row>
    <row r="774" spans="1:6" x14ac:dyDescent="0.2">
      <c r="A774" s="91">
        <v>45680</v>
      </c>
      <c r="B774" s="43">
        <v>32023</v>
      </c>
      <c r="C774" s="20" t="s">
        <v>30</v>
      </c>
      <c r="D774" s="18">
        <v>50000</v>
      </c>
      <c r="E774" s="19"/>
      <c r="F774" s="15">
        <f t="shared" si="12"/>
        <v>-50000</v>
      </c>
    </row>
    <row r="775" spans="1:6" x14ac:dyDescent="0.2">
      <c r="A775" s="91">
        <v>45681</v>
      </c>
      <c r="B775" s="43">
        <v>32027</v>
      </c>
      <c r="C775" s="20" t="s">
        <v>30</v>
      </c>
      <c r="D775" s="18">
        <v>50000</v>
      </c>
      <c r="E775" s="19"/>
      <c r="F775" s="15">
        <f t="shared" si="12"/>
        <v>-50000</v>
      </c>
    </row>
    <row r="776" spans="1:6" x14ac:dyDescent="0.2">
      <c r="A776" s="91">
        <v>45735</v>
      </c>
      <c r="B776" s="46">
        <v>32143</v>
      </c>
      <c r="C776" s="56" t="s">
        <v>30</v>
      </c>
      <c r="D776" s="48">
        <v>50000</v>
      </c>
      <c r="E776" s="62"/>
      <c r="F776" s="15">
        <f t="shared" si="12"/>
        <v>-50000</v>
      </c>
    </row>
    <row r="777" spans="1:6" x14ac:dyDescent="0.2">
      <c r="A777" s="91">
        <v>45736</v>
      </c>
      <c r="B777" s="44">
        <v>32147</v>
      </c>
      <c r="C777" s="57" t="s">
        <v>30</v>
      </c>
      <c r="D777" s="23">
        <v>50000</v>
      </c>
      <c r="E777" s="30"/>
      <c r="F777" s="15">
        <f t="shared" si="12"/>
        <v>-50000</v>
      </c>
    </row>
    <row r="778" spans="1:6" x14ac:dyDescent="0.2">
      <c r="A778" s="91">
        <v>45742</v>
      </c>
      <c r="B778" s="43">
        <v>32152</v>
      </c>
      <c r="C778" s="20" t="s">
        <v>30</v>
      </c>
      <c r="D778" s="18">
        <v>50000</v>
      </c>
      <c r="E778" s="19"/>
      <c r="F778" s="15">
        <f t="shared" si="12"/>
        <v>-50000</v>
      </c>
    </row>
    <row r="779" spans="1:6" x14ac:dyDescent="0.2">
      <c r="A779" s="91">
        <v>45768</v>
      </c>
      <c r="B779" s="43">
        <v>32245</v>
      </c>
      <c r="C779" s="20" t="s">
        <v>30</v>
      </c>
      <c r="D779" s="18">
        <v>50000</v>
      </c>
      <c r="E779" s="19"/>
      <c r="F779" s="15">
        <f t="shared" si="12"/>
        <v>-50000</v>
      </c>
    </row>
    <row r="780" spans="1:6" x14ac:dyDescent="0.2">
      <c r="A780" s="91">
        <v>45770</v>
      </c>
      <c r="B780" s="43">
        <v>32250</v>
      </c>
      <c r="C780" s="20" t="s">
        <v>30</v>
      </c>
      <c r="D780" s="18">
        <v>50000</v>
      </c>
      <c r="E780" s="19"/>
      <c r="F780" s="15">
        <f t="shared" si="12"/>
        <v>-50000</v>
      </c>
    </row>
    <row r="781" spans="1:6" x14ac:dyDescent="0.2">
      <c r="A781" s="91">
        <v>45791</v>
      </c>
      <c r="B781" s="43">
        <v>32306</v>
      </c>
      <c r="C781" s="20" t="s">
        <v>30</v>
      </c>
      <c r="D781" s="18">
        <v>50000</v>
      </c>
      <c r="E781" s="19"/>
      <c r="F781" s="15">
        <f t="shared" si="12"/>
        <v>-50000</v>
      </c>
    </row>
    <row r="782" spans="1:6" x14ac:dyDescent="0.2">
      <c r="A782" s="91">
        <v>45842</v>
      </c>
      <c r="B782" s="43">
        <v>32444</v>
      </c>
      <c r="C782" s="20" t="s">
        <v>30</v>
      </c>
      <c r="D782" s="18">
        <v>50000</v>
      </c>
      <c r="E782" s="19"/>
      <c r="F782" s="15">
        <f t="shared" si="12"/>
        <v>-50000</v>
      </c>
    </row>
    <row r="783" spans="1:6" x14ac:dyDescent="0.2">
      <c r="A783" s="91">
        <v>45845</v>
      </c>
      <c r="B783" s="43">
        <v>32409</v>
      </c>
      <c r="C783" s="20" t="s">
        <v>30</v>
      </c>
      <c r="D783" s="18">
        <v>50000</v>
      </c>
      <c r="E783" s="19"/>
      <c r="F783" s="15">
        <f t="shared" si="12"/>
        <v>-50000</v>
      </c>
    </row>
    <row r="784" spans="1:6" x14ac:dyDescent="0.2">
      <c r="A784" s="91">
        <v>45566</v>
      </c>
      <c r="B784" s="43">
        <v>31705</v>
      </c>
      <c r="C784" s="20" t="s">
        <v>97</v>
      </c>
      <c r="D784" s="18">
        <v>50000</v>
      </c>
      <c r="E784" s="19"/>
      <c r="F784" s="15">
        <f t="shared" si="12"/>
        <v>-50000</v>
      </c>
    </row>
    <row r="785" spans="1:6" x14ac:dyDescent="0.2">
      <c r="A785" s="91">
        <v>45567</v>
      </c>
      <c r="B785" s="43">
        <v>31697</v>
      </c>
      <c r="C785" s="20" t="s">
        <v>97</v>
      </c>
      <c r="D785" s="18">
        <v>50000</v>
      </c>
      <c r="E785" s="19"/>
      <c r="F785" s="15">
        <f t="shared" si="12"/>
        <v>-50000</v>
      </c>
    </row>
    <row r="786" spans="1:6" x14ac:dyDescent="0.2">
      <c r="A786" s="91">
        <v>45595</v>
      </c>
      <c r="B786" s="43">
        <v>31802</v>
      </c>
      <c r="C786" s="20" t="s">
        <v>97</v>
      </c>
      <c r="D786" s="18">
        <v>50000</v>
      </c>
      <c r="E786" s="19"/>
      <c r="F786" s="15">
        <f t="shared" si="12"/>
        <v>-50000</v>
      </c>
    </row>
    <row r="787" spans="1:6" x14ac:dyDescent="0.2">
      <c r="A787" s="91">
        <v>45611</v>
      </c>
      <c r="B787" s="43">
        <v>31810</v>
      </c>
      <c r="C787" s="20" t="s">
        <v>97</v>
      </c>
      <c r="D787" s="18">
        <v>50000</v>
      </c>
      <c r="E787" s="19"/>
      <c r="F787" s="15">
        <f t="shared" si="12"/>
        <v>-50000</v>
      </c>
    </row>
    <row r="788" spans="1:6" x14ac:dyDescent="0.2">
      <c r="A788" s="91">
        <v>45615</v>
      </c>
      <c r="B788" s="43">
        <v>31808</v>
      </c>
      <c r="C788" s="20" t="s">
        <v>97</v>
      </c>
      <c r="D788" s="18">
        <v>50000</v>
      </c>
      <c r="E788" s="19"/>
      <c r="F788" s="15">
        <f t="shared" si="12"/>
        <v>-50000</v>
      </c>
    </row>
    <row r="789" spans="1:6" x14ac:dyDescent="0.2">
      <c r="A789" s="91">
        <v>45624</v>
      </c>
      <c r="B789" s="43">
        <v>31903</v>
      </c>
      <c r="C789" s="20" t="s">
        <v>97</v>
      </c>
      <c r="D789" s="18">
        <v>50000</v>
      </c>
      <c r="E789" s="19"/>
      <c r="F789" s="15">
        <f t="shared" si="12"/>
        <v>-50000</v>
      </c>
    </row>
    <row r="790" spans="1:6" x14ac:dyDescent="0.2">
      <c r="A790" s="91">
        <v>45632</v>
      </c>
      <c r="B790" s="43">
        <v>31937</v>
      </c>
      <c r="C790" s="20" t="s">
        <v>97</v>
      </c>
      <c r="D790" s="18">
        <v>50000</v>
      </c>
      <c r="E790" s="19"/>
      <c r="F790" s="15">
        <f t="shared" si="12"/>
        <v>-50000</v>
      </c>
    </row>
    <row r="791" spans="1:6" x14ac:dyDescent="0.2">
      <c r="A791" s="91">
        <v>45635</v>
      </c>
      <c r="B791" s="43">
        <v>31938</v>
      </c>
      <c r="C791" s="20" t="s">
        <v>97</v>
      </c>
      <c r="D791" s="18">
        <v>50000</v>
      </c>
      <c r="E791" s="19"/>
      <c r="F791" s="15">
        <f t="shared" si="12"/>
        <v>-50000</v>
      </c>
    </row>
    <row r="792" spans="1:6" x14ac:dyDescent="0.2">
      <c r="A792" s="91">
        <v>45652</v>
      </c>
      <c r="B792" s="43">
        <v>31948</v>
      </c>
      <c r="C792" s="20" t="s">
        <v>97</v>
      </c>
      <c r="D792" s="18">
        <v>50000</v>
      </c>
      <c r="E792" s="19"/>
      <c r="F792" s="15">
        <f t="shared" si="12"/>
        <v>-50000</v>
      </c>
    </row>
    <row r="793" spans="1:6" x14ac:dyDescent="0.2">
      <c r="A793" s="91">
        <v>45653</v>
      </c>
      <c r="B793" s="43">
        <v>31952</v>
      </c>
      <c r="C793" s="20" t="s">
        <v>97</v>
      </c>
      <c r="D793" s="18">
        <v>50000</v>
      </c>
      <c r="E793" s="19"/>
      <c r="F793" s="15">
        <f t="shared" si="12"/>
        <v>-50000</v>
      </c>
    </row>
    <row r="794" spans="1:6" x14ac:dyDescent="0.2">
      <c r="A794" s="91">
        <v>45666</v>
      </c>
      <c r="B794" s="43">
        <v>32032</v>
      </c>
      <c r="C794" s="20" t="s">
        <v>97</v>
      </c>
      <c r="D794" s="18">
        <v>50000</v>
      </c>
      <c r="E794" s="19"/>
      <c r="F794" s="15">
        <f t="shared" si="12"/>
        <v>-50000</v>
      </c>
    </row>
    <row r="795" spans="1:6" x14ac:dyDescent="0.2">
      <c r="A795" s="91">
        <v>45671</v>
      </c>
      <c r="B795" s="43">
        <v>32033</v>
      </c>
      <c r="C795" s="20" t="s">
        <v>97</v>
      </c>
      <c r="D795" s="18">
        <v>42000</v>
      </c>
      <c r="E795" s="19"/>
      <c r="F795" s="15">
        <f t="shared" si="12"/>
        <v>-42000</v>
      </c>
    </row>
    <row r="796" spans="1:6" x14ac:dyDescent="0.2">
      <c r="A796" s="91">
        <v>45678</v>
      </c>
      <c r="B796" s="43">
        <v>32020</v>
      </c>
      <c r="C796" s="20" t="s">
        <v>97</v>
      </c>
      <c r="D796" s="18">
        <v>50000</v>
      </c>
      <c r="E796" s="19"/>
      <c r="F796" s="15">
        <f t="shared" si="12"/>
        <v>-50000</v>
      </c>
    </row>
    <row r="797" spans="1:6" x14ac:dyDescent="0.2">
      <c r="A797" s="91">
        <v>45679</v>
      </c>
      <c r="B797" s="43">
        <v>32029</v>
      </c>
      <c r="C797" s="20" t="s">
        <v>97</v>
      </c>
      <c r="D797" s="18">
        <v>50000</v>
      </c>
      <c r="E797" s="19"/>
      <c r="F797" s="15">
        <f t="shared" si="12"/>
        <v>-50000</v>
      </c>
    </row>
    <row r="798" spans="1:6" x14ac:dyDescent="0.2">
      <c r="A798" s="91">
        <v>45680</v>
      </c>
      <c r="B798" s="43">
        <v>32026</v>
      </c>
      <c r="C798" s="20" t="s">
        <v>97</v>
      </c>
      <c r="D798" s="18">
        <v>50000</v>
      </c>
      <c r="E798" s="19"/>
      <c r="F798" s="15">
        <f t="shared" si="12"/>
        <v>-50000</v>
      </c>
    </row>
    <row r="799" spans="1:6" x14ac:dyDescent="0.2">
      <c r="A799" s="91">
        <v>45699</v>
      </c>
      <c r="B799" s="46">
        <v>32071</v>
      </c>
      <c r="C799" s="56" t="s">
        <v>97</v>
      </c>
      <c r="D799" s="48">
        <v>50000</v>
      </c>
      <c r="E799" s="49"/>
      <c r="F799" s="15">
        <f t="shared" si="12"/>
        <v>-50000</v>
      </c>
    </row>
    <row r="800" spans="1:6" x14ac:dyDescent="0.2">
      <c r="A800" s="91">
        <v>45700</v>
      </c>
      <c r="B800" s="44">
        <v>32074</v>
      </c>
      <c r="C800" s="57" t="s">
        <v>97</v>
      </c>
      <c r="D800" s="23">
        <v>50000</v>
      </c>
      <c r="E800" s="24"/>
      <c r="F800" s="15">
        <f t="shared" si="12"/>
        <v>-50000</v>
      </c>
    </row>
    <row r="801" spans="1:6" x14ac:dyDescent="0.2">
      <c r="A801" s="91">
        <v>45706</v>
      </c>
      <c r="B801" s="43">
        <v>32080</v>
      </c>
      <c r="C801" s="20" t="s">
        <v>97</v>
      </c>
      <c r="D801" s="18">
        <v>50000</v>
      </c>
      <c r="E801" s="19"/>
      <c r="F801" s="15">
        <f t="shared" si="12"/>
        <v>-50000</v>
      </c>
    </row>
    <row r="802" spans="1:6" x14ac:dyDescent="0.2">
      <c r="A802" s="91">
        <v>45707</v>
      </c>
      <c r="B802" s="43">
        <v>32084</v>
      </c>
      <c r="C802" s="20" t="s">
        <v>97</v>
      </c>
      <c r="D802" s="18">
        <v>50000</v>
      </c>
      <c r="E802" s="19"/>
      <c r="F802" s="15">
        <f t="shared" si="12"/>
        <v>-50000</v>
      </c>
    </row>
    <row r="803" spans="1:6" x14ac:dyDescent="0.2">
      <c r="A803" s="91">
        <v>45708</v>
      </c>
      <c r="B803" s="43">
        <v>32072</v>
      </c>
      <c r="C803" s="20" t="s">
        <v>97</v>
      </c>
      <c r="D803" s="18">
        <v>40000</v>
      </c>
      <c r="E803" s="19"/>
      <c r="F803" s="15">
        <f t="shared" si="12"/>
        <v>-40000</v>
      </c>
    </row>
    <row r="804" spans="1:6" x14ac:dyDescent="0.2">
      <c r="A804" s="91">
        <v>45730</v>
      </c>
      <c r="B804" s="43">
        <v>32190</v>
      </c>
      <c r="C804" s="20" t="s">
        <v>97</v>
      </c>
      <c r="D804" s="18">
        <v>50000</v>
      </c>
      <c r="E804" s="19"/>
      <c r="F804" s="15">
        <f t="shared" si="12"/>
        <v>-50000</v>
      </c>
    </row>
    <row r="805" spans="1:6" x14ac:dyDescent="0.2">
      <c r="A805" s="91">
        <v>45733</v>
      </c>
      <c r="B805" s="43">
        <v>32191</v>
      </c>
      <c r="C805" s="20" t="s">
        <v>97</v>
      </c>
      <c r="D805" s="18">
        <v>50000</v>
      </c>
      <c r="E805" s="19"/>
      <c r="F805" s="15">
        <f t="shared" si="12"/>
        <v>-50000</v>
      </c>
    </row>
    <row r="806" spans="1:6" x14ac:dyDescent="0.2">
      <c r="A806" s="91">
        <v>45735</v>
      </c>
      <c r="B806" s="43">
        <v>32144</v>
      </c>
      <c r="C806" s="20" t="s">
        <v>97</v>
      </c>
      <c r="D806" s="18">
        <v>50000</v>
      </c>
      <c r="E806" s="19"/>
      <c r="F806" s="15">
        <f t="shared" si="12"/>
        <v>-50000</v>
      </c>
    </row>
    <row r="807" spans="1:6" x14ac:dyDescent="0.2">
      <c r="A807" s="91">
        <v>45736</v>
      </c>
      <c r="B807" s="43">
        <v>32146</v>
      </c>
      <c r="C807" s="20" t="s">
        <v>97</v>
      </c>
      <c r="D807" s="18">
        <v>50000</v>
      </c>
      <c r="E807" s="19"/>
      <c r="F807" s="15">
        <f t="shared" si="12"/>
        <v>-50000</v>
      </c>
    </row>
    <row r="808" spans="1:6" x14ac:dyDescent="0.2">
      <c r="A808" s="91">
        <v>45742</v>
      </c>
      <c r="B808" s="43">
        <v>32151</v>
      </c>
      <c r="C808" s="20" t="s">
        <v>97</v>
      </c>
      <c r="D808" s="18">
        <v>50000</v>
      </c>
      <c r="E808" s="19"/>
      <c r="F808" s="15">
        <f t="shared" si="12"/>
        <v>-50000</v>
      </c>
    </row>
    <row r="809" spans="1:6" x14ac:dyDescent="0.2">
      <c r="A809" s="91">
        <v>45762</v>
      </c>
      <c r="B809" s="43">
        <v>32222</v>
      </c>
      <c r="C809" s="20" t="s">
        <v>97</v>
      </c>
      <c r="D809" s="18">
        <v>50000</v>
      </c>
      <c r="E809" s="19"/>
      <c r="F809" s="15">
        <f t="shared" si="12"/>
        <v>-50000</v>
      </c>
    </row>
    <row r="810" spans="1:6" x14ac:dyDescent="0.2">
      <c r="A810" s="91">
        <v>45763</v>
      </c>
      <c r="B810" s="43">
        <v>32223</v>
      </c>
      <c r="C810" s="20" t="s">
        <v>97</v>
      </c>
      <c r="D810" s="18">
        <v>50000</v>
      </c>
      <c r="E810" s="19"/>
      <c r="F810" s="15">
        <f t="shared" si="12"/>
        <v>-50000</v>
      </c>
    </row>
    <row r="811" spans="1:6" x14ac:dyDescent="0.2">
      <c r="A811" s="91">
        <v>45768</v>
      </c>
      <c r="B811" s="43">
        <v>32248</v>
      </c>
      <c r="C811" s="20" t="s">
        <v>97</v>
      </c>
      <c r="D811" s="18">
        <v>50000</v>
      </c>
      <c r="E811" s="19"/>
      <c r="F811" s="15">
        <f t="shared" si="12"/>
        <v>-50000</v>
      </c>
    </row>
    <row r="812" spans="1:6" x14ac:dyDescent="0.2">
      <c r="A812" s="91">
        <v>45770</v>
      </c>
      <c r="B812" s="43">
        <v>32252</v>
      </c>
      <c r="C812" s="20" t="s">
        <v>97</v>
      </c>
      <c r="D812" s="18">
        <v>50000</v>
      </c>
      <c r="E812" s="19"/>
      <c r="F812" s="15">
        <f t="shared" si="12"/>
        <v>-50000</v>
      </c>
    </row>
    <row r="813" spans="1:6" x14ac:dyDescent="0.2">
      <c r="A813" s="91">
        <v>45791</v>
      </c>
      <c r="B813" s="43">
        <v>32309</v>
      </c>
      <c r="C813" s="20" t="s">
        <v>97</v>
      </c>
      <c r="D813" s="18">
        <v>50000</v>
      </c>
      <c r="E813" s="19"/>
      <c r="F813" s="15">
        <f t="shared" si="12"/>
        <v>-50000</v>
      </c>
    </row>
    <row r="814" spans="1:6" x14ac:dyDescent="0.2">
      <c r="A814" s="91">
        <v>45798</v>
      </c>
      <c r="B814" s="43">
        <v>32347</v>
      </c>
      <c r="C814" s="20" t="s">
        <v>97</v>
      </c>
      <c r="D814" s="18">
        <v>50000</v>
      </c>
      <c r="E814" s="19"/>
      <c r="F814" s="15">
        <f t="shared" si="12"/>
        <v>-50000</v>
      </c>
    </row>
    <row r="815" spans="1:6" x14ac:dyDescent="0.2">
      <c r="A815" s="91">
        <v>45799</v>
      </c>
      <c r="B815" s="43">
        <v>32348</v>
      </c>
      <c r="C815" s="20" t="s">
        <v>97</v>
      </c>
      <c r="D815" s="18">
        <v>40000</v>
      </c>
      <c r="E815" s="19"/>
      <c r="F815" s="15">
        <f t="shared" si="12"/>
        <v>-40000</v>
      </c>
    </row>
    <row r="816" spans="1:6" x14ac:dyDescent="0.2">
      <c r="A816" s="91">
        <v>45827</v>
      </c>
      <c r="B816" s="43">
        <v>32406</v>
      </c>
      <c r="C816" s="20" t="s">
        <v>97</v>
      </c>
      <c r="D816" s="18">
        <v>50000</v>
      </c>
      <c r="E816" s="19"/>
      <c r="F816" s="15">
        <f t="shared" si="12"/>
        <v>-50000</v>
      </c>
    </row>
    <row r="817" spans="1:8" x14ac:dyDescent="0.2">
      <c r="A817" s="91">
        <v>45831</v>
      </c>
      <c r="B817" s="43">
        <v>32407</v>
      </c>
      <c r="C817" s="20" t="s">
        <v>97</v>
      </c>
      <c r="D817" s="18">
        <v>50000</v>
      </c>
      <c r="E817" s="19"/>
      <c r="F817" s="15">
        <f t="shared" si="12"/>
        <v>-50000</v>
      </c>
    </row>
    <row r="818" spans="1:8" x14ac:dyDescent="0.2">
      <c r="A818" s="91">
        <v>45842</v>
      </c>
      <c r="B818" s="43">
        <v>32445</v>
      </c>
      <c r="C818" s="20" t="s">
        <v>97</v>
      </c>
      <c r="D818" s="18">
        <v>50000</v>
      </c>
      <c r="E818" s="19"/>
      <c r="F818" s="15">
        <f t="shared" si="12"/>
        <v>-50000</v>
      </c>
    </row>
    <row r="819" spans="1:8" x14ac:dyDescent="0.2">
      <c r="A819" s="91">
        <v>45845</v>
      </c>
      <c r="B819" s="43">
        <v>32412</v>
      </c>
      <c r="C819" s="20" t="s">
        <v>97</v>
      </c>
      <c r="D819" s="18">
        <v>50000</v>
      </c>
      <c r="E819" s="19"/>
      <c r="F819" s="15">
        <f t="shared" si="12"/>
        <v>-50000</v>
      </c>
    </row>
    <row r="820" spans="1:8" x14ac:dyDescent="0.2">
      <c r="A820" s="91">
        <v>45846</v>
      </c>
      <c r="B820" s="43">
        <v>32477</v>
      </c>
      <c r="C820" s="20" t="s">
        <v>97</v>
      </c>
      <c r="D820" s="18">
        <v>50000</v>
      </c>
      <c r="E820" s="19"/>
      <c r="F820" s="15">
        <f t="shared" si="12"/>
        <v>-50000</v>
      </c>
    </row>
    <row r="821" spans="1:8" x14ac:dyDescent="0.2">
      <c r="A821" s="91">
        <v>45853</v>
      </c>
      <c r="B821" s="43">
        <v>32478</v>
      </c>
      <c r="C821" s="20" t="s">
        <v>97</v>
      </c>
      <c r="D821" s="18">
        <v>50000</v>
      </c>
      <c r="E821" s="19"/>
      <c r="F821" s="15">
        <f t="shared" si="12"/>
        <v>-50000</v>
      </c>
    </row>
    <row r="822" spans="1:8" x14ac:dyDescent="0.2">
      <c r="A822" s="91">
        <v>45889</v>
      </c>
      <c r="B822" s="43">
        <v>32521</v>
      </c>
      <c r="C822" s="20" t="s">
        <v>97</v>
      </c>
      <c r="D822" s="18">
        <v>50000</v>
      </c>
      <c r="E822" s="19"/>
      <c r="F822" s="15">
        <f t="shared" si="12"/>
        <v>-50000</v>
      </c>
    </row>
    <row r="823" spans="1:8" x14ac:dyDescent="0.2">
      <c r="A823" s="91">
        <v>45890</v>
      </c>
      <c r="B823" s="43">
        <v>32522</v>
      </c>
      <c r="C823" s="20" t="s">
        <v>97</v>
      </c>
      <c r="D823" s="18">
        <v>50000</v>
      </c>
      <c r="E823" s="19"/>
      <c r="F823" s="15">
        <f t="shared" si="12"/>
        <v>-50000</v>
      </c>
    </row>
    <row r="824" spans="1:8" x14ac:dyDescent="0.2">
      <c r="A824" s="91">
        <v>45891</v>
      </c>
      <c r="B824" s="43">
        <v>32523</v>
      </c>
      <c r="C824" s="20" t="s">
        <v>97</v>
      </c>
      <c r="D824" s="18">
        <v>50000</v>
      </c>
      <c r="E824" s="19"/>
      <c r="F824" s="15">
        <f t="shared" si="12"/>
        <v>-50000</v>
      </c>
    </row>
    <row r="825" spans="1:8" x14ac:dyDescent="0.2">
      <c r="A825" s="91">
        <v>45895</v>
      </c>
      <c r="B825" s="43">
        <v>32542</v>
      </c>
      <c r="C825" s="20" t="s">
        <v>97</v>
      </c>
      <c r="D825" s="18">
        <v>50000</v>
      </c>
      <c r="E825" s="19"/>
      <c r="F825" s="15">
        <f t="shared" si="12"/>
        <v>-50000</v>
      </c>
    </row>
    <row r="826" spans="1:8" x14ac:dyDescent="0.2">
      <c r="A826" s="91">
        <v>45897</v>
      </c>
      <c r="B826" s="46">
        <v>32543</v>
      </c>
      <c r="C826" s="56" t="s">
        <v>97</v>
      </c>
      <c r="D826" s="48">
        <v>50000</v>
      </c>
      <c r="E826" s="49"/>
      <c r="F826" s="15">
        <f t="shared" si="12"/>
        <v>-50000</v>
      </c>
    </row>
    <row r="827" spans="1:8" x14ac:dyDescent="0.2">
      <c r="A827" s="91">
        <v>45544</v>
      </c>
      <c r="B827" s="21">
        <v>31707</v>
      </c>
      <c r="C827" s="57" t="s">
        <v>29</v>
      </c>
      <c r="D827" s="23">
        <v>50000</v>
      </c>
      <c r="E827" s="24"/>
      <c r="F827" s="15">
        <f t="shared" si="12"/>
        <v>-50000</v>
      </c>
      <c r="H827" s="10"/>
    </row>
    <row r="828" spans="1:8" x14ac:dyDescent="0.2">
      <c r="A828" s="91">
        <v>45567</v>
      </c>
      <c r="B828" s="43">
        <v>31699</v>
      </c>
      <c r="C828" s="20" t="s">
        <v>29</v>
      </c>
      <c r="D828" s="18">
        <v>50000</v>
      </c>
      <c r="E828" s="19"/>
      <c r="F828" s="15">
        <f t="shared" si="12"/>
        <v>-50000</v>
      </c>
    </row>
    <row r="829" spans="1:8" x14ac:dyDescent="0.2">
      <c r="A829" s="91">
        <v>45595</v>
      </c>
      <c r="B829" s="43">
        <v>31803</v>
      </c>
      <c r="C829" s="20" t="s">
        <v>29</v>
      </c>
      <c r="D829" s="18">
        <v>50000</v>
      </c>
      <c r="E829" s="19"/>
      <c r="F829" s="15">
        <f t="shared" si="12"/>
        <v>-50000</v>
      </c>
    </row>
    <row r="830" spans="1:8" x14ac:dyDescent="0.2">
      <c r="A830" s="91">
        <v>45611</v>
      </c>
      <c r="B830" s="43">
        <v>31811</v>
      </c>
      <c r="C830" s="20" t="s">
        <v>29</v>
      </c>
      <c r="D830" s="18">
        <v>50000</v>
      </c>
      <c r="E830" s="19"/>
      <c r="F830" s="15">
        <f t="shared" si="12"/>
        <v>-50000</v>
      </c>
    </row>
    <row r="831" spans="1:8" x14ac:dyDescent="0.2">
      <c r="A831" s="91">
        <v>45615</v>
      </c>
      <c r="B831" s="43">
        <v>31809</v>
      </c>
      <c r="C831" s="20" t="s">
        <v>29</v>
      </c>
      <c r="D831" s="18">
        <v>50000</v>
      </c>
      <c r="E831" s="19"/>
      <c r="F831" s="15">
        <f t="shared" si="12"/>
        <v>-50000</v>
      </c>
    </row>
    <row r="832" spans="1:8" x14ac:dyDescent="0.2">
      <c r="A832" s="91">
        <v>45624</v>
      </c>
      <c r="B832" s="43">
        <v>31901</v>
      </c>
      <c r="C832" s="20" t="s">
        <v>29</v>
      </c>
      <c r="D832" s="18">
        <v>50000</v>
      </c>
      <c r="E832" s="19"/>
      <c r="F832" s="15">
        <f t="shared" si="12"/>
        <v>-50000</v>
      </c>
    </row>
    <row r="833" spans="1:6" x14ac:dyDescent="0.2">
      <c r="A833" s="91">
        <v>45644</v>
      </c>
      <c r="B833" s="43">
        <v>31959</v>
      </c>
      <c r="C833" s="20" t="s">
        <v>29</v>
      </c>
      <c r="D833" s="18">
        <v>50000</v>
      </c>
      <c r="E833" s="19"/>
      <c r="F833" s="15">
        <f t="shared" si="12"/>
        <v>-50000</v>
      </c>
    </row>
    <row r="834" spans="1:6" x14ac:dyDescent="0.2">
      <c r="A834" s="91">
        <v>45653</v>
      </c>
      <c r="B834" s="43">
        <v>31955</v>
      </c>
      <c r="C834" s="20" t="s">
        <v>29</v>
      </c>
      <c r="D834" s="18">
        <v>50000</v>
      </c>
      <c r="E834" s="19"/>
      <c r="F834" s="15">
        <f t="shared" si="12"/>
        <v>-50000</v>
      </c>
    </row>
    <row r="835" spans="1:6" x14ac:dyDescent="0.2">
      <c r="A835" s="91">
        <v>45678</v>
      </c>
      <c r="B835" s="43">
        <v>32018</v>
      </c>
      <c r="C835" s="20" t="s">
        <v>29</v>
      </c>
      <c r="D835" s="18">
        <v>50000</v>
      </c>
      <c r="E835" s="19"/>
      <c r="F835" s="15">
        <f t="shared" ref="F835:F898" si="13">+E835-D835</f>
        <v>-50000</v>
      </c>
    </row>
    <row r="836" spans="1:6" x14ac:dyDescent="0.2">
      <c r="A836" s="91">
        <v>45679</v>
      </c>
      <c r="B836" s="43">
        <v>32030</v>
      </c>
      <c r="C836" s="20" t="s">
        <v>29</v>
      </c>
      <c r="D836" s="18">
        <v>50000</v>
      </c>
      <c r="E836" s="19"/>
      <c r="F836" s="15">
        <f t="shared" si="13"/>
        <v>-50000</v>
      </c>
    </row>
    <row r="837" spans="1:6" x14ac:dyDescent="0.2">
      <c r="A837" s="91">
        <v>45680</v>
      </c>
      <c r="B837" s="43">
        <v>32024</v>
      </c>
      <c r="C837" s="20" t="s">
        <v>29</v>
      </c>
      <c r="D837" s="18">
        <v>50000</v>
      </c>
      <c r="E837" s="19"/>
      <c r="F837" s="15">
        <f t="shared" si="13"/>
        <v>-50000</v>
      </c>
    </row>
    <row r="838" spans="1:6" x14ac:dyDescent="0.2">
      <c r="A838" s="91">
        <v>45681</v>
      </c>
      <c r="B838" s="43">
        <v>32028</v>
      </c>
      <c r="C838" s="20" t="s">
        <v>29</v>
      </c>
      <c r="D838" s="18">
        <v>50000</v>
      </c>
      <c r="E838" s="19"/>
      <c r="F838" s="15">
        <f t="shared" si="13"/>
        <v>-50000</v>
      </c>
    </row>
    <row r="839" spans="1:6" x14ac:dyDescent="0.2">
      <c r="A839" s="91">
        <v>45700</v>
      </c>
      <c r="B839" s="43">
        <v>32076</v>
      </c>
      <c r="C839" s="20" t="s">
        <v>29</v>
      </c>
      <c r="D839" s="18">
        <v>50000</v>
      </c>
      <c r="E839" s="19"/>
      <c r="F839" s="15">
        <f t="shared" si="13"/>
        <v>-50000</v>
      </c>
    </row>
    <row r="840" spans="1:6" x14ac:dyDescent="0.2">
      <c r="A840" s="91">
        <v>45706</v>
      </c>
      <c r="B840" s="43">
        <v>32077</v>
      </c>
      <c r="C840" s="20" t="s">
        <v>29</v>
      </c>
      <c r="D840" s="18">
        <v>50000</v>
      </c>
      <c r="E840" s="19"/>
      <c r="F840" s="15">
        <f t="shared" si="13"/>
        <v>-50000</v>
      </c>
    </row>
    <row r="841" spans="1:6" x14ac:dyDescent="0.2">
      <c r="A841" s="91">
        <v>45707</v>
      </c>
      <c r="B841" s="43">
        <v>32082</v>
      </c>
      <c r="C841" s="20" t="s">
        <v>29</v>
      </c>
      <c r="D841" s="18">
        <v>50000</v>
      </c>
      <c r="E841" s="19"/>
      <c r="F841" s="15">
        <f t="shared" si="13"/>
        <v>-50000</v>
      </c>
    </row>
    <row r="842" spans="1:6" x14ac:dyDescent="0.2">
      <c r="A842" s="91">
        <v>45735</v>
      </c>
      <c r="B842" s="43">
        <v>32142</v>
      </c>
      <c r="C842" s="20" t="s">
        <v>29</v>
      </c>
      <c r="D842" s="18">
        <v>50000</v>
      </c>
      <c r="E842" s="19"/>
      <c r="F842" s="15">
        <f t="shared" si="13"/>
        <v>-50000</v>
      </c>
    </row>
    <row r="843" spans="1:6" x14ac:dyDescent="0.2">
      <c r="A843" s="91">
        <v>45736</v>
      </c>
      <c r="B843" s="43">
        <v>32148</v>
      </c>
      <c r="C843" s="20" t="s">
        <v>29</v>
      </c>
      <c r="D843" s="18">
        <v>50000</v>
      </c>
      <c r="E843" s="19"/>
      <c r="F843" s="15">
        <f t="shared" si="13"/>
        <v>-50000</v>
      </c>
    </row>
    <row r="844" spans="1:6" x14ac:dyDescent="0.2">
      <c r="A844" s="91">
        <v>45742</v>
      </c>
      <c r="B844" s="43">
        <v>32150</v>
      </c>
      <c r="C844" s="20" t="s">
        <v>29</v>
      </c>
      <c r="D844" s="18">
        <v>50000</v>
      </c>
      <c r="E844" s="19"/>
      <c r="F844" s="15">
        <f t="shared" si="13"/>
        <v>-50000</v>
      </c>
    </row>
    <row r="845" spans="1:6" x14ac:dyDescent="0.2">
      <c r="A845" s="91">
        <v>45770</v>
      </c>
      <c r="B845" s="43">
        <v>32251</v>
      </c>
      <c r="C845" s="20" t="s">
        <v>29</v>
      </c>
      <c r="D845" s="18">
        <v>50000</v>
      </c>
      <c r="E845" s="19"/>
      <c r="F845" s="15">
        <f t="shared" si="13"/>
        <v>-50000</v>
      </c>
    </row>
    <row r="846" spans="1:6" x14ac:dyDescent="0.2">
      <c r="A846" s="91">
        <v>45791</v>
      </c>
      <c r="B846" s="43">
        <v>32308</v>
      </c>
      <c r="C846" s="20" t="s">
        <v>29</v>
      </c>
      <c r="D846" s="18">
        <v>50000</v>
      </c>
      <c r="E846" s="19"/>
      <c r="F846" s="15">
        <f t="shared" si="13"/>
        <v>-50000</v>
      </c>
    </row>
    <row r="847" spans="1:6" x14ac:dyDescent="0.2">
      <c r="A847" s="91">
        <v>45842</v>
      </c>
      <c r="B847" s="43">
        <v>32442</v>
      </c>
      <c r="C847" s="20" t="s">
        <v>29</v>
      </c>
      <c r="D847" s="18">
        <v>50000</v>
      </c>
      <c r="E847" s="19"/>
      <c r="F847" s="15">
        <f t="shared" si="13"/>
        <v>-50000</v>
      </c>
    </row>
    <row r="848" spans="1:6" x14ac:dyDescent="0.2">
      <c r="A848" s="91">
        <v>45845</v>
      </c>
      <c r="B848" s="43">
        <v>32410</v>
      </c>
      <c r="C848" s="20" t="s">
        <v>29</v>
      </c>
      <c r="D848" s="18">
        <v>50000</v>
      </c>
      <c r="E848" s="19"/>
      <c r="F848" s="15">
        <f t="shared" si="13"/>
        <v>-50000</v>
      </c>
    </row>
    <row r="849" spans="1:8" x14ac:dyDescent="0.2">
      <c r="A849" s="91">
        <v>45544</v>
      </c>
      <c r="B849" s="16">
        <v>31706</v>
      </c>
      <c r="C849" s="20" t="s">
        <v>27</v>
      </c>
      <c r="D849" s="18">
        <v>50000</v>
      </c>
      <c r="E849" s="19"/>
      <c r="F849" s="15">
        <f t="shared" si="13"/>
        <v>-50000</v>
      </c>
      <c r="H849" s="10"/>
    </row>
    <row r="850" spans="1:8" x14ac:dyDescent="0.2">
      <c r="A850" s="91">
        <v>45678</v>
      </c>
      <c r="B850" s="43">
        <v>32019</v>
      </c>
      <c r="C850" s="20" t="s">
        <v>27</v>
      </c>
      <c r="D850" s="18">
        <v>50000</v>
      </c>
      <c r="E850" s="19"/>
      <c r="F850" s="15">
        <f t="shared" si="13"/>
        <v>-50000</v>
      </c>
    </row>
    <row r="851" spans="1:8" x14ac:dyDescent="0.2">
      <c r="A851" s="91">
        <v>45680</v>
      </c>
      <c r="B851" s="46">
        <v>32025</v>
      </c>
      <c r="C851" s="56" t="s">
        <v>27</v>
      </c>
      <c r="D851" s="48">
        <v>50000</v>
      </c>
      <c r="E851" s="49"/>
      <c r="F851" s="15">
        <f t="shared" si="13"/>
        <v>-50000</v>
      </c>
    </row>
    <row r="852" spans="1:8" x14ac:dyDescent="0.2">
      <c r="A852" s="91">
        <v>45735</v>
      </c>
      <c r="B852" s="44">
        <v>32141</v>
      </c>
      <c r="C852" s="57" t="s">
        <v>27</v>
      </c>
      <c r="D852" s="23">
        <v>50000</v>
      </c>
      <c r="E852" s="24"/>
      <c r="F852" s="15">
        <f t="shared" si="13"/>
        <v>-50000</v>
      </c>
    </row>
    <row r="853" spans="1:8" x14ac:dyDescent="0.2">
      <c r="A853" s="91">
        <v>45700</v>
      </c>
      <c r="B853" s="43">
        <v>32075</v>
      </c>
      <c r="C853" s="20" t="s">
        <v>298</v>
      </c>
      <c r="D853" s="18">
        <v>50000</v>
      </c>
      <c r="E853" s="19"/>
      <c r="F853" s="15">
        <f t="shared" si="13"/>
        <v>-50000</v>
      </c>
    </row>
    <row r="854" spans="1:8" x14ac:dyDescent="0.2">
      <c r="A854" s="91">
        <v>45706</v>
      </c>
      <c r="B854" s="43">
        <v>32079</v>
      </c>
      <c r="C854" s="20" t="s">
        <v>298</v>
      </c>
      <c r="D854" s="18">
        <v>50000</v>
      </c>
      <c r="E854" s="19"/>
      <c r="F854" s="15">
        <f t="shared" si="13"/>
        <v>-50000</v>
      </c>
    </row>
    <row r="855" spans="1:8" x14ac:dyDescent="0.2">
      <c r="A855" s="91">
        <v>45707</v>
      </c>
      <c r="B855" s="43">
        <v>32081</v>
      </c>
      <c r="C855" s="20" t="s">
        <v>298</v>
      </c>
      <c r="D855" s="18">
        <v>50000</v>
      </c>
      <c r="E855" s="19"/>
      <c r="F855" s="15">
        <f t="shared" si="13"/>
        <v>-50000</v>
      </c>
    </row>
    <row r="856" spans="1:8" x14ac:dyDescent="0.2">
      <c r="A856" s="91">
        <v>45768</v>
      </c>
      <c r="B856" s="43">
        <v>32246</v>
      </c>
      <c r="C856" s="20" t="s">
        <v>298</v>
      </c>
      <c r="D856" s="18">
        <v>50000</v>
      </c>
      <c r="E856" s="19"/>
      <c r="F856" s="15">
        <f t="shared" si="13"/>
        <v>-50000</v>
      </c>
    </row>
    <row r="857" spans="1:8" x14ac:dyDescent="0.2">
      <c r="A857" s="91">
        <v>45621</v>
      </c>
      <c r="B857" s="43">
        <v>31897</v>
      </c>
      <c r="C857" s="20" t="s">
        <v>189</v>
      </c>
      <c r="D857" s="18">
        <v>50000</v>
      </c>
      <c r="E857" s="19"/>
      <c r="F857" s="15">
        <f t="shared" si="13"/>
        <v>-50000</v>
      </c>
    </row>
    <row r="858" spans="1:8" x14ac:dyDescent="0.2">
      <c r="A858" s="91">
        <v>45624</v>
      </c>
      <c r="B858" s="43">
        <v>31899</v>
      </c>
      <c r="C858" s="20" t="s">
        <v>189</v>
      </c>
      <c r="D858" s="18">
        <v>50000</v>
      </c>
      <c r="E858" s="19"/>
      <c r="F858" s="15">
        <f t="shared" si="13"/>
        <v>-50000</v>
      </c>
    </row>
    <row r="859" spans="1:8" x14ac:dyDescent="0.2">
      <c r="A859" s="91">
        <v>45625</v>
      </c>
      <c r="B859" s="43">
        <v>31905</v>
      </c>
      <c r="C859" s="20" t="s">
        <v>189</v>
      </c>
      <c r="D859" s="18">
        <v>50000</v>
      </c>
      <c r="E859" s="19"/>
      <c r="F859" s="15">
        <f t="shared" si="13"/>
        <v>-50000</v>
      </c>
    </row>
    <row r="860" spans="1:8" x14ac:dyDescent="0.2">
      <c r="A860" s="91">
        <v>45544</v>
      </c>
      <c r="B860" s="16">
        <v>31708</v>
      </c>
      <c r="C860" s="20" t="s">
        <v>28</v>
      </c>
      <c r="D860" s="18">
        <v>50000</v>
      </c>
      <c r="E860" s="19"/>
      <c r="F860" s="15">
        <f t="shared" si="13"/>
        <v>-50000</v>
      </c>
      <c r="H860" s="10"/>
    </row>
    <row r="861" spans="1:8" x14ac:dyDescent="0.2">
      <c r="A861" s="91">
        <v>45566</v>
      </c>
      <c r="B861" s="43">
        <v>31702</v>
      </c>
      <c r="C861" s="20" t="s">
        <v>28</v>
      </c>
      <c r="D861" s="18">
        <v>50000</v>
      </c>
      <c r="E861" s="19"/>
      <c r="F861" s="15">
        <f t="shared" si="13"/>
        <v>-50000</v>
      </c>
    </row>
    <row r="862" spans="1:8" x14ac:dyDescent="0.2">
      <c r="A862" s="91">
        <v>45567</v>
      </c>
      <c r="B862" s="43">
        <v>31700</v>
      </c>
      <c r="C862" s="20" t="s">
        <v>28</v>
      </c>
      <c r="D862" s="18">
        <v>50000</v>
      </c>
      <c r="E862" s="19"/>
      <c r="F862" s="15">
        <f t="shared" si="13"/>
        <v>-50000</v>
      </c>
    </row>
    <row r="863" spans="1:8" x14ac:dyDescent="0.2">
      <c r="A863" s="91">
        <v>45595</v>
      </c>
      <c r="B863" s="43">
        <v>31804</v>
      </c>
      <c r="C863" s="20" t="s">
        <v>28</v>
      </c>
      <c r="D863" s="18">
        <v>50000</v>
      </c>
      <c r="E863" s="19"/>
      <c r="F863" s="15">
        <f t="shared" si="13"/>
        <v>-50000</v>
      </c>
    </row>
    <row r="864" spans="1:8" x14ac:dyDescent="0.2">
      <c r="A864" s="91">
        <v>45615</v>
      </c>
      <c r="B864" s="43">
        <v>31807</v>
      </c>
      <c r="C864" s="20" t="s">
        <v>28</v>
      </c>
      <c r="D864" s="18">
        <v>50000</v>
      </c>
      <c r="E864" s="19"/>
      <c r="F864" s="15">
        <f t="shared" si="13"/>
        <v>-50000</v>
      </c>
    </row>
    <row r="865" spans="1:6" x14ac:dyDescent="0.2">
      <c r="A865" s="91">
        <v>45621</v>
      </c>
      <c r="B865" s="43">
        <v>31895</v>
      </c>
      <c r="C865" s="20" t="s">
        <v>28</v>
      </c>
      <c r="D865" s="18">
        <v>50000</v>
      </c>
      <c r="E865" s="19"/>
      <c r="F865" s="15">
        <f t="shared" si="13"/>
        <v>-50000</v>
      </c>
    </row>
    <row r="866" spans="1:6" x14ac:dyDescent="0.2">
      <c r="A866" s="91">
        <v>45624</v>
      </c>
      <c r="B866" s="43">
        <v>31902</v>
      </c>
      <c r="C866" s="20" t="s">
        <v>28</v>
      </c>
      <c r="D866" s="18">
        <v>50000</v>
      </c>
      <c r="E866" s="19"/>
      <c r="F866" s="15">
        <f t="shared" si="13"/>
        <v>-50000</v>
      </c>
    </row>
    <row r="867" spans="1:6" x14ac:dyDescent="0.2">
      <c r="A867" s="91">
        <v>45625</v>
      </c>
      <c r="B867" s="43">
        <v>31907</v>
      </c>
      <c r="C867" s="20" t="s">
        <v>28</v>
      </c>
      <c r="D867" s="18">
        <v>50000</v>
      </c>
      <c r="E867" s="19"/>
      <c r="F867" s="15">
        <f t="shared" si="13"/>
        <v>-50000</v>
      </c>
    </row>
    <row r="868" spans="1:6" x14ac:dyDescent="0.2">
      <c r="A868" s="91">
        <v>45652</v>
      </c>
      <c r="B868" s="43">
        <v>31949</v>
      </c>
      <c r="C868" s="20" t="s">
        <v>28</v>
      </c>
      <c r="D868" s="18">
        <v>50000</v>
      </c>
      <c r="E868" s="19"/>
      <c r="F868" s="15">
        <f t="shared" si="13"/>
        <v>-50000</v>
      </c>
    </row>
    <row r="869" spans="1:6" x14ac:dyDescent="0.2">
      <c r="A869" s="91">
        <v>45653</v>
      </c>
      <c r="B869" s="43">
        <v>31953</v>
      </c>
      <c r="C869" s="20" t="s">
        <v>28</v>
      </c>
      <c r="D869" s="18">
        <v>50000</v>
      </c>
      <c r="E869" s="19"/>
      <c r="F869" s="15">
        <f t="shared" si="13"/>
        <v>-50000</v>
      </c>
    </row>
    <row r="870" spans="1:6" x14ac:dyDescent="0.2">
      <c r="A870" s="91">
        <v>45656</v>
      </c>
      <c r="B870" s="43">
        <v>31956</v>
      </c>
      <c r="C870" s="20" t="s">
        <v>28</v>
      </c>
      <c r="D870" s="25">
        <v>50000</v>
      </c>
      <c r="E870" s="19"/>
      <c r="F870" s="15">
        <f t="shared" si="13"/>
        <v>-50000</v>
      </c>
    </row>
    <row r="871" spans="1:6" x14ac:dyDescent="0.2">
      <c r="A871" s="91">
        <v>45700</v>
      </c>
      <c r="B871" s="43">
        <v>32073</v>
      </c>
      <c r="C871" s="20" t="s">
        <v>28</v>
      </c>
      <c r="D871" s="18">
        <v>50000</v>
      </c>
      <c r="E871" s="19"/>
      <c r="F871" s="15">
        <f t="shared" si="13"/>
        <v>-50000</v>
      </c>
    </row>
    <row r="872" spans="1:6" x14ac:dyDescent="0.2">
      <c r="A872" s="91">
        <v>45706</v>
      </c>
      <c r="B872" s="43">
        <v>32078</v>
      </c>
      <c r="C872" s="20" t="s">
        <v>28</v>
      </c>
      <c r="D872" s="18">
        <v>50000</v>
      </c>
      <c r="E872" s="19"/>
      <c r="F872" s="15">
        <f t="shared" si="13"/>
        <v>-50000</v>
      </c>
    </row>
    <row r="873" spans="1:6" x14ac:dyDescent="0.2">
      <c r="A873" s="91">
        <v>45707</v>
      </c>
      <c r="B873" s="43">
        <v>32083</v>
      </c>
      <c r="C873" s="20" t="s">
        <v>28</v>
      </c>
      <c r="D873" s="18">
        <v>50000</v>
      </c>
      <c r="E873" s="19"/>
      <c r="F873" s="15">
        <f t="shared" si="13"/>
        <v>-50000</v>
      </c>
    </row>
    <row r="874" spans="1:6" x14ac:dyDescent="0.2">
      <c r="A874" s="91">
        <v>45708</v>
      </c>
      <c r="B874" s="43">
        <v>32085</v>
      </c>
      <c r="C874" s="20" t="s">
        <v>28</v>
      </c>
      <c r="D874" s="18">
        <v>50000</v>
      </c>
      <c r="E874" s="19"/>
      <c r="F874" s="15">
        <f t="shared" si="13"/>
        <v>-50000</v>
      </c>
    </row>
    <row r="875" spans="1:6" x14ac:dyDescent="0.2">
      <c r="A875" s="91">
        <v>45736</v>
      </c>
      <c r="B875" s="43">
        <v>32145</v>
      </c>
      <c r="C875" s="20" t="s">
        <v>28</v>
      </c>
      <c r="D875" s="18">
        <v>50000</v>
      </c>
      <c r="E875" s="19"/>
      <c r="F875" s="15">
        <f t="shared" si="13"/>
        <v>-50000</v>
      </c>
    </row>
    <row r="876" spans="1:6" x14ac:dyDescent="0.2">
      <c r="A876" s="91">
        <v>45742</v>
      </c>
      <c r="B876" s="43">
        <v>32149</v>
      </c>
      <c r="C876" s="20" t="s">
        <v>28</v>
      </c>
      <c r="D876" s="18">
        <v>50000</v>
      </c>
      <c r="E876" s="19"/>
      <c r="F876" s="15">
        <f t="shared" si="13"/>
        <v>-50000</v>
      </c>
    </row>
    <row r="877" spans="1:6" x14ac:dyDescent="0.2">
      <c r="A877" s="91">
        <v>45743</v>
      </c>
      <c r="B877" s="43">
        <v>32153</v>
      </c>
      <c r="C877" s="20" t="s">
        <v>28</v>
      </c>
      <c r="D877" s="18">
        <v>50000</v>
      </c>
      <c r="E877" s="19"/>
      <c r="F877" s="15">
        <f t="shared" si="13"/>
        <v>-50000</v>
      </c>
    </row>
    <row r="878" spans="1:6" x14ac:dyDescent="0.2">
      <c r="A878" s="91">
        <v>45768</v>
      </c>
      <c r="B878" s="46">
        <v>32247</v>
      </c>
      <c r="C878" s="56" t="s">
        <v>28</v>
      </c>
      <c r="D878" s="48">
        <v>50000</v>
      </c>
      <c r="E878" s="49"/>
      <c r="F878" s="15">
        <f t="shared" si="13"/>
        <v>-50000</v>
      </c>
    </row>
    <row r="879" spans="1:6" x14ac:dyDescent="0.2">
      <c r="A879" s="91">
        <v>45770</v>
      </c>
      <c r="B879" s="44">
        <v>32249</v>
      </c>
      <c r="C879" s="57" t="s">
        <v>28</v>
      </c>
      <c r="D879" s="23">
        <v>50000</v>
      </c>
      <c r="E879" s="24"/>
      <c r="F879" s="15">
        <f t="shared" si="13"/>
        <v>-50000</v>
      </c>
    </row>
    <row r="880" spans="1:6" x14ac:dyDescent="0.2">
      <c r="A880" s="91">
        <v>45771</v>
      </c>
      <c r="B880" s="43">
        <v>32253</v>
      </c>
      <c r="C880" s="20" t="s">
        <v>28</v>
      </c>
      <c r="D880" s="18">
        <v>50000</v>
      </c>
      <c r="E880" s="19"/>
      <c r="F880" s="15">
        <f t="shared" si="13"/>
        <v>-50000</v>
      </c>
    </row>
    <row r="881" spans="1:8" x14ac:dyDescent="0.2">
      <c r="A881" s="91">
        <v>45791</v>
      </c>
      <c r="B881" s="43">
        <v>32307</v>
      </c>
      <c r="C881" s="20" t="s">
        <v>28</v>
      </c>
      <c r="D881" s="18">
        <v>50000</v>
      </c>
      <c r="E881" s="19"/>
      <c r="F881" s="15">
        <f t="shared" si="13"/>
        <v>-50000</v>
      </c>
    </row>
    <row r="882" spans="1:8" x14ac:dyDescent="0.2">
      <c r="A882" s="91">
        <v>45842</v>
      </c>
      <c r="B882" s="43">
        <v>32443</v>
      </c>
      <c r="C882" s="20" t="s">
        <v>28</v>
      </c>
      <c r="D882" s="18">
        <v>50000</v>
      </c>
      <c r="E882" s="19"/>
      <c r="F882" s="15">
        <f t="shared" si="13"/>
        <v>-50000</v>
      </c>
    </row>
    <row r="883" spans="1:8" x14ac:dyDescent="0.2">
      <c r="A883" s="91">
        <v>45845</v>
      </c>
      <c r="B883" s="43">
        <v>32411</v>
      </c>
      <c r="C883" s="20" t="s">
        <v>28</v>
      </c>
      <c r="D883" s="18">
        <v>50000</v>
      </c>
      <c r="E883" s="19"/>
      <c r="F883" s="15">
        <f t="shared" si="13"/>
        <v>-50000</v>
      </c>
    </row>
    <row r="884" spans="1:8" x14ac:dyDescent="0.2">
      <c r="A884" s="91">
        <v>45597</v>
      </c>
      <c r="B884" s="45"/>
      <c r="C884" s="17" t="s">
        <v>143</v>
      </c>
      <c r="D884" s="18">
        <v>360</v>
      </c>
      <c r="E884" s="19"/>
      <c r="F884" s="15">
        <f t="shared" si="13"/>
        <v>-360</v>
      </c>
    </row>
    <row r="885" spans="1:8" x14ac:dyDescent="0.2">
      <c r="A885" s="91">
        <v>45628</v>
      </c>
      <c r="B885" s="45"/>
      <c r="C885" s="17" t="s">
        <v>143</v>
      </c>
      <c r="D885" s="18">
        <v>490</v>
      </c>
      <c r="E885" s="19"/>
      <c r="F885" s="15">
        <f t="shared" si="13"/>
        <v>-490</v>
      </c>
    </row>
    <row r="886" spans="1:8" x14ac:dyDescent="0.2">
      <c r="A886" s="91">
        <v>45659</v>
      </c>
      <c r="B886" s="45"/>
      <c r="C886" s="17" t="s">
        <v>143</v>
      </c>
      <c r="D886" s="18">
        <v>490</v>
      </c>
      <c r="E886" s="19"/>
      <c r="F886" s="15">
        <f t="shared" si="13"/>
        <v>-490</v>
      </c>
    </row>
    <row r="887" spans="1:8" x14ac:dyDescent="0.2">
      <c r="A887" s="91">
        <v>45691</v>
      </c>
      <c r="B887" s="45"/>
      <c r="C887" s="17" t="s">
        <v>143</v>
      </c>
      <c r="D887" s="18">
        <v>490</v>
      </c>
      <c r="E887" s="19"/>
      <c r="F887" s="15">
        <f t="shared" si="13"/>
        <v>-490</v>
      </c>
    </row>
    <row r="888" spans="1:8" x14ac:dyDescent="0.2">
      <c r="A888" s="91">
        <v>45721</v>
      </c>
      <c r="B888" s="45"/>
      <c r="C888" s="17" t="s">
        <v>143</v>
      </c>
      <c r="D888" s="18">
        <v>980</v>
      </c>
      <c r="E888" s="19"/>
      <c r="F888" s="15">
        <f t="shared" si="13"/>
        <v>-980</v>
      </c>
    </row>
    <row r="889" spans="1:8" x14ac:dyDescent="0.2">
      <c r="A889" s="91">
        <v>45748</v>
      </c>
      <c r="B889" s="45"/>
      <c r="C889" s="17" t="s">
        <v>143</v>
      </c>
      <c r="D889" s="18">
        <v>1280</v>
      </c>
      <c r="E889" s="19"/>
      <c r="F889" s="15">
        <f t="shared" si="13"/>
        <v>-1280</v>
      </c>
    </row>
    <row r="890" spans="1:8" x14ac:dyDescent="0.2">
      <c r="A890" s="91">
        <v>45782</v>
      </c>
      <c r="B890" s="45"/>
      <c r="C890" s="17" t="s">
        <v>143</v>
      </c>
      <c r="D890" s="18">
        <v>1280</v>
      </c>
      <c r="E890" s="19"/>
      <c r="F890" s="15">
        <f t="shared" si="13"/>
        <v>-1280</v>
      </c>
    </row>
    <row r="891" spans="1:8" x14ac:dyDescent="0.2">
      <c r="A891" s="91">
        <v>45534</v>
      </c>
      <c r="B891" s="16">
        <v>16932</v>
      </c>
      <c r="C891" s="20" t="s">
        <v>7</v>
      </c>
      <c r="D891" s="18">
        <v>1485</v>
      </c>
      <c r="E891" s="19"/>
      <c r="F891" s="15">
        <f t="shared" si="13"/>
        <v>-1485</v>
      </c>
      <c r="H891" s="10"/>
    </row>
    <row r="892" spans="1:8" x14ac:dyDescent="0.2">
      <c r="A892" s="91">
        <v>45534</v>
      </c>
      <c r="B892" s="16">
        <v>16933</v>
      </c>
      <c r="C892" s="20" t="s">
        <v>7</v>
      </c>
      <c r="D892" s="18">
        <v>1485</v>
      </c>
      <c r="E892" s="19"/>
      <c r="F892" s="15">
        <f t="shared" si="13"/>
        <v>-1485</v>
      </c>
      <c r="H892" s="10"/>
    </row>
    <row r="893" spans="1:8" x14ac:dyDescent="0.2">
      <c r="A893" s="91">
        <v>45534</v>
      </c>
      <c r="B893" s="16">
        <v>16934</v>
      </c>
      <c r="C893" s="20" t="s">
        <v>7</v>
      </c>
      <c r="D893" s="18">
        <v>1485</v>
      </c>
      <c r="E893" s="19"/>
      <c r="F893" s="15">
        <f t="shared" si="13"/>
        <v>-1485</v>
      </c>
      <c r="H893" s="10"/>
    </row>
    <row r="894" spans="1:8" x14ac:dyDescent="0.2">
      <c r="A894" s="91">
        <v>45544</v>
      </c>
      <c r="B894" s="16">
        <v>13753</v>
      </c>
      <c r="C894" s="20" t="s">
        <v>7</v>
      </c>
      <c r="D894" s="18">
        <v>720</v>
      </c>
      <c r="E894" s="19"/>
      <c r="F894" s="15">
        <f t="shared" si="13"/>
        <v>-720</v>
      </c>
      <c r="H894" s="10"/>
    </row>
    <row r="895" spans="1:8" x14ac:dyDescent="0.2">
      <c r="A895" s="91">
        <v>45544</v>
      </c>
      <c r="B895" s="16">
        <v>13754</v>
      </c>
      <c r="C895" s="20" t="s">
        <v>7</v>
      </c>
      <c r="D895" s="18">
        <v>1485</v>
      </c>
      <c r="E895" s="19"/>
      <c r="F895" s="15">
        <f t="shared" si="13"/>
        <v>-1485</v>
      </c>
      <c r="H895" s="10"/>
    </row>
    <row r="896" spans="1:8" x14ac:dyDescent="0.2">
      <c r="A896" s="91">
        <v>45552</v>
      </c>
      <c r="B896" s="16">
        <v>12427</v>
      </c>
      <c r="C896" s="20" t="s">
        <v>7</v>
      </c>
      <c r="D896" s="18">
        <v>720</v>
      </c>
      <c r="E896" s="19"/>
      <c r="F896" s="15">
        <f t="shared" si="13"/>
        <v>-720</v>
      </c>
      <c r="H896" s="10"/>
    </row>
    <row r="897" spans="1:8" x14ac:dyDescent="0.2">
      <c r="A897" s="91">
        <v>45552</v>
      </c>
      <c r="B897" s="16">
        <v>12428</v>
      </c>
      <c r="C897" s="20" t="s">
        <v>7</v>
      </c>
      <c r="D897" s="18">
        <v>720</v>
      </c>
      <c r="E897" s="19"/>
      <c r="F897" s="15">
        <f t="shared" si="13"/>
        <v>-720</v>
      </c>
      <c r="H897" s="10"/>
    </row>
    <row r="898" spans="1:8" x14ac:dyDescent="0.2">
      <c r="A898" s="91">
        <v>45552</v>
      </c>
      <c r="B898" s="16">
        <v>12429</v>
      </c>
      <c r="C898" s="20" t="s">
        <v>7</v>
      </c>
      <c r="D898" s="18">
        <v>720</v>
      </c>
      <c r="E898" s="19"/>
      <c r="F898" s="15">
        <f t="shared" si="13"/>
        <v>-720</v>
      </c>
      <c r="H898" s="10"/>
    </row>
    <row r="899" spans="1:8" x14ac:dyDescent="0.2">
      <c r="A899" s="91">
        <v>45552</v>
      </c>
      <c r="B899" s="16">
        <v>12430</v>
      </c>
      <c r="C899" s="20" t="s">
        <v>7</v>
      </c>
      <c r="D899" s="18">
        <v>720</v>
      </c>
      <c r="E899" s="19"/>
      <c r="F899" s="15">
        <f t="shared" ref="F899:F962" si="14">+E899-D899</f>
        <v>-720</v>
      </c>
      <c r="H899" s="10"/>
    </row>
    <row r="900" spans="1:8" x14ac:dyDescent="0.2">
      <c r="A900" s="91">
        <v>45553</v>
      </c>
      <c r="B900" s="16">
        <v>12267</v>
      </c>
      <c r="C900" s="20" t="s">
        <v>7</v>
      </c>
      <c r="D900" s="18">
        <v>1485</v>
      </c>
      <c r="E900" s="19"/>
      <c r="F900" s="15">
        <f t="shared" si="14"/>
        <v>-1485</v>
      </c>
      <c r="H900" s="10"/>
    </row>
    <row r="901" spans="1:8" x14ac:dyDescent="0.2">
      <c r="A901" s="91">
        <v>45553</v>
      </c>
      <c r="B901" s="16">
        <v>12268</v>
      </c>
      <c r="C901" s="20" t="s">
        <v>7</v>
      </c>
      <c r="D901" s="18">
        <v>1485</v>
      </c>
      <c r="E901" s="19"/>
      <c r="F901" s="15">
        <f t="shared" si="14"/>
        <v>-1485</v>
      </c>
      <c r="H901" s="10"/>
    </row>
    <row r="902" spans="1:8" x14ac:dyDescent="0.2">
      <c r="A902" s="91">
        <v>45558</v>
      </c>
      <c r="B902" s="16">
        <v>12993</v>
      </c>
      <c r="C902" s="20" t="s">
        <v>7</v>
      </c>
      <c r="D902" s="18">
        <v>720</v>
      </c>
      <c r="E902" s="19"/>
      <c r="F902" s="15">
        <f t="shared" si="14"/>
        <v>-720</v>
      </c>
      <c r="H902" s="10"/>
    </row>
    <row r="903" spans="1:8" x14ac:dyDescent="0.2">
      <c r="A903" s="91">
        <v>45558</v>
      </c>
      <c r="B903" s="16">
        <v>12994</v>
      </c>
      <c r="C903" s="20" t="s">
        <v>7</v>
      </c>
      <c r="D903" s="18">
        <v>720</v>
      </c>
      <c r="E903" s="19"/>
      <c r="F903" s="15">
        <f t="shared" si="14"/>
        <v>-720</v>
      </c>
      <c r="H903" s="10"/>
    </row>
    <row r="904" spans="1:8" x14ac:dyDescent="0.2">
      <c r="A904" s="91">
        <v>45558</v>
      </c>
      <c r="B904" s="67">
        <v>12995</v>
      </c>
      <c r="C904" s="56" t="s">
        <v>7</v>
      </c>
      <c r="D904" s="48">
        <v>720</v>
      </c>
      <c r="E904" s="49"/>
      <c r="F904" s="15">
        <f t="shared" si="14"/>
        <v>-720</v>
      </c>
      <c r="H904" s="10"/>
    </row>
    <row r="905" spans="1:8" x14ac:dyDescent="0.2">
      <c r="A905" s="91">
        <v>45558</v>
      </c>
      <c r="B905" s="21">
        <v>12996</v>
      </c>
      <c r="C905" s="57" t="s">
        <v>7</v>
      </c>
      <c r="D905" s="31">
        <v>1485</v>
      </c>
      <c r="E905" s="24"/>
      <c r="F905" s="15">
        <f t="shared" si="14"/>
        <v>-1485</v>
      </c>
      <c r="H905" s="10"/>
    </row>
    <row r="906" spans="1:8" x14ac:dyDescent="0.2">
      <c r="A906" s="91">
        <v>45560</v>
      </c>
      <c r="B906" s="16">
        <v>12384</v>
      </c>
      <c r="C906" s="20" t="s">
        <v>7</v>
      </c>
      <c r="D906" s="18">
        <v>720</v>
      </c>
      <c r="E906" s="19"/>
      <c r="F906" s="15">
        <f t="shared" si="14"/>
        <v>-720</v>
      </c>
      <c r="H906" s="10"/>
    </row>
    <row r="907" spans="1:8" x14ac:dyDescent="0.2">
      <c r="A907" s="91">
        <v>45560</v>
      </c>
      <c r="B907" s="16">
        <v>12385</v>
      </c>
      <c r="C907" s="20" t="s">
        <v>7</v>
      </c>
      <c r="D907" s="18">
        <v>1485</v>
      </c>
      <c r="E907" s="19"/>
      <c r="F907" s="15">
        <f t="shared" si="14"/>
        <v>-1485</v>
      </c>
      <c r="H907" s="10"/>
    </row>
    <row r="908" spans="1:8" x14ac:dyDescent="0.2">
      <c r="A908" s="91">
        <v>45581</v>
      </c>
      <c r="B908" s="43">
        <v>12474</v>
      </c>
      <c r="C908" s="20" t="s">
        <v>7</v>
      </c>
      <c r="D908" s="18">
        <v>315</v>
      </c>
      <c r="E908" s="19"/>
      <c r="F908" s="15">
        <f t="shared" si="14"/>
        <v>-315</v>
      </c>
    </row>
    <row r="909" spans="1:8" x14ac:dyDescent="0.2">
      <c r="A909" s="91">
        <v>45581</v>
      </c>
      <c r="B909" s="43">
        <v>12475</v>
      </c>
      <c r="C909" s="20" t="s">
        <v>7</v>
      </c>
      <c r="D909" s="18">
        <v>720</v>
      </c>
      <c r="E909" s="19"/>
      <c r="F909" s="15">
        <f t="shared" si="14"/>
        <v>-720</v>
      </c>
    </row>
    <row r="910" spans="1:8" x14ac:dyDescent="0.2">
      <c r="A910" s="91">
        <v>45581</v>
      </c>
      <c r="B910" s="43">
        <v>12476</v>
      </c>
      <c r="C910" s="20" t="s">
        <v>7</v>
      </c>
      <c r="D910" s="18">
        <v>1485</v>
      </c>
      <c r="E910" s="19"/>
      <c r="F910" s="15">
        <f t="shared" si="14"/>
        <v>-1485</v>
      </c>
    </row>
    <row r="911" spans="1:8" x14ac:dyDescent="0.2">
      <c r="A911" s="91">
        <v>45583</v>
      </c>
      <c r="B911" s="43">
        <v>17574</v>
      </c>
      <c r="C911" s="20" t="s">
        <v>7</v>
      </c>
      <c r="D911" s="18">
        <v>720</v>
      </c>
      <c r="E911" s="19"/>
      <c r="F911" s="15">
        <f t="shared" si="14"/>
        <v>-720</v>
      </c>
    </row>
    <row r="912" spans="1:8" x14ac:dyDescent="0.2">
      <c r="A912" s="91">
        <v>45583</v>
      </c>
      <c r="B912" s="43">
        <v>17575</v>
      </c>
      <c r="C912" s="20" t="s">
        <v>7</v>
      </c>
      <c r="D912" s="18">
        <v>1485</v>
      </c>
      <c r="E912" s="19"/>
      <c r="F912" s="15">
        <f t="shared" si="14"/>
        <v>-1485</v>
      </c>
    </row>
    <row r="913" spans="1:6" x14ac:dyDescent="0.2">
      <c r="A913" s="91">
        <v>45583</v>
      </c>
      <c r="B913" s="43">
        <v>17576</v>
      </c>
      <c r="C913" s="20" t="s">
        <v>7</v>
      </c>
      <c r="D913" s="18">
        <v>1485</v>
      </c>
      <c r="E913" s="19"/>
      <c r="F913" s="15">
        <f t="shared" si="14"/>
        <v>-1485</v>
      </c>
    </row>
    <row r="914" spans="1:6" x14ac:dyDescent="0.2">
      <c r="A914" s="91">
        <v>45583</v>
      </c>
      <c r="B914" s="43">
        <v>17577</v>
      </c>
      <c r="C914" s="20" t="s">
        <v>7</v>
      </c>
      <c r="D914" s="18">
        <v>1485</v>
      </c>
      <c r="E914" s="19"/>
      <c r="F914" s="15">
        <f t="shared" si="14"/>
        <v>-1485</v>
      </c>
    </row>
    <row r="915" spans="1:6" x14ac:dyDescent="0.2">
      <c r="A915" s="91">
        <v>45594</v>
      </c>
      <c r="B915" s="43">
        <v>12957</v>
      </c>
      <c r="C915" s="20" t="s">
        <v>7</v>
      </c>
      <c r="D915" s="18">
        <v>720</v>
      </c>
      <c r="E915" s="19"/>
      <c r="F915" s="15">
        <f t="shared" si="14"/>
        <v>-720</v>
      </c>
    </row>
    <row r="916" spans="1:6" x14ac:dyDescent="0.2">
      <c r="A916" s="91">
        <v>45594</v>
      </c>
      <c r="B916" s="43">
        <v>12958</v>
      </c>
      <c r="C916" s="20" t="s">
        <v>7</v>
      </c>
      <c r="D916" s="18">
        <v>720</v>
      </c>
      <c r="E916" s="19"/>
      <c r="F916" s="15">
        <f t="shared" si="14"/>
        <v>-720</v>
      </c>
    </row>
    <row r="917" spans="1:6" x14ac:dyDescent="0.2">
      <c r="A917" s="91">
        <v>45594</v>
      </c>
      <c r="B917" s="43">
        <v>12959</v>
      </c>
      <c r="C917" s="20" t="s">
        <v>7</v>
      </c>
      <c r="D917" s="18">
        <v>720</v>
      </c>
      <c r="E917" s="19"/>
      <c r="F917" s="15">
        <f t="shared" si="14"/>
        <v>-720</v>
      </c>
    </row>
    <row r="918" spans="1:6" x14ac:dyDescent="0.2">
      <c r="A918" s="91">
        <v>45594</v>
      </c>
      <c r="B918" s="43">
        <v>12960</v>
      </c>
      <c r="C918" s="20" t="s">
        <v>7</v>
      </c>
      <c r="D918" s="18">
        <v>720</v>
      </c>
      <c r="E918" s="19"/>
      <c r="F918" s="15">
        <f t="shared" si="14"/>
        <v>-720</v>
      </c>
    </row>
    <row r="919" spans="1:6" x14ac:dyDescent="0.2">
      <c r="A919" s="91">
        <v>45594</v>
      </c>
      <c r="B919" s="43">
        <v>12961</v>
      </c>
      <c r="C919" s="20" t="s">
        <v>7</v>
      </c>
      <c r="D919" s="18">
        <v>1485</v>
      </c>
      <c r="E919" s="19"/>
      <c r="F919" s="15">
        <f t="shared" si="14"/>
        <v>-1485</v>
      </c>
    </row>
    <row r="920" spans="1:6" x14ac:dyDescent="0.2">
      <c r="A920" s="91">
        <v>45595</v>
      </c>
      <c r="B920" s="43">
        <v>12428</v>
      </c>
      <c r="C920" s="20" t="s">
        <v>7</v>
      </c>
      <c r="D920" s="18">
        <v>1485</v>
      </c>
      <c r="E920" s="19"/>
      <c r="F920" s="15">
        <f t="shared" si="14"/>
        <v>-1485</v>
      </c>
    </row>
    <row r="921" spans="1:6" x14ac:dyDescent="0.2">
      <c r="A921" s="91">
        <v>45595</v>
      </c>
      <c r="B921" s="43">
        <v>12429</v>
      </c>
      <c r="C921" s="20" t="s">
        <v>7</v>
      </c>
      <c r="D921" s="18">
        <v>1485</v>
      </c>
      <c r="E921" s="19"/>
      <c r="F921" s="15">
        <f t="shared" si="14"/>
        <v>-1485</v>
      </c>
    </row>
    <row r="922" spans="1:6" x14ac:dyDescent="0.2">
      <c r="A922" s="91">
        <v>45610</v>
      </c>
      <c r="B922" s="43">
        <v>13797</v>
      </c>
      <c r="C922" s="20" t="s">
        <v>7</v>
      </c>
      <c r="D922" s="18">
        <v>1485</v>
      </c>
      <c r="E922" s="19"/>
      <c r="F922" s="15">
        <f t="shared" si="14"/>
        <v>-1485</v>
      </c>
    </row>
    <row r="923" spans="1:6" x14ac:dyDescent="0.2">
      <c r="A923" s="91">
        <v>45611</v>
      </c>
      <c r="B923" s="43">
        <v>17032</v>
      </c>
      <c r="C923" s="20" t="s">
        <v>7</v>
      </c>
      <c r="D923" s="18">
        <v>120</v>
      </c>
      <c r="E923" s="19"/>
      <c r="F923" s="15">
        <f t="shared" si="14"/>
        <v>-120</v>
      </c>
    </row>
    <row r="924" spans="1:6" x14ac:dyDescent="0.2">
      <c r="A924" s="91">
        <v>45611</v>
      </c>
      <c r="B924" s="43">
        <v>17033</v>
      </c>
      <c r="C924" s="20" t="s">
        <v>7</v>
      </c>
      <c r="D924" s="18">
        <v>720</v>
      </c>
      <c r="E924" s="19"/>
      <c r="F924" s="15">
        <f t="shared" si="14"/>
        <v>-720</v>
      </c>
    </row>
    <row r="925" spans="1:6" x14ac:dyDescent="0.2">
      <c r="A925" s="91">
        <v>45611</v>
      </c>
      <c r="B925" s="43">
        <v>17034</v>
      </c>
      <c r="C925" s="20" t="s">
        <v>7</v>
      </c>
      <c r="D925" s="18">
        <v>720</v>
      </c>
      <c r="E925" s="19"/>
      <c r="F925" s="15">
        <f t="shared" si="14"/>
        <v>-720</v>
      </c>
    </row>
    <row r="926" spans="1:6" x14ac:dyDescent="0.2">
      <c r="A926" s="91">
        <v>45611</v>
      </c>
      <c r="B926" s="43">
        <v>17035</v>
      </c>
      <c r="C926" s="20" t="s">
        <v>7</v>
      </c>
      <c r="D926" s="18">
        <v>1485</v>
      </c>
      <c r="E926" s="19"/>
      <c r="F926" s="15">
        <f t="shared" si="14"/>
        <v>-1485</v>
      </c>
    </row>
    <row r="927" spans="1:6" x14ac:dyDescent="0.2">
      <c r="A927" s="91">
        <v>45611</v>
      </c>
      <c r="B927" s="46">
        <v>17036</v>
      </c>
      <c r="C927" s="56" t="s">
        <v>7</v>
      </c>
      <c r="D927" s="48">
        <v>1485</v>
      </c>
      <c r="E927" s="49"/>
      <c r="F927" s="15">
        <f t="shared" si="14"/>
        <v>-1485</v>
      </c>
    </row>
    <row r="928" spans="1:6" x14ac:dyDescent="0.2">
      <c r="A928" s="91">
        <v>45611</v>
      </c>
      <c r="B928" s="44">
        <v>17037</v>
      </c>
      <c r="C928" s="57" t="s">
        <v>7</v>
      </c>
      <c r="D928" s="23">
        <v>1485</v>
      </c>
      <c r="E928" s="24"/>
      <c r="F928" s="15">
        <f t="shared" si="14"/>
        <v>-1485</v>
      </c>
    </row>
    <row r="929" spans="1:6" x14ac:dyDescent="0.2">
      <c r="A929" s="91">
        <v>45611</v>
      </c>
      <c r="B929" s="43">
        <v>17038</v>
      </c>
      <c r="C929" s="20" t="s">
        <v>7</v>
      </c>
      <c r="D929" s="18">
        <v>1485</v>
      </c>
      <c r="E929" s="19"/>
      <c r="F929" s="15">
        <f t="shared" si="14"/>
        <v>-1485</v>
      </c>
    </row>
    <row r="930" spans="1:6" x14ac:dyDescent="0.2">
      <c r="A930" s="91">
        <v>45616</v>
      </c>
      <c r="B930" s="43">
        <v>14456</v>
      </c>
      <c r="C930" s="20" t="s">
        <v>7</v>
      </c>
      <c r="D930" s="18">
        <v>720</v>
      </c>
      <c r="E930" s="19"/>
      <c r="F930" s="15">
        <f t="shared" si="14"/>
        <v>-720</v>
      </c>
    </row>
    <row r="931" spans="1:6" x14ac:dyDescent="0.2">
      <c r="A931" s="91">
        <v>45616</v>
      </c>
      <c r="B931" s="43">
        <v>14457</v>
      </c>
      <c r="C931" s="20" t="s">
        <v>7</v>
      </c>
      <c r="D931" s="18">
        <v>1485</v>
      </c>
      <c r="E931" s="19"/>
      <c r="F931" s="15">
        <f t="shared" si="14"/>
        <v>-1485</v>
      </c>
    </row>
    <row r="932" spans="1:6" x14ac:dyDescent="0.2">
      <c r="A932" s="91">
        <v>45616</v>
      </c>
      <c r="B932" s="43">
        <v>14458</v>
      </c>
      <c r="C932" s="20" t="s">
        <v>7</v>
      </c>
      <c r="D932" s="18">
        <v>1485</v>
      </c>
      <c r="E932" s="19"/>
      <c r="F932" s="15">
        <f t="shared" si="14"/>
        <v>-1485</v>
      </c>
    </row>
    <row r="933" spans="1:6" x14ac:dyDescent="0.2">
      <c r="A933" s="91">
        <v>45616</v>
      </c>
      <c r="B933" s="43">
        <v>14459</v>
      </c>
      <c r="C933" s="20" t="s">
        <v>7</v>
      </c>
      <c r="D933" s="18">
        <v>1485</v>
      </c>
      <c r="E933" s="19"/>
      <c r="F933" s="15">
        <f t="shared" si="14"/>
        <v>-1485</v>
      </c>
    </row>
    <row r="934" spans="1:6" x14ac:dyDescent="0.2">
      <c r="A934" s="91">
        <v>45616</v>
      </c>
      <c r="B934" s="43">
        <v>14460</v>
      </c>
      <c r="C934" s="20" t="s">
        <v>7</v>
      </c>
      <c r="D934" s="18">
        <v>1485</v>
      </c>
      <c r="E934" s="19"/>
      <c r="F934" s="15">
        <f t="shared" si="14"/>
        <v>-1485</v>
      </c>
    </row>
    <row r="935" spans="1:6" x14ac:dyDescent="0.2">
      <c r="A935" s="91">
        <v>45623</v>
      </c>
      <c r="B935" s="43">
        <v>12778</v>
      </c>
      <c r="C935" s="20" t="s">
        <v>7</v>
      </c>
      <c r="D935" s="18">
        <v>1485</v>
      </c>
      <c r="E935" s="19"/>
      <c r="F935" s="15">
        <f t="shared" si="14"/>
        <v>-1485</v>
      </c>
    </row>
    <row r="936" spans="1:6" x14ac:dyDescent="0.2">
      <c r="A936" s="91">
        <v>45623</v>
      </c>
      <c r="B936" s="43">
        <v>12779</v>
      </c>
      <c r="C936" s="20" t="s">
        <v>7</v>
      </c>
      <c r="D936" s="18">
        <v>1485</v>
      </c>
      <c r="E936" s="19"/>
      <c r="F936" s="15">
        <f t="shared" si="14"/>
        <v>-1485</v>
      </c>
    </row>
    <row r="937" spans="1:6" x14ac:dyDescent="0.2">
      <c r="A937" s="91">
        <v>45631</v>
      </c>
      <c r="B937" s="43">
        <v>13200</v>
      </c>
      <c r="C937" s="20" t="s">
        <v>7</v>
      </c>
      <c r="D937" s="18">
        <v>1485</v>
      </c>
      <c r="E937" s="19"/>
      <c r="F937" s="15">
        <f t="shared" si="14"/>
        <v>-1485</v>
      </c>
    </row>
    <row r="938" spans="1:6" x14ac:dyDescent="0.2">
      <c r="A938" s="91">
        <v>45639</v>
      </c>
      <c r="B938" s="43">
        <v>16834</v>
      </c>
      <c r="C938" s="20" t="s">
        <v>7</v>
      </c>
      <c r="D938" s="18">
        <v>120</v>
      </c>
      <c r="E938" s="19"/>
      <c r="F938" s="15">
        <f t="shared" si="14"/>
        <v>-120</v>
      </c>
    </row>
    <row r="939" spans="1:6" x14ac:dyDescent="0.2">
      <c r="A939" s="91">
        <v>45639</v>
      </c>
      <c r="B939" s="43">
        <v>16835</v>
      </c>
      <c r="C939" s="20" t="s">
        <v>7</v>
      </c>
      <c r="D939" s="18">
        <v>720</v>
      </c>
      <c r="E939" s="19"/>
      <c r="F939" s="15">
        <f t="shared" si="14"/>
        <v>-720</v>
      </c>
    </row>
    <row r="940" spans="1:6" x14ac:dyDescent="0.2">
      <c r="A940" s="91">
        <v>45639</v>
      </c>
      <c r="B940" s="43">
        <v>16836</v>
      </c>
      <c r="C940" s="20" t="s">
        <v>7</v>
      </c>
      <c r="D940" s="18">
        <v>1485</v>
      </c>
      <c r="E940" s="19"/>
      <c r="F940" s="15">
        <f t="shared" si="14"/>
        <v>-1485</v>
      </c>
    </row>
    <row r="941" spans="1:6" x14ac:dyDescent="0.2">
      <c r="A941" s="91">
        <v>45639</v>
      </c>
      <c r="B941" s="43">
        <v>16837</v>
      </c>
      <c r="C941" s="20" t="s">
        <v>7</v>
      </c>
      <c r="D941" s="18">
        <v>1485</v>
      </c>
      <c r="E941" s="19"/>
      <c r="F941" s="15">
        <f t="shared" si="14"/>
        <v>-1485</v>
      </c>
    </row>
    <row r="942" spans="1:6" x14ac:dyDescent="0.2">
      <c r="A942" s="91">
        <v>45639</v>
      </c>
      <c r="B942" s="43">
        <v>16838</v>
      </c>
      <c r="C942" s="20" t="s">
        <v>7</v>
      </c>
      <c r="D942" s="18">
        <v>1485</v>
      </c>
      <c r="E942" s="19"/>
      <c r="F942" s="15">
        <f t="shared" si="14"/>
        <v>-1485</v>
      </c>
    </row>
    <row r="943" spans="1:6" x14ac:dyDescent="0.2">
      <c r="A943" s="91">
        <v>45642</v>
      </c>
      <c r="B943" s="43">
        <v>14536</v>
      </c>
      <c r="C943" s="20" t="s">
        <v>7</v>
      </c>
      <c r="D943" s="18">
        <v>720</v>
      </c>
      <c r="E943" s="19"/>
      <c r="F943" s="15">
        <f t="shared" si="14"/>
        <v>-720</v>
      </c>
    </row>
    <row r="944" spans="1:6" x14ac:dyDescent="0.2">
      <c r="A944" s="91">
        <v>45642</v>
      </c>
      <c r="B944" s="43">
        <v>14537</v>
      </c>
      <c r="C944" s="20" t="s">
        <v>7</v>
      </c>
      <c r="D944" s="18">
        <v>1485</v>
      </c>
      <c r="E944" s="19"/>
      <c r="F944" s="15">
        <f t="shared" si="14"/>
        <v>-1485</v>
      </c>
    </row>
    <row r="945" spans="1:6" x14ac:dyDescent="0.2">
      <c r="A945" s="91">
        <v>45645</v>
      </c>
      <c r="B945" s="43">
        <v>15015</v>
      </c>
      <c r="C945" s="20" t="s">
        <v>7</v>
      </c>
      <c r="D945" s="18">
        <v>1485</v>
      </c>
      <c r="E945" s="19"/>
      <c r="F945" s="15">
        <f t="shared" si="14"/>
        <v>-1485</v>
      </c>
    </row>
    <row r="946" spans="1:6" x14ac:dyDescent="0.2">
      <c r="A946" s="91">
        <v>45645</v>
      </c>
      <c r="B946" s="43">
        <v>15016</v>
      </c>
      <c r="C946" s="20" t="s">
        <v>7</v>
      </c>
      <c r="D946" s="18">
        <v>1485</v>
      </c>
      <c r="E946" s="19"/>
      <c r="F946" s="15">
        <f t="shared" si="14"/>
        <v>-1485</v>
      </c>
    </row>
    <row r="947" spans="1:6" x14ac:dyDescent="0.2">
      <c r="A947" s="91">
        <v>45646</v>
      </c>
      <c r="B947" s="43">
        <v>19865</v>
      </c>
      <c r="C947" s="20" t="s">
        <v>7</v>
      </c>
      <c r="D947" s="18">
        <v>315</v>
      </c>
      <c r="E947" s="19"/>
      <c r="F947" s="15">
        <f t="shared" si="14"/>
        <v>-315</v>
      </c>
    </row>
    <row r="948" spans="1:6" x14ac:dyDescent="0.2">
      <c r="A948" s="91">
        <v>45646</v>
      </c>
      <c r="B948" s="43">
        <v>19866</v>
      </c>
      <c r="C948" s="20" t="s">
        <v>7</v>
      </c>
      <c r="D948" s="18">
        <v>720</v>
      </c>
      <c r="E948" s="19"/>
      <c r="F948" s="15">
        <f t="shared" si="14"/>
        <v>-720</v>
      </c>
    </row>
    <row r="949" spans="1:6" x14ac:dyDescent="0.2">
      <c r="A949" s="91">
        <v>45646</v>
      </c>
      <c r="B949" s="43">
        <v>19867</v>
      </c>
      <c r="C949" s="20" t="s">
        <v>7</v>
      </c>
      <c r="D949" s="18">
        <v>1485</v>
      </c>
      <c r="E949" s="19"/>
      <c r="F949" s="15">
        <f t="shared" si="14"/>
        <v>-1485</v>
      </c>
    </row>
    <row r="950" spans="1:6" x14ac:dyDescent="0.2">
      <c r="A950" s="91">
        <v>45649</v>
      </c>
      <c r="B950" s="46">
        <v>17244</v>
      </c>
      <c r="C950" s="56" t="s">
        <v>7</v>
      </c>
      <c r="D950" s="48">
        <v>1485</v>
      </c>
      <c r="E950" s="49"/>
      <c r="F950" s="15">
        <f t="shared" si="14"/>
        <v>-1485</v>
      </c>
    </row>
    <row r="951" spans="1:6" x14ac:dyDescent="0.2">
      <c r="A951" s="91">
        <v>45649</v>
      </c>
      <c r="B951" s="44">
        <v>17245</v>
      </c>
      <c r="C951" s="57" t="s">
        <v>7</v>
      </c>
      <c r="D951" s="23">
        <v>1485</v>
      </c>
      <c r="E951" s="24"/>
      <c r="F951" s="15">
        <f t="shared" si="14"/>
        <v>-1485</v>
      </c>
    </row>
    <row r="952" spans="1:6" x14ac:dyDescent="0.2">
      <c r="A952" s="91">
        <v>45653</v>
      </c>
      <c r="B952" s="43">
        <v>16938</v>
      </c>
      <c r="C952" s="20" t="s">
        <v>7</v>
      </c>
      <c r="D952" s="18">
        <v>720</v>
      </c>
      <c r="E952" s="19"/>
      <c r="F952" s="15">
        <f t="shared" si="14"/>
        <v>-720</v>
      </c>
    </row>
    <row r="953" spans="1:6" x14ac:dyDescent="0.2">
      <c r="A953" s="91">
        <v>45666</v>
      </c>
      <c r="B953" s="43">
        <v>12495</v>
      </c>
      <c r="C953" s="20" t="s">
        <v>7</v>
      </c>
      <c r="D953" s="18">
        <v>1485</v>
      </c>
      <c r="E953" s="19"/>
      <c r="F953" s="15">
        <f t="shared" si="14"/>
        <v>-1485</v>
      </c>
    </row>
    <row r="954" spans="1:6" x14ac:dyDescent="0.2">
      <c r="A954" s="91">
        <v>45670</v>
      </c>
      <c r="B954" s="43">
        <v>13051</v>
      </c>
      <c r="C954" s="20" t="s">
        <v>7</v>
      </c>
      <c r="D954" s="18">
        <v>720</v>
      </c>
      <c r="E954" s="19"/>
      <c r="F954" s="15">
        <f t="shared" si="14"/>
        <v>-720</v>
      </c>
    </row>
    <row r="955" spans="1:6" x14ac:dyDescent="0.2">
      <c r="A955" s="91">
        <v>45670</v>
      </c>
      <c r="B955" s="43">
        <v>13052</v>
      </c>
      <c r="C955" s="20" t="s">
        <v>7</v>
      </c>
      <c r="D955" s="18">
        <v>720</v>
      </c>
      <c r="E955" s="19"/>
      <c r="F955" s="15">
        <f t="shared" si="14"/>
        <v>-720</v>
      </c>
    </row>
    <row r="956" spans="1:6" x14ac:dyDescent="0.2">
      <c r="A956" s="91">
        <v>45673</v>
      </c>
      <c r="B956" s="43">
        <v>12503</v>
      </c>
      <c r="C956" s="20" t="s">
        <v>7</v>
      </c>
      <c r="D956" s="18">
        <v>720</v>
      </c>
      <c r="E956" s="19"/>
      <c r="F956" s="15">
        <f t="shared" si="14"/>
        <v>-720</v>
      </c>
    </row>
    <row r="957" spans="1:6" x14ac:dyDescent="0.2">
      <c r="A957" s="91">
        <v>45677</v>
      </c>
      <c r="B957" s="43">
        <v>13696</v>
      </c>
      <c r="C957" s="20" t="s">
        <v>7</v>
      </c>
      <c r="D957" s="18">
        <v>720</v>
      </c>
      <c r="E957" s="19"/>
      <c r="F957" s="15">
        <f t="shared" si="14"/>
        <v>-720</v>
      </c>
    </row>
    <row r="958" spans="1:6" x14ac:dyDescent="0.2">
      <c r="A958" s="91">
        <v>45677</v>
      </c>
      <c r="B958" s="43">
        <v>13697</v>
      </c>
      <c r="C958" s="20" t="s">
        <v>7</v>
      </c>
      <c r="D958" s="18">
        <v>1485</v>
      </c>
      <c r="E958" s="19"/>
      <c r="F958" s="15">
        <f t="shared" si="14"/>
        <v>-1485</v>
      </c>
    </row>
    <row r="959" spans="1:6" x14ac:dyDescent="0.2">
      <c r="A959" s="91">
        <v>45677</v>
      </c>
      <c r="B959" s="43">
        <v>13698</v>
      </c>
      <c r="C959" s="20" t="s">
        <v>7</v>
      </c>
      <c r="D959" s="18">
        <v>1485</v>
      </c>
      <c r="E959" s="19"/>
      <c r="F959" s="15">
        <f t="shared" si="14"/>
        <v>-1485</v>
      </c>
    </row>
    <row r="960" spans="1:6" x14ac:dyDescent="0.2">
      <c r="A960" s="91">
        <v>45678</v>
      </c>
      <c r="B960" s="43">
        <v>11959</v>
      </c>
      <c r="C960" s="20" t="s">
        <v>7</v>
      </c>
      <c r="D960" s="18">
        <v>1485</v>
      </c>
      <c r="E960" s="19"/>
      <c r="F960" s="15">
        <f t="shared" si="14"/>
        <v>-1485</v>
      </c>
    </row>
    <row r="961" spans="1:6" x14ac:dyDescent="0.2">
      <c r="A961" s="91">
        <v>45681</v>
      </c>
      <c r="B961" s="43">
        <v>14357</v>
      </c>
      <c r="C961" s="20" t="s">
        <v>7</v>
      </c>
      <c r="D961" s="18">
        <v>1485</v>
      </c>
      <c r="E961" s="19"/>
      <c r="F961" s="15">
        <f t="shared" si="14"/>
        <v>-1485</v>
      </c>
    </row>
    <row r="962" spans="1:6" x14ac:dyDescent="0.2">
      <c r="A962" s="91">
        <v>45681</v>
      </c>
      <c r="B962" s="43">
        <v>14358</v>
      </c>
      <c r="C962" s="20" t="s">
        <v>7</v>
      </c>
      <c r="D962" s="18">
        <v>1485</v>
      </c>
      <c r="E962" s="19"/>
      <c r="F962" s="15">
        <f t="shared" si="14"/>
        <v>-1485</v>
      </c>
    </row>
    <row r="963" spans="1:6" x14ac:dyDescent="0.2">
      <c r="A963" s="91">
        <v>45687</v>
      </c>
      <c r="B963" s="43">
        <v>11878</v>
      </c>
      <c r="C963" s="20" t="s">
        <v>7</v>
      </c>
      <c r="D963" s="18">
        <v>720</v>
      </c>
      <c r="E963" s="19"/>
      <c r="F963" s="15">
        <f t="shared" ref="F963:F1026" si="15">+E963-D963</f>
        <v>-720</v>
      </c>
    </row>
    <row r="964" spans="1:6" x14ac:dyDescent="0.2">
      <c r="A964" s="91">
        <v>45687</v>
      </c>
      <c r="B964" s="43">
        <v>11879</v>
      </c>
      <c r="C964" s="20" t="s">
        <v>7</v>
      </c>
      <c r="D964" s="18">
        <v>720</v>
      </c>
      <c r="E964" s="19"/>
      <c r="F964" s="15">
        <f t="shared" si="15"/>
        <v>-720</v>
      </c>
    </row>
    <row r="965" spans="1:6" x14ac:dyDescent="0.2">
      <c r="A965" s="91">
        <v>45699</v>
      </c>
      <c r="B965" s="43">
        <v>12265</v>
      </c>
      <c r="C965" s="20" t="s">
        <v>7</v>
      </c>
      <c r="D965" s="18">
        <v>720</v>
      </c>
      <c r="E965" s="19"/>
      <c r="F965" s="15">
        <f t="shared" si="15"/>
        <v>-720</v>
      </c>
    </row>
    <row r="966" spans="1:6" x14ac:dyDescent="0.2">
      <c r="A966" s="91">
        <v>45702</v>
      </c>
      <c r="B966" s="43">
        <v>15122</v>
      </c>
      <c r="C966" s="20" t="s">
        <v>7</v>
      </c>
      <c r="D966" s="18">
        <v>720</v>
      </c>
      <c r="E966" s="19"/>
      <c r="F966" s="15">
        <f t="shared" si="15"/>
        <v>-720</v>
      </c>
    </row>
    <row r="967" spans="1:6" x14ac:dyDescent="0.2">
      <c r="A967" s="91">
        <v>45702</v>
      </c>
      <c r="B967" s="43">
        <v>15123</v>
      </c>
      <c r="C967" s="20" t="s">
        <v>7</v>
      </c>
      <c r="D967" s="18">
        <v>720</v>
      </c>
      <c r="E967" s="19"/>
      <c r="F967" s="15">
        <f t="shared" si="15"/>
        <v>-720</v>
      </c>
    </row>
    <row r="968" spans="1:6" x14ac:dyDescent="0.2">
      <c r="A968" s="91">
        <v>45702</v>
      </c>
      <c r="B968" s="43">
        <v>15124</v>
      </c>
      <c r="C968" s="20" t="s">
        <v>7</v>
      </c>
      <c r="D968" s="18">
        <v>720</v>
      </c>
      <c r="E968" s="19"/>
      <c r="F968" s="15">
        <f t="shared" si="15"/>
        <v>-720</v>
      </c>
    </row>
    <row r="969" spans="1:6" x14ac:dyDescent="0.2">
      <c r="A969" s="91">
        <v>45705</v>
      </c>
      <c r="B969" s="43">
        <v>13253</v>
      </c>
      <c r="C969" s="20" t="s">
        <v>7</v>
      </c>
      <c r="D969" s="18">
        <v>720</v>
      </c>
      <c r="E969" s="19"/>
      <c r="F969" s="15">
        <f t="shared" si="15"/>
        <v>-720</v>
      </c>
    </row>
    <row r="970" spans="1:6" x14ac:dyDescent="0.2">
      <c r="A970" s="91">
        <v>45705</v>
      </c>
      <c r="B970" s="43">
        <v>13254</v>
      </c>
      <c r="C970" s="20" t="s">
        <v>7</v>
      </c>
      <c r="D970" s="18">
        <v>1485</v>
      </c>
      <c r="E970" s="19"/>
      <c r="F970" s="15">
        <f t="shared" si="15"/>
        <v>-1485</v>
      </c>
    </row>
    <row r="971" spans="1:6" x14ac:dyDescent="0.2">
      <c r="A971" s="91">
        <v>45705</v>
      </c>
      <c r="B971" s="43">
        <v>13255</v>
      </c>
      <c r="C971" s="20" t="s">
        <v>7</v>
      </c>
      <c r="D971" s="18">
        <v>1485</v>
      </c>
      <c r="E971" s="19"/>
      <c r="F971" s="15">
        <f t="shared" si="15"/>
        <v>-1485</v>
      </c>
    </row>
    <row r="972" spans="1:6" x14ac:dyDescent="0.2">
      <c r="A972" s="91">
        <v>45705</v>
      </c>
      <c r="B972" s="43">
        <v>13256</v>
      </c>
      <c r="C972" s="20" t="s">
        <v>7</v>
      </c>
      <c r="D972" s="18">
        <v>1485</v>
      </c>
      <c r="E972" s="19"/>
      <c r="F972" s="15">
        <f t="shared" si="15"/>
        <v>-1485</v>
      </c>
    </row>
    <row r="973" spans="1:6" x14ac:dyDescent="0.2">
      <c r="A973" s="91">
        <v>45707</v>
      </c>
      <c r="B973" s="46">
        <v>11628</v>
      </c>
      <c r="C973" s="56" t="s">
        <v>7</v>
      </c>
      <c r="D973" s="48">
        <v>1485</v>
      </c>
      <c r="E973" s="49"/>
      <c r="F973" s="15">
        <f t="shared" si="15"/>
        <v>-1485</v>
      </c>
    </row>
    <row r="974" spans="1:6" x14ac:dyDescent="0.2">
      <c r="A974" s="91">
        <v>45709</v>
      </c>
      <c r="B974" s="44">
        <v>15377</v>
      </c>
      <c r="C974" s="57" t="s">
        <v>7</v>
      </c>
      <c r="D974" s="23">
        <v>720</v>
      </c>
      <c r="E974" s="24"/>
      <c r="F974" s="15">
        <f t="shared" si="15"/>
        <v>-720</v>
      </c>
    </row>
    <row r="975" spans="1:6" x14ac:dyDescent="0.2">
      <c r="A975" s="91">
        <v>45709</v>
      </c>
      <c r="B975" s="43">
        <v>15378</v>
      </c>
      <c r="C975" s="20" t="s">
        <v>7</v>
      </c>
      <c r="D975" s="18">
        <v>720</v>
      </c>
      <c r="E975" s="19"/>
      <c r="F975" s="15">
        <f t="shared" si="15"/>
        <v>-720</v>
      </c>
    </row>
    <row r="976" spans="1:6" x14ac:dyDescent="0.2">
      <c r="A976" s="91">
        <v>45709</v>
      </c>
      <c r="B976" s="43">
        <v>15379</v>
      </c>
      <c r="C976" s="20" t="s">
        <v>7</v>
      </c>
      <c r="D976" s="18">
        <v>1485</v>
      </c>
      <c r="E976" s="19"/>
      <c r="F976" s="15">
        <f t="shared" si="15"/>
        <v>-1485</v>
      </c>
    </row>
    <row r="977" spans="1:6" x14ac:dyDescent="0.2">
      <c r="A977" s="91">
        <v>45712</v>
      </c>
      <c r="B977" s="43">
        <v>13188</v>
      </c>
      <c r="C977" s="20" t="s">
        <v>7</v>
      </c>
      <c r="D977" s="18">
        <v>720</v>
      </c>
      <c r="E977" s="19"/>
      <c r="F977" s="15">
        <f t="shared" si="15"/>
        <v>-720</v>
      </c>
    </row>
    <row r="978" spans="1:6" x14ac:dyDescent="0.2">
      <c r="A978" s="91">
        <v>45716</v>
      </c>
      <c r="B978" s="43">
        <v>16873</v>
      </c>
      <c r="C978" s="20" t="s">
        <v>7</v>
      </c>
      <c r="D978" s="18">
        <v>315</v>
      </c>
      <c r="E978" s="19"/>
      <c r="F978" s="15">
        <f t="shared" si="15"/>
        <v>-315</v>
      </c>
    </row>
    <row r="979" spans="1:6" x14ac:dyDescent="0.2">
      <c r="A979" s="91">
        <v>45716</v>
      </c>
      <c r="B979" s="43">
        <v>16874</v>
      </c>
      <c r="C979" s="20" t="s">
        <v>7</v>
      </c>
      <c r="D979" s="18">
        <v>720</v>
      </c>
      <c r="E979" s="19"/>
      <c r="F979" s="15">
        <f t="shared" si="15"/>
        <v>-720</v>
      </c>
    </row>
    <row r="980" spans="1:6" x14ac:dyDescent="0.2">
      <c r="A980" s="91">
        <v>45716</v>
      </c>
      <c r="B980" s="43">
        <v>16875</v>
      </c>
      <c r="C980" s="20" t="s">
        <v>7</v>
      </c>
      <c r="D980" s="18">
        <v>720</v>
      </c>
      <c r="E980" s="19"/>
      <c r="F980" s="15">
        <f t="shared" si="15"/>
        <v>-720</v>
      </c>
    </row>
    <row r="981" spans="1:6" x14ac:dyDescent="0.2">
      <c r="A981" s="91">
        <v>45716</v>
      </c>
      <c r="B981" s="43">
        <v>16876</v>
      </c>
      <c r="C981" s="20" t="s">
        <v>7</v>
      </c>
      <c r="D981" s="18">
        <v>720</v>
      </c>
      <c r="E981" s="19"/>
      <c r="F981" s="15">
        <f t="shared" si="15"/>
        <v>-720</v>
      </c>
    </row>
    <row r="982" spans="1:6" x14ac:dyDescent="0.2">
      <c r="A982" s="91">
        <v>45716</v>
      </c>
      <c r="B982" s="43">
        <v>16877</v>
      </c>
      <c r="C982" s="20" t="s">
        <v>7</v>
      </c>
      <c r="D982" s="18">
        <v>1485</v>
      </c>
      <c r="E982" s="19"/>
      <c r="F982" s="15">
        <f t="shared" si="15"/>
        <v>-1485</v>
      </c>
    </row>
    <row r="983" spans="1:6" x14ac:dyDescent="0.2">
      <c r="A983" s="91">
        <v>45716</v>
      </c>
      <c r="B983" s="43">
        <v>16878</v>
      </c>
      <c r="C983" s="20" t="s">
        <v>7</v>
      </c>
      <c r="D983" s="18">
        <v>1485</v>
      </c>
      <c r="E983" s="19"/>
      <c r="F983" s="15">
        <f t="shared" si="15"/>
        <v>-1485</v>
      </c>
    </row>
    <row r="984" spans="1:6" x14ac:dyDescent="0.2">
      <c r="A984" s="91">
        <v>45716</v>
      </c>
      <c r="B984" s="43">
        <v>16879</v>
      </c>
      <c r="C984" s="20" t="s">
        <v>7</v>
      </c>
      <c r="D984" s="18">
        <v>1485</v>
      </c>
      <c r="E984" s="19"/>
      <c r="F984" s="15">
        <f t="shared" si="15"/>
        <v>-1485</v>
      </c>
    </row>
    <row r="985" spans="1:6" x14ac:dyDescent="0.2">
      <c r="A985" s="91">
        <v>45716</v>
      </c>
      <c r="B985" s="43">
        <v>16880</v>
      </c>
      <c r="C985" s="20" t="s">
        <v>7</v>
      </c>
      <c r="D985" s="18">
        <v>1485</v>
      </c>
      <c r="E985" s="19"/>
      <c r="F985" s="15">
        <f t="shared" si="15"/>
        <v>-1485</v>
      </c>
    </row>
    <row r="986" spans="1:6" x14ac:dyDescent="0.2">
      <c r="A986" s="91">
        <v>45716</v>
      </c>
      <c r="B986" s="43">
        <v>16881</v>
      </c>
      <c r="C986" s="20" t="s">
        <v>7</v>
      </c>
      <c r="D986" s="18">
        <v>1485</v>
      </c>
      <c r="E986" s="19"/>
      <c r="F986" s="15">
        <f t="shared" si="15"/>
        <v>-1485</v>
      </c>
    </row>
    <row r="987" spans="1:6" x14ac:dyDescent="0.2">
      <c r="A987" s="91">
        <v>45723</v>
      </c>
      <c r="B987" s="43">
        <v>14608</v>
      </c>
      <c r="C987" s="20" t="s">
        <v>7</v>
      </c>
      <c r="D987" s="18">
        <v>1485</v>
      </c>
      <c r="E987" s="19"/>
      <c r="F987" s="15">
        <f t="shared" si="15"/>
        <v>-1485</v>
      </c>
    </row>
    <row r="988" spans="1:6" x14ac:dyDescent="0.2">
      <c r="A988" s="91">
        <v>45730</v>
      </c>
      <c r="B988" s="43">
        <v>15732</v>
      </c>
      <c r="C988" s="20" t="s">
        <v>7</v>
      </c>
      <c r="D988" s="18">
        <v>315</v>
      </c>
      <c r="E988" s="19"/>
      <c r="F988" s="15">
        <f t="shared" si="15"/>
        <v>-315</v>
      </c>
    </row>
    <row r="989" spans="1:6" x14ac:dyDescent="0.2">
      <c r="A989" s="91">
        <v>45730</v>
      </c>
      <c r="B989" s="43">
        <v>15733</v>
      </c>
      <c r="C989" s="20" t="s">
        <v>7</v>
      </c>
      <c r="D989" s="18">
        <v>720</v>
      </c>
      <c r="E989" s="19"/>
      <c r="F989" s="15">
        <f t="shared" si="15"/>
        <v>-720</v>
      </c>
    </row>
    <row r="990" spans="1:6" x14ac:dyDescent="0.2">
      <c r="A990" s="91">
        <v>45730</v>
      </c>
      <c r="B990" s="43">
        <v>15734</v>
      </c>
      <c r="C990" s="20" t="s">
        <v>7</v>
      </c>
      <c r="D990" s="18">
        <v>1485</v>
      </c>
      <c r="E990" s="19"/>
      <c r="F990" s="15">
        <f t="shared" si="15"/>
        <v>-1485</v>
      </c>
    </row>
    <row r="991" spans="1:6" x14ac:dyDescent="0.2">
      <c r="A991" s="91">
        <v>45730</v>
      </c>
      <c r="B991" s="43">
        <v>15735</v>
      </c>
      <c r="C991" s="20" t="s">
        <v>7</v>
      </c>
      <c r="D991" s="18">
        <v>1485</v>
      </c>
      <c r="E991" s="19"/>
      <c r="F991" s="15">
        <f t="shared" si="15"/>
        <v>-1485</v>
      </c>
    </row>
    <row r="992" spans="1:6" x14ac:dyDescent="0.2">
      <c r="A992" s="91">
        <v>45735</v>
      </c>
      <c r="B992" s="43">
        <v>12690</v>
      </c>
      <c r="C992" s="20" t="s">
        <v>7</v>
      </c>
      <c r="D992" s="18">
        <v>1485</v>
      </c>
      <c r="E992" s="19"/>
      <c r="F992" s="15">
        <f t="shared" si="15"/>
        <v>-1485</v>
      </c>
    </row>
    <row r="993" spans="1:6" x14ac:dyDescent="0.2">
      <c r="A993" s="91">
        <v>45735</v>
      </c>
      <c r="B993" s="43">
        <v>12691</v>
      </c>
      <c r="C993" s="20" t="s">
        <v>7</v>
      </c>
      <c r="D993" s="18">
        <v>1485</v>
      </c>
      <c r="E993" s="19"/>
      <c r="F993" s="15">
        <f t="shared" si="15"/>
        <v>-1485</v>
      </c>
    </row>
    <row r="994" spans="1:6" x14ac:dyDescent="0.2">
      <c r="A994" s="91">
        <v>45742</v>
      </c>
      <c r="B994" s="43">
        <v>13357</v>
      </c>
      <c r="C994" s="20" t="s">
        <v>7</v>
      </c>
      <c r="D994" s="18">
        <v>720</v>
      </c>
      <c r="E994" s="19"/>
      <c r="F994" s="15">
        <f t="shared" si="15"/>
        <v>-720</v>
      </c>
    </row>
    <row r="995" spans="1:6" x14ac:dyDescent="0.2">
      <c r="A995" s="91">
        <v>45742</v>
      </c>
      <c r="B995" s="43">
        <v>13358</v>
      </c>
      <c r="C995" s="20" t="s">
        <v>7</v>
      </c>
      <c r="D995" s="18">
        <v>720</v>
      </c>
      <c r="E995" s="19"/>
      <c r="F995" s="15">
        <f t="shared" si="15"/>
        <v>-720</v>
      </c>
    </row>
    <row r="996" spans="1:6" x14ac:dyDescent="0.2">
      <c r="A996" s="91">
        <v>45742</v>
      </c>
      <c r="B996" s="43">
        <v>13359</v>
      </c>
      <c r="C996" s="20" t="s">
        <v>7</v>
      </c>
      <c r="D996" s="18">
        <v>1485</v>
      </c>
      <c r="E996" s="19"/>
      <c r="F996" s="15">
        <f t="shared" si="15"/>
        <v>-1485</v>
      </c>
    </row>
    <row r="997" spans="1:6" x14ac:dyDescent="0.2">
      <c r="A997" s="91">
        <v>45742</v>
      </c>
      <c r="B997" s="43">
        <v>13360</v>
      </c>
      <c r="C997" s="20" t="s">
        <v>7</v>
      </c>
      <c r="D997" s="18">
        <v>1485</v>
      </c>
      <c r="E997" s="19"/>
      <c r="F997" s="15">
        <f t="shared" si="15"/>
        <v>-1485</v>
      </c>
    </row>
    <row r="998" spans="1:6" x14ac:dyDescent="0.2">
      <c r="A998" s="91">
        <v>45742</v>
      </c>
      <c r="B998" s="43">
        <v>13361</v>
      </c>
      <c r="C998" s="20" t="s">
        <v>7</v>
      </c>
      <c r="D998" s="18">
        <v>1485</v>
      </c>
      <c r="E998" s="19"/>
      <c r="F998" s="15">
        <f t="shared" si="15"/>
        <v>-1485</v>
      </c>
    </row>
    <row r="999" spans="1:6" x14ac:dyDescent="0.2">
      <c r="A999" s="91">
        <v>45744</v>
      </c>
      <c r="B999" s="43">
        <v>16924</v>
      </c>
      <c r="C999" s="20" t="s">
        <v>7</v>
      </c>
      <c r="D999" s="18">
        <v>315</v>
      </c>
      <c r="E999" s="19"/>
      <c r="F999" s="15">
        <f t="shared" si="15"/>
        <v>-315</v>
      </c>
    </row>
    <row r="1000" spans="1:6" x14ac:dyDescent="0.2">
      <c r="A1000" s="91">
        <v>45744</v>
      </c>
      <c r="B1000" s="46">
        <v>16925</v>
      </c>
      <c r="C1000" s="56" t="s">
        <v>7</v>
      </c>
      <c r="D1000" s="48">
        <v>720</v>
      </c>
      <c r="E1000" s="49"/>
      <c r="F1000" s="15">
        <f t="shared" si="15"/>
        <v>-720</v>
      </c>
    </row>
    <row r="1001" spans="1:6" x14ac:dyDescent="0.2">
      <c r="A1001" s="91">
        <v>45744</v>
      </c>
      <c r="B1001" s="44">
        <v>16926</v>
      </c>
      <c r="C1001" s="57" t="s">
        <v>7</v>
      </c>
      <c r="D1001" s="23">
        <v>1485</v>
      </c>
      <c r="E1001" s="24"/>
      <c r="F1001" s="15">
        <f t="shared" si="15"/>
        <v>-1485</v>
      </c>
    </row>
    <row r="1002" spans="1:6" x14ac:dyDescent="0.2">
      <c r="A1002" s="91">
        <v>45747</v>
      </c>
      <c r="B1002" s="43">
        <v>14502</v>
      </c>
      <c r="C1002" s="20" t="s">
        <v>7</v>
      </c>
      <c r="D1002" s="18">
        <v>1485</v>
      </c>
      <c r="E1002" s="19"/>
      <c r="F1002" s="15">
        <f t="shared" si="15"/>
        <v>-1485</v>
      </c>
    </row>
    <row r="1003" spans="1:6" x14ac:dyDescent="0.2">
      <c r="A1003" s="91">
        <v>45754</v>
      </c>
      <c r="B1003" s="43">
        <v>12339</v>
      </c>
      <c r="C1003" s="20" t="s">
        <v>7</v>
      </c>
      <c r="D1003" s="18">
        <v>1485</v>
      </c>
      <c r="E1003" s="19"/>
      <c r="F1003" s="15">
        <f t="shared" si="15"/>
        <v>-1485</v>
      </c>
    </row>
    <row r="1004" spans="1:6" x14ac:dyDescent="0.2">
      <c r="A1004" s="91">
        <v>45754</v>
      </c>
      <c r="B1004" s="43">
        <v>12340</v>
      </c>
      <c r="C1004" s="20" t="s">
        <v>7</v>
      </c>
      <c r="D1004" s="18">
        <v>1485</v>
      </c>
      <c r="E1004" s="19"/>
      <c r="F1004" s="15">
        <f t="shared" si="15"/>
        <v>-1485</v>
      </c>
    </row>
    <row r="1005" spans="1:6" x14ac:dyDescent="0.2">
      <c r="A1005" s="91">
        <v>45757</v>
      </c>
      <c r="B1005" s="43">
        <v>13984</v>
      </c>
      <c r="C1005" s="20" t="s">
        <v>7</v>
      </c>
      <c r="D1005" s="18">
        <v>1485</v>
      </c>
      <c r="E1005" s="19"/>
      <c r="F1005" s="15">
        <f t="shared" si="15"/>
        <v>-1485</v>
      </c>
    </row>
    <row r="1006" spans="1:6" x14ac:dyDescent="0.2">
      <c r="A1006" s="91">
        <v>45770</v>
      </c>
      <c r="B1006" s="43">
        <v>13765</v>
      </c>
      <c r="C1006" s="20" t="s">
        <v>7</v>
      </c>
      <c r="D1006" s="18">
        <v>720</v>
      </c>
      <c r="E1006" s="19"/>
      <c r="F1006" s="15">
        <f t="shared" si="15"/>
        <v>-720</v>
      </c>
    </row>
    <row r="1007" spans="1:6" x14ac:dyDescent="0.2">
      <c r="A1007" s="91">
        <v>45770</v>
      </c>
      <c r="B1007" s="43">
        <v>13766</v>
      </c>
      <c r="C1007" s="20" t="s">
        <v>7</v>
      </c>
      <c r="D1007" s="18">
        <v>1485</v>
      </c>
      <c r="E1007" s="19"/>
      <c r="F1007" s="15">
        <f t="shared" si="15"/>
        <v>-1485</v>
      </c>
    </row>
    <row r="1008" spans="1:6" x14ac:dyDescent="0.2">
      <c r="A1008" s="91">
        <v>45770</v>
      </c>
      <c r="B1008" s="43">
        <v>13767</v>
      </c>
      <c r="C1008" s="20" t="s">
        <v>7</v>
      </c>
      <c r="D1008" s="18">
        <v>1485</v>
      </c>
      <c r="E1008" s="19"/>
      <c r="F1008" s="15">
        <f t="shared" si="15"/>
        <v>-1485</v>
      </c>
    </row>
    <row r="1009" spans="1:6" x14ac:dyDescent="0.2">
      <c r="A1009" s="91">
        <v>45770</v>
      </c>
      <c r="B1009" s="43">
        <v>13768</v>
      </c>
      <c r="C1009" s="20" t="s">
        <v>7</v>
      </c>
      <c r="D1009" s="18">
        <v>1485</v>
      </c>
      <c r="E1009" s="19"/>
      <c r="F1009" s="15">
        <f t="shared" si="15"/>
        <v>-1485</v>
      </c>
    </row>
    <row r="1010" spans="1:6" x14ac:dyDescent="0.2">
      <c r="A1010" s="91">
        <v>45770</v>
      </c>
      <c r="B1010" s="43">
        <v>13769</v>
      </c>
      <c r="C1010" s="20" t="s">
        <v>7</v>
      </c>
      <c r="D1010" s="18">
        <v>1485</v>
      </c>
      <c r="E1010" s="19"/>
      <c r="F1010" s="15">
        <f t="shared" si="15"/>
        <v>-1485</v>
      </c>
    </row>
    <row r="1011" spans="1:6" x14ac:dyDescent="0.2">
      <c r="A1011" s="91">
        <v>45770</v>
      </c>
      <c r="B1011" s="43">
        <v>13770</v>
      </c>
      <c r="C1011" s="20" t="s">
        <v>7</v>
      </c>
      <c r="D1011" s="18">
        <v>1485</v>
      </c>
      <c r="E1011" s="19"/>
      <c r="F1011" s="15">
        <f t="shared" si="15"/>
        <v>-1485</v>
      </c>
    </row>
    <row r="1012" spans="1:6" x14ac:dyDescent="0.2">
      <c r="A1012" s="91">
        <v>45775</v>
      </c>
      <c r="B1012" s="43">
        <v>14639</v>
      </c>
      <c r="C1012" s="20" t="s">
        <v>7</v>
      </c>
      <c r="D1012" s="18">
        <v>720</v>
      </c>
      <c r="E1012" s="19"/>
      <c r="F1012" s="15">
        <f t="shared" si="15"/>
        <v>-720</v>
      </c>
    </row>
    <row r="1013" spans="1:6" x14ac:dyDescent="0.2">
      <c r="A1013" s="91">
        <v>45775</v>
      </c>
      <c r="B1013" s="43">
        <v>14640</v>
      </c>
      <c r="C1013" s="20" t="s">
        <v>7</v>
      </c>
      <c r="D1013" s="18">
        <v>1485</v>
      </c>
      <c r="E1013" s="19"/>
      <c r="F1013" s="15">
        <f t="shared" si="15"/>
        <v>-1485</v>
      </c>
    </row>
    <row r="1014" spans="1:6" x14ac:dyDescent="0.2">
      <c r="A1014" s="91">
        <v>45775</v>
      </c>
      <c r="B1014" s="43">
        <v>14641</v>
      </c>
      <c r="C1014" s="20" t="s">
        <v>7</v>
      </c>
      <c r="D1014" s="18">
        <v>1485</v>
      </c>
      <c r="E1014" s="19"/>
      <c r="F1014" s="15">
        <f t="shared" si="15"/>
        <v>-1485</v>
      </c>
    </row>
    <row r="1015" spans="1:6" x14ac:dyDescent="0.2">
      <c r="A1015" s="91">
        <v>45784</v>
      </c>
      <c r="B1015" s="43">
        <v>12034</v>
      </c>
      <c r="C1015" s="20" t="s">
        <v>7</v>
      </c>
      <c r="D1015" s="18">
        <v>1485</v>
      </c>
      <c r="E1015" s="19"/>
      <c r="F1015" s="15">
        <f t="shared" si="15"/>
        <v>-1485</v>
      </c>
    </row>
    <row r="1016" spans="1:6" x14ac:dyDescent="0.2">
      <c r="A1016" s="91">
        <v>45786</v>
      </c>
      <c r="B1016" s="43">
        <v>17621</v>
      </c>
      <c r="C1016" s="20" t="s">
        <v>7</v>
      </c>
      <c r="D1016" s="18">
        <v>720</v>
      </c>
      <c r="E1016" s="19"/>
      <c r="F1016" s="15">
        <f t="shared" si="15"/>
        <v>-720</v>
      </c>
    </row>
    <row r="1017" spans="1:6" x14ac:dyDescent="0.2">
      <c r="A1017" s="91">
        <v>45786</v>
      </c>
      <c r="B1017" s="43">
        <v>17622</v>
      </c>
      <c r="C1017" s="20" t="s">
        <v>7</v>
      </c>
      <c r="D1017" s="18">
        <v>1485</v>
      </c>
      <c r="E1017" s="19"/>
      <c r="F1017" s="15">
        <f t="shared" si="15"/>
        <v>-1485</v>
      </c>
    </row>
    <row r="1018" spans="1:6" x14ac:dyDescent="0.2">
      <c r="A1018" s="91">
        <v>45786</v>
      </c>
      <c r="B1018" s="43">
        <v>17623</v>
      </c>
      <c r="C1018" s="20" t="s">
        <v>7</v>
      </c>
      <c r="D1018" s="18">
        <v>1485</v>
      </c>
      <c r="E1018" s="19"/>
      <c r="F1018" s="15">
        <f t="shared" si="15"/>
        <v>-1485</v>
      </c>
    </row>
    <row r="1019" spans="1:6" x14ac:dyDescent="0.2">
      <c r="A1019" s="91">
        <v>45792</v>
      </c>
      <c r="B1019" s="43">
        <v>13649</v>
      </c>
      <c r="C1019" s="20" t="s">
        <v>7</v>
      </c>
      <c r="D1019" s="18">
        <v>1485</v>
      </c>
      <c r="E1019" s="19"/>
      <c r="F1019" s="15">
        <f t="shared" si="15"/>
        <v>-1485</v>
      </c>
    </row>
    <row r="1020" spans="1:6" x14ac:dyDescent="0.2">
      <c r="A1020" s="91">
        <v>45796</v>
      </c>
      <c r="B1020" s="43">
        <v>13899</v>
      </c>
      <c r="C1020" s="20" t="s">
        <v>7</v>
      </c>
      <c r="D1020" s="18">
        <v>720</v>
      </c>
      <c r="E1020" s="19"/>
      <c r="F1020" s="15">
        <f t="shared" si="15"/>
        <v>-720</v>
      </c>
    </row>
    <row r="1021" spans="1:6" x14ac:dyDescent="0.2">
      <c r="A1021" s="91">
        <v>45796</v>
      </c>
      <c r="B1021" s="43">
        <v>13900</v>
      </c>
      <c r="C1021" s="20" t="s">
        <v>7</v>
      </c>
      <c r="D1021" s="18">
        <v>720</v>
      </c>
      <c r="E1021" s="19"/>
      <c r="F1021" s="15">
        <f t="shared" si="15"/>
        <v>-720</v>
      </c>
    </row>
    <row r="1022" spans="1:6" x14ac:dyDescent="0.2">
      <c r="A1022" s="91">
        <v>45796</v>
      </c>
      <c r="B1022" s="43">
        <v>13901</v>
      </c>
      <c r="C1022" s="20" t="s">
        <v>7</v>
      </c>
      <c r="D1022" s="18">
        <v>720</v>
      </c>
      <c r="E1022" s="19"/>
      <c r="F1022" s="15">
        <f t="shared" si="15"/>
        <v>-720</v>
      </c>
    </row>
    <row r="1023" spans="1:6" x14ac:dyDescent="0.2">
      <c r="A1023" s="91">
        <v>45796</v>
      </c>
      <c r="B1023" s="43">
        <v>13902</v>
      </c>
      <c r="C1023" s="20" t="s">
        <v>7</v>
      </c>
      <c r="D1023" s="18">
        <v>1485</v>
      </c>
      <c r="E1023" s="19"/>
      <c r="F1023" s="15">
        <f t="shared" si="15"/>
        <v>-1485</v>
      </c>
    </row>
    <row r="1024" spans="1:6" x14ac:dyDescent="0.2">
      <c r="A1024" s="91">
        <v>45796</v>
      </c>
      <c r="B1024" s="43">
        <v>13903</v>
      </c>
      <c r="C1024" s="20" t="s">
        <v>7</v>
      </c>
      <c r="D1024" s="18">
        <v>1485</v>
      </c>
      <c r="E1024" s="19"/>
      <c r="F1024" s="15">
        <f t="shared" si="15"/>
        <v>-1485</v>
      </c>
    </row>
    <row r="1025" spans="1:6" x14ac:dyDescent="0.2">
      <c r="A1025" s="91">
        <v>45796</v>
      </c>
      <c r="B1025" s="43">
        <v>13904</v>
      </c>
      <c r="C1025" s="20" t="s">
        <v>7</v>
      </c>
      <c r="D1025" s="18">
        <v>1485</v>
      </c>
      <c r="E1025" s="19"/>
      <c r="F1025" s="15">
        <f t="shared" si="15"/>
        <v>-1485</v>
      </c>
    </row>
    <row r="1026" spans="1:6" x14ac:dyDescent="0.2">
      <c r="A1026" s="91">
        <v>45800</v>
      </c>
      <c r="B1026" s="46">
        <v>15753</v>
      </c>
      <c r="C1026" s="56" t="s">
        <v>7</v>
      </c>
      <c r="D1026" s="48">
        <v>120</v>
      </c>
      <c r="E1026" s="49"/>
      <c r="F1026" s="15">
        <f t="shared" si="15"/>
        <v>-120</v>
      </c>
    </row>
    <row r="1027" spans="1:6" x14ac:dyDescent="0.2">
      <c r="A1027" s="91">
        <v>45800</v>
      </c>
      <c r="B1027" s="44">
        <v>15754</v>
      </c>
      <c r="C1027" s="57" t="s">
        <v>7</v>
      </c>
      <c r="D1027" s="23">
        <v>720</v>
      </c>
      <c r="E1027" s="24"/>
      <c r="F1027" s="15">
        <f t="shared" ref="F1027:F1090" si="16">+E1027-D1027</f>
        <v>-720</v>
      </c>
    </row>
    <row r="1028" spans="1:6" x14ac:dyDescent="0.2">
      <c r="A1028" s="91">
        <v>45800</v>
      </c>
      <c r="B1028" s="43">
        <v>15755</v>
      </c>
      <c r="C1028" s="20" t="s">
        <v>7</v>
      </c>
      <c r="D1028" s="18">
        <v>720</v>
      </c>
      <c r="E1028" s="19"/>
      <c r="F1028" s="15">
        <f t="shared" si="16"/>
        <v>-720</v>
      </c>
    </row>
    <row r="1029" spans="1:6" x14ac:dyDescent="0.2">
      <c r="A1029" s="91">
        <v>45800</v>
      </c>
      <c r="B1029" s="43">
        <v>15756</v>
      </c>
      <c r="C1029" s="20" t="s">
        <v>7</v>
      </c>
      <c r="D1029" s="18">
        <v>720</v>
      </c>
      <c r="E1029" s="19"/>
      <c r="F1029" s="15">
        <f t="shared" si="16"/>
        <v>-720</v>
      </c>
    </row>
    <row r="1030" spans="1:6" x14ac:dyDescent="0.2">
      <c r="A1030" s="91">
        <v>45800</v>
      </c>
      <c r="B1030" s="43">
        <v>15757</v>
      </c>
      <c r="C1030" s="20" t="s">
        <v>7</v>
      </c>
      <c r="D1030" s="18">
        <v>1485</v>
      </c>
      <c r="E1030" s="19"/>
      <c r="F1030" s="15">
        <f t="shared" si="16"/>
        <v>-1485</v>
      </c>
    </row>
    <row r="1031" spans="1:6" x14ac:dyDescent="0.2">
      <c r="A1031" s="91">
        <v>45800</v>
      </c>
      <c r="B1031" s="43">
        <v>15758</v>
      </c>
      <c r="C1031" s="20" t="s">
        <v>7</v>
      </c>
      <c r="D1031" s="18">
        <v>1485</v>
      </c>
      <c r="E1031" s="19"/>
      <c r="F1031" s="15">
        <f t="shared" si="16"/>
        <v>-1485</v>
      </c>
    </row>
    <row r="1032" spans="1:6" x14ac:dyDescent="0.2">
      <c r="A1032" s="91">
        <v>45800</v>
      </c>
      <c r="B1032" s="43">
        <v>15759</v>
      </c>
      <c r="C1032" s="20" t="s">
        <v>7</v>
      </c>
      <c r="D1032" s="18">
        <v>1485</v>
      </c>
      <c r="E1032" s="19"/>
      <c r="F1032" s="15">
        <f t="shared" si="16"/>
        <v>-1485</v>
      </c>
    </row>
    <row r="1033" spans="1:6" x14ac:dyDescent="0.2">
      <c r="A1033" s="91">
        <v>45800</v>
      </c>
      <c r="B1033" s="43">
        <v>15760</v>
      </c>
      <c r="C1033" s="20" t="s">
        <v>7</v>
      </c>
      <c r="D1033" s="18">
        <v>1485</v>
      </c>
      <c r="E1033" s="19"/>
      <c r="F1033" s="15">
        <f t="shared" si="16"/>
        <v>-1485</v>
      </c>
    </row>
    <row r="1034" spans="1:6" x14ac:dyDescent="0.2">
      <c r="A1034" s="91">
        <v>45800</v>
      </c>
      <c r="B1034" s="43">
        <v>15761</v>
      </c>
      <c r="C1034" s="20" t="s">
        <v>7</v>
      </c>
      <c r="D1034" s="18">
        <v>1485</v>
      </c>
      <c r="E1034" s="19"/>
      <c r="F1034" s="15">
        <f t="shared" si="16"/>
        <v>-1485</v>
      </c>
    </row>
    <row r="1035" spans="1:6" x14ac:dyDescent="0.2">
      <c r="A1035" s="91">
        <v>45747</v>
      </c>
      <c r="B1035" s="43">
        <v>419624</v>
      </c>
      <c r="C1035" s="20" t="s">
        <v>374</v>
      </c>
      <c r="D1035" s="19"/>
      <c r="E1035" s="18">
        <v>20000000</v>
      </c>
      <c r="F1035" s="15">
        <f t="shared" si="16"/>
        <v>20000000</v>
      </c>
    </row>
    <row r="1036" spans="1:6" x14ac:dyDescent="0.2">
      <c r="A1036" s="91">
        <v>45747</v>
      </c>
      <c r="B1036" s="45"/>
      <c r="C1036" s="17" t="s">
        <v>371</v>
      </c>
      <c r="D1036" s="18">
        <v>405198.18</v>
      </c>
      <c r="E1036" s="19"/>
      <c r="F1036" s="15">
        <f t="shared" si="16"/>
        <v>-405198.18</v>
      </c>
    </row>
    <row r="1037" spans="1:6" x14ac:dyDescent="0.2">
      <c r="A1037" s="91">
        <v>45845</v>
      </c>
      <c r="B1037" s="45"/>
      <c r="C1037" s="20" t="s">
        <v>523</v>
      </c>
      <c r="D1037" s="18">
        <v>4000</v>
      </c>
      <c r="E1037" s="19"/>
      <c r="F1037" s="15">
        <f t="shared" si="16"/>
        <v>-4000</v>
      </c>
    </row>
    <row r="1038" spans="1:6" x14ac:dyDescent="0.2">
      <c r="A1038" s="91">
        <v>45846</v>
      </c>
      <c r="B1038" s="45"/>
      <c r="C1038" s="20" t="s">
        <v>523</v>
      </c>
      <c r="D1038" s="18">
        <v>4000</v>
      </c>
      <c r="E1038" s="19"/>
      <c r="F1038" s="15">
        <f t="shared" si="16"/>
        <v>-4000</v>
      </c>
    </row>
    <row r="1039" spans="1:6" x14ac:dyDescent="0.2">
      <c r="A1039" s="91">
        <v>45831</v>
      </c>
      <c r="B1039" s="45"/>
      <c r="C1039" s="20" t="s">
        <v>493</v>
      </c>
      <c r="D1039" s="18">
        <v>1320</v>
      </c>
      <c r="E1039" s="19"/>
      <c r="F1039" s="15">
        <f t="shared" si="16"/>
        <v>-1320</v>
      </c>
    </row>
    <row r="1040" spans="1:6" x14ac:dyDescent="0.2">
      <c r="A1040" s="91">
        <v>45832</v>
      </c>
      <c r="B1040" s="45"/>
      <c r="C1040" s="20" t="s">
        <v>493</v>
      </c>
      <c r="D1040" s="18">
        <v>1320</v>
      </c>
      <c r="E1040" s="19"/>
      <c r="F1040" s="15">
        <f t="shared" si="16"/>
        <v>-1320</v>
      </c>
    </row>
    <row r="1041" spans="1:6" x14ac:dyDescent="0.2">
      <c r="A1041" s="91">
        <v>45848</v>
      </c>
      <c r="B1041" s="45"/>
      <c r="C1041" s="20" t="s">
        <v>493</v>
      </c>
      <c r="D1041" s="18">
        <v>1320</v>
      </c>
      <c r="E1041" s="19"/>
      <c r="F1041" s="15">
        <f t="shared" si="16"/>
        <v>-1320</v>
      </c>
    </row>
    <row r="1042" spans="1:6" x14ac:dyDescent="0.2">
      <c r="A1042" s="91">
        <v>45854</v>
      </c>
      <c r="B1042" s="54"/>
      <c r="C1042" s="83" t="s">
        <v>493</v>
      </c>
      <c r="D1042" s="64">
        <v>1320</v>
      </c>
      <c r="E1042" s="35"/>
      <c r="F1042" s="15">
        <f t="shared" si="16"/>
        <v>-1320</v>
      </c>
    </row>
    <row r="1043" spans="1:6" x14ac:dyDescent="0.2">
      <c r="A1043" s="92">
        <v>45890</v>
      </c>
      <c r="B1043" s="71"/>
      <c r="C1043" s="9" t="s">
        <v>493</v>
      </c>
      <c r="D1043" s="63">
        <v>1320</v>
      </c>
      <c r="E1043" s="49"/>
      <c r="F1043" s="15">
        <f t="shared" si="16"/>
        <v>-1320</v>
      </c>
    </row>
    <row r="1044" spans="1:6" x14ac:dyDescent="0.2">
      <c r="A1044" s="92">
        <v>45891</v>
      </c>
      <c r="B1044" s="71"/>
      <c r="C1044" s="9" t="s">
        <v>493</v>
      </c>
      <c r="D1044" s="63">
        <v>1320</v>
      </c>
      <c r="E1044" s="49"/>
      <c r="F1044" s="15">
        <f t="shared" si="16"/>
        <v>-1320</v>
      </c>
    </row>
    <row r="1045" spans="1:6" x14ac:dyDescent="0.2">
      <c r="A1045" s="92">
        <v>45894</v>
      </c>
      <c r="B1045" s="71"/>
      <c r="C1045" s="9" t="s">
        <v>493</v>
      </c>
      <c r="D1045" s="63">
        <v>1320</v>
      </c>
      <c r="E1045" s="49"/>
      <c r="F1045" s="15">
        <f t="shared" si="16"/>
        <v>-1320</v>
      </c>
    </row>
    <row r="1046" spans="1:6" x14ac:dyDescent="0.2">
      <c r="A1046" s="91">
        <v>45896</v>
      </c>
      <c r="B1046" s="41"/>
      <c r="C1046" s="84" t="s">
        <v>493</v>
      </c>
      <c r="D1046" s="8">
        <v>1320</v>
      </c>
      <c r="E1046" s="7"/>
      <c r="F1046" s="15">
        <f t="shared" si="16"/>
        <v>-1320</v>
      </c>
    </row>
    <row r="1047" spans="1:6" x14ac:dyDescent="0.2">
      <c r="A1047" s="91">
        <v>45898</v>
      </c>
      <c r="B1047" s="42"/>
      <c r="C1047" s="12" t="s">
        <v>493</v>
      </c>
      <c r="D1047" s="13">
        <v>1320</v>
      </c>
      <c r="E1047" s="14"/>
      <c r="F1047" s="15">
        <f t="shared" si="16"/>
        <v>-1320</v>
      </c>
    </row>
    <row r="1048" spans="1:6" x14ac:dyDescent="0.2">
      <c r="A1048" s="91">
        <v>45575</v>
      </c>
      <c r="B1048" s="45"/>
      <c r="C1048" s="17" t="s">
        <v>113</v>
      </c>
      <c r="D1048" s="18">
        <v>432.13</v>
      </c>
      <c r="E1048" s="19"/>
      <c r="F1048" s="15">
        <f t="shared" si="16"/>
        <v>-432.13</v>
      </c>
    </row>
    <row r="1049" spans="1:6" x14ac:dyDescent="0.2">
      <c r="A1049" s="91">
        <v>45694</v>
      </c>
      <c r="B1049" s="45"/>
      <c r="C1049" s="17" t="s">
        <v>113</v>
      </c>
      <c r="D1049" s="18">
        <v>11195.65</v>
      </c>
      <c r="E1049" s="19"/>
      <c r="F1049" s="15">
        <f t="shared" si="16"/>
        <v>-11195.65</v>
      </c>
    </row>
    <row r="1050" spans="1:6" x14ac:dyDescent="0.2">
      <c r="A1050" s="91">
        <v>45722</v>
      </c>
      <c r="B1050" s="45"/>
      <c r="C1050" s="17" t="s">
        <v>113</v>
      </c>
      <c r="D1050" s="18">
        <v>23448.74</v>
      </c>
      <c r="E1050" s="19"/>
      <c r="F1050" s="15">
        <f t="shared" si="16"/>
        <v>-23448.74</v>
      </c>
    </row>
    <row r="1051" spans="1:6" x14ac:dyDescent="0.2">
      <c r="A1051" s="91">
        <v>45727</v>
      </c>
      <c r="B1051" s="45"/>
      <c r="C1051" s="17" t="s">
        <v>113</v>
      </c>
      <c r="D1051" s="18">
        <v>24000</v>
      </c>
      <c r="E1051" s="19"/>
      <c r="F1051" s="15">
        <f t="shared" si="16"/>
        <v>-24000</v>
      </c>
    </row>
    <row r="1052" spans="1:6" x14ac:dyDescent="0.2">
      <c r="A1052" s="91">
        <v>45783</v>
      </c>
      <c r="B1052" s="45"/>
      <c r="C1052" s="17" t="s">
        <v>113</v>
      </c>
      <c r="D1052" s="18">
        <v>24000</v>
      </c>
      <c r="E1052" s="19"/>
      <c r="F1052" s="15">
        <f t="shared" si="16"/>
        <v>-24000</v>
      </c>
    </row>
    <row r="1053" spans="1:6" x14ac:dyDescent="0.2">
      <c r="A1053" s="91">
        <v>45786</v>
      </c>
      <c r="B1053" s="45"/>
      <c r="C1053" s="17" t="s">
        <v>113</v>
      </c>
      <c r="D1053" s="18">
        <v>18710.580000000002</v>
      </c>
      <c r="E1053" s="19"/>
      <c r="F1053" s="15">
        <f t="shared" si="16"/>
        <v>-18710.580000000002</v>
      </c>
    </row>
    <row r="1054" spans="1:6" x14ac:dyDescent="0.2">
      <c r="A1054" s="91">
        <v>45811</v>
      </c>
      <c r="B1054" s="45"/>
      <c r="C1054" s="17" t="s">
        <v>468</v>
      </c>
      <c r="D1054" s="18">
        <v>121.58</v>
      </c>
      <c r="E1054" s="19"/>
      <c r="F1054" s="15">
        <f t="shared" si="16"/>
        <v>-121.58</v>
      </c>
    </row>
    <row r="1055" spans="1:6" x14ac:dyDescent="0.2">
      <c r="A1055" s="91">
        <v>45812</v>
      </c>
      <c r="B1055" s="45"/>
      <c r="C1055" s="17" t="s">
        <v>468</v>
      </c>
      <c r="D1055" s="18">
        <v>24000</v>
      </c>
      <c r="E1055" s="19"/>
      <c r="F1055" s="15">
        <f t="shared" si="16"/>
        <v>-24000</v>
      </c>
    </row>
    <row r="1056" spans="1:6" x14ac:dyDescent="0.2">
      <c r="A1056" s="91">
        <v>45813</v>
      </c>
      <c r="B1056" s="45"/>
      <c r="C1056" s="17" t="s">
        <v>468</v>
      </c>
      <c r="D1056" s="18">
        <v>3635.6</v>
      </c>
      <c r="E1056" s="19"/>
      <c r="F1056" s="15">
        <f t="shared" si="16"/>
        <v>-3635.6</v>
      </c>
    </row>
    <row r="1057" spans="1:8" x14ac:dyDescent="0.2">
      <c r="A1057" s="91">
        <v>45820</v>
      </c>
      <c r="B1057" s="45"/>
      <c r="C1057" s="17" t="s">
        <v>468</v>
      </c>
      <c r="D1057" s="18">
        <v>18103.78</v>
      </c>
      <c r="E1057" s="19"/>
      <c r="F1057" s="15">
        <f t="shared" si="16"/>
        <v>-18103.78</v>
      </c>
    </row>
    <row r="1058" spans="1:8" x14ac:dyDescent="0.2">
      <c r="A1058" s="91">
        <v>45825</v>
      </c>
      <c r="B1058" s="45"/>
      <c r="C1058" s="17" t="s">
        <v>468</v>
      </c>
      <c r="D1058" s="18">
        <v>24000</v>
      </c>
      <c r="E1058" s="19"/>
      <c r="F1058" s="15">
        <f t="shared" si="16"/>
        <v>-24000</v>
      </c>
    </row>
    <row r="1059" spans="1:8" x14ac:dyDescent="0.2">
      <c r="A1059" s="91">
        <v>45842</v>
      </c>
      <c r="B1059" s="45"/>
      <c r="C1059" s="17" t="s">
        <v>468</v>
      </c>
      <c r="D1059" s="18">
        <v>8556.5</v>
      </c>
      <c r="E1059" s="19"/>
      <c r="F1059" s="15">
        <f t="shared" si="16"/>
        <v>-8556.5</v>
      </c>
    </row>
    <row r="1060" spans="1:8" x14ac:dyDescent="0.2">
      <c r="A1060" s="91">
        <v>45870</v>
      </c>
      <c r="B1060" s="45"/>
      <c r="C1060" s="17" t="s">
        <v>468</v>
      </c>
      <c r="D1060" s="18">
        <v>17574.37</v>
      </c>
      <c r="E1060" s="19"/>
      <c r="F1060" s="15">
        <f t="shared" si="16"/>
        <v>-17574.37</v>
      </c>
    </row>
    <row r="1061" spans="1:8" x14ac:dyDescent="0.2">
      <c r="A1061" s="91">
        <v>45877</v>
      </c>
      <c r="B1061" s="45"/>
      <c r="C1061" s="17" t="s">
        <v>468</v>
      </c>
      <c r="D1061" s="18">
        <v>650.66</v>
      </c>
      <c r="E1061" s="19"/>
      <c r="F1061" s="15">
        <f t="shared" si="16"/>
        <v>-650.66</v>
      </c>
    </row>
    <row r="1062" spans="1:8" x14ac:dyDescent="0.2">
      <c r="A1062" s="91">
        <v>45880</v>
      </c>
      <c r="B1062" s="45"/>
      <c r="C1062" s="17" t="s">
        <v>468</v>
      </c>
      <c r="D1062" s="18">
        <v>12741.82</v>
      </c>
      <c r="E1062" s="19"/>
      <c r="F1062" s="15">
        <f t="shared" si="16"/>
        <v>-12741.82</v>
      </c>
    </row>
    <row r="1063" spans="1:8" x14ac:dyDescent="0.2">
      <c r="A1063" s="91">
        <v>45883</v>
      </c>
      <c r="B1063" s="45"/>
      <c r="C1063" s="17" t="s">
        <v>468</v>
      </c>
      <c r="D1063" s="18">
        <v>840</v>
      </c>
      <c r="E1063" s="19"/>
      <c r="F1063" s="15">
        <f t="shared" si="16"/>
        <v>-840</v>
      </c>
    </row>
    <row r="1064" spans="1:8" x14ac:dyDescent="0.2">
      <c r="A1064" s="91">
        <v>45887</v>
      </c>
      <c r="B1064" s="45"/>
      <c r="C1064" s="17" t="s">
        <v>468</v>
      </c>
      <c r="D1064" s="18">
        <v>3205.93</v>
      </c>
      <c r="E1064" s="19"/>
      <c r="F1064" s="15">
        <f t="shared" si="16"/>
        <v>-3205.93</v>
      </c>
    </row>
    <row r="1065" spans="1:8" x14ac:dyDescent="0.2">
      <c r="A1065" s="91">
        <v>45898</v>
      </c>
      <c r="B1065" s="45"/>
      <c r="C1065" s="17" t="s">
        <v>468</v>
      </c>
      <c r="D1065" s="18">
        <v>5579.84</v>
      </c>
      <c r="E1065" s="19"/>
      <c r="F1065" s="15">
        <f t="shared" si="16"/>
        <v>-5579.84</v>
      </c>
    </row>
    <row r="1066" spans="1:8" x14ac:dyDescent="0.2">
      <c r="A1066" s="91">
        <v>45835</v>
      </c>
      <c r="B1066" s="45"/>
      <c r="C1066" s="17" t="s">
        <v>508</v>
      </c>
      <c r="D1066" s="18">
        <v>58115</v>
      </c>
      <c r="E1066" s="19"/>
      <c r="F1066" s="15">
        <f t="shared" si="16"/>
        <v>-58115</v>
      </c>
    </row>
    <row r="1067" spans="1:8" x14ac:dyDescent="0.2">
      <c r="A1067" s="91">
        <v>45868</v>
      </c>
      <c r="B1067" s="51"/>
      <c r="C1067" s="47" t="s">
        <v>508</v>
      </c>
      <c r="D1067" s="48">
        <v>65010</v>
      </c>
      <c r="E1067" s="49"/>
      <c r="F1067" s="15">
        <f t="shared" si="16"/>
        <v>-65010</v>
      </c>
    </row>
    <row r="1068" spans="1:8" x14ac:dyDescent="0.2">
      <c r="A1068" s="91">
        <v>45897</v>
      </c>
      <c r="B1068" s="50"/>
      <c r="C1068" s="22" t="s">
        <v>508</v>
      </c>
      <c r="D1068" s="23">
        <v>40385</v>
      </c>
      <c r="E1068" s="24"/>
      <c r="F1068" s="15">
        <f t="shared" si="16"/>
        <v>-40385</v>
      </c>
    </row>
    <row r="1069" spans="1:8" x14ac:dyDescent="0.2">
      <c r="A1069" s="91">
        <v>45562</v>
      </c>
      <c r="B1069" s="26"/>
      <c r="C1069" s="17" t="s">
        <v>93</v>
      </c>
      <c r="D1069" s="18">
        <v>34020</v>
      </c>
      <c r="E1069" s="19"/>
      <c r="F1069" s="15">
        <f t="shared" si="16"/>
        <v>-34020</v>
      </c>
      <c r="H1069" s="10"/>
    </row>
    <row r="1070" spans="1:8" x14ac:dyDescent="0.2">
      <c r="A1070" s="91">
        <v>45595</v>
      </c>
      <c r="B1070" s="45"/>
      <c r="C1070" s="17" t="s">
        <v>93</v>
      </c>
      <c r="D1070" s="18">
        <v>42210</v>
      </c>
      <c r="E1070" s="19"/>
      <c r="F1070" s="15">
        <f t="shared" si="16"/>
        <v>-42210</v>
      </c>
    </row>
    <row r="1071" spans="1:8" x14ac:dyDescent="0.2">
      <c r="A1071" s="91">
        <v>45624</v>
      </c>
      <c r="B1071" s="45"/>
      <c r="C1071" s="17" t="s">
        <v>93</v>
      </c>
      <c r="D1071" s="18">
        <v>44280</v>
      </c>
      <c r="E1071" s="19"/>
      <c r="F1071" s="15">
        <f t="shared" si="16"/>
        <v>-44280</v>
      </c>
    </row>
    <row r="1072" spans="1:8" x14ac:dyDescent="0.2">
      <c r="A1072" s="91">
        <v>45656</v>
      </c>
      <c r="B1072" s="45"/>
      <c r="C1072" s="17" t="s">
        <v>93</v>
      </c>
      <c r="D1072" s="25">
        <v>45920</v>
      </c>
      <c r="E1072" s="19"/>
      <c r="F1072" s="15">
        <f t="shared" si="16"/>
        <v>-45920</v>
      </c>
    </row>
    <row r="1073" spans="1:8" x14ac:dyDescent="0.2">
      <c r="A1073" s="91">
        <v>45687</v>
      </c>
      <c r="B1073" s="45"/>
      <c r="C1073" s="17" t="s">
        <v>93</v>
      </c>
      <c r="D1073" s="18">
        <v>41000</v>
      </c>
      <c r="E1073" s="19"/>
      <c r="F1073" s="15">
        <f t="shared" si="16"/>
        <v>-41000</v>
      </c>
    </row>
    <row r="1074" spans="1:8" x14ac:dyDescent="0.2">
      <c r="A1074" s="91">
        <v>45715</v>
      </c>
      <c r="B1074" s="45"/>
      <c r="C1074" s="17" t="s">
        <v>93</v>
      </c>
      <c r="D1074" s="18">
        <v>33620</v>
      </c>
      <c r="E1074" s="19"/>
      <c r="F1074" s="15">
        <f t="shared" si="16"/>
        <v>-33620</v>
      </c>
    </row>
    <row r="1075" spans="1:8" x14ac:dyDescent="0.2">
      <c r="A1075" s="91">
        <v>45744</v>
      </c>
      <c r="B1075" s="45"/>
      <c r="C1075" s="17" t="s">
        <v>93</v>
      </c>
      <c r="D1075" s="18">
        <v>56145</v>
      </c>
      <c r="E1075" s="19"/>
      <c r="F1075" s="15">
        <f t="shared" si="16"/>
        <v>-56145</v>
      </c>
    </row>
    <row r="1076" spans="1:8" x14ac:dyDescent="0.2">
      <c r="A1076" s="91">
        <v>45776</v>
      </c>
      <c r="B1076" s="45"/>
      <c r="C1076" s="17" t="s">
        <v>93</v>
      </c>
      <c r="D1076" s="18">
        <v>61070</v>
      </c>
      <c r="E1076" s="19"/>
      <c r="F1076" s="15">
        <f t="shared" si="16"/>
        <v>-61070</v>
      </c>
    </row>
    <row r="1077" spans="1:8" x14ac:dyDescent="0.2">
      <c r="A1077" s="91">
        <v>45806</v>
      </c>
      <c r="B1077" s="45"/>
      <c r="C1077" s="17" t="s">
        <v>93</v>
      </c>
      <c r="D1077" s="18">
        <v>58115</v>
      </c>
      <c r="E1077" s="19"/>
      <c r="F1077" s="15">
        <f t="shared" si="16"/>
        <v>-58115</v>
      </c>
    </row>
    <row r="1078" spans="1:8" x14ac:dyDescent="0.2">
      <c r="A1078" s="91">
        <v>45567</v>
      </c>
      <c r="B1078" s="45"/>
      <c r="C1078" s="20" t="s">
        <v>103</v>
      </c>
      <c r="D1078" s="18">
        <v>2000</v>
      </c>
      <c r="E1078" s="19"/>
      <c r="F1078" s="15">
        <f t="shared" si="16"/>
        <v>-2000</v>
      </c>
    </row>
    <row r="1079" spans="1:8" x14ac:dyDescent="0.2">
      <c r="A1079" s="91">
        <v>45622</v>
      </c>
      <c r="B1079" s="45"/>
      <c r="C1079" s="20" t="s">
        <v>103</v>
      </c>
      <c r="D1079" s="18">
        <v>2000</v>
      </c>
      <c r="E1079" s="19"/>
      <c r="F1079" s="15">
        <f t="shared" si="16"/>
        <v>-2000</v>
      </c>
    </row>
    <row r="1080" spans="1:8" x14ac:dyDescent="0.2">
      <c r="A1080" s="91">
        <v>45628</v>
      </c>
      <c r="B1080" s="45"/>
      <c r="C1080" s="20" t="s">
        <v>103</v>
      </c>
      <c r="D1080" s="18">
        <v>2000</v>
      </c>
      <c r="E1080" s="19"/>
      <c r="F1080" s="15">
        <f t="shared" si="16"/>
        <v>-2000</v>
      </c>
    </row>
    <row r="1081" spans="1:8" x14ac:dyDescent="0.2">
      <c r="A1081" s="91">
        <v>45645</v>
      </c>
      <c r="B1081" s="45"/>
      <c r="C1081" s="20" t="s">
        <v>103</v>
      </c>
      <c r="D1081" s="18">
        <v>2000</v>
      </c>
      <c r="E1081" s="19"/>
      <c r="F1081" s="15">
        <f t="shared" si="16"/>
        <v>-2000</v>
      </c>
    </row>
    <row r="1082" spans="1:8" x14ac:dyDescent="0.2">
      <c r="A1082" s="91">
        <v>45653</v>
      </c>
      <c r="B1082" s="51"/>
      <c r="C1082" s="9" t="s">
        <v>103</v>
      </c>
      <c r="D1082" s="48">
        <v>2000</v>
      </c>
      <c r="E1082" s="62"/>
      <c r="F1082" s="15">
        <f t="shared" si="16"/>
        <v>-2000</v>
      </c>
    </row>
    <row r="1083" spans="1:8" x14ac:dyDescent="0.2">
      <c r="A1083" s="91">
        <v>45684</v>
      </c>
      <c r="B1083" s="50"/>
      <c r="C1083" s="28" t="s">
        <v>103</v>
      </c>
      <c r="D1083" s="23">
        <v>2000</v>
      </c>
      <c r="E1083" s="24"/>
      <c r="F1083" s="15">
        <f t="shared" si="16"/>
        <v>-2000</v>
      </c>
    </row>
    <row r="1084" spans="1:8" x14ac:dyDescent="0.2">
      <c r="A1084" s="91">
        <v>45744</v>
      </c>
      <c r="B1084" s="45"/>
      <c r="C1084" s="20" t="s">
        <v>368</v>
      </c>
      <c r="D1084" s="18">
        <v>21000</v>
      </c>
      <c r="E1084" s="19"/>
      <c r="F1084" s="15">
        <f t="shared" si="16"/>
        <v>-21000</v>
      </c>
    </row>
    <row r="1085" spans="1:8" x14ac:dyDescent="0.2">
      <c r="A1085" s="91">
        <v>45615</v>
      </c>
      <c r="B1085" s="45"/>
      <c r="C1085" s="20" t="s">
        <v>172</v>
      </c>
      <c r="D1085" s="18">
        <v>3000</v>
      </c>
      <c r="E1085" s="19"/>
      <c r="F1085" s="15">
        <f t="shared" si="16"/>
        <v>-3000</v>
      </c>
    </row>
    <row r="1086" spans="1:8" x14ac:dyDescent="0.2">
      <c r="A1086" s="91">
        <v>45680</v>
      </c>
      <c r="B1086" s="45"/>
      <c r="C1086" s="20" t="s">
        <v>172</v>
      </c>
      <c r="D1086" s="18">
        <v>3000</v>
      </c>
      <c r="E1086" s="19"/>
      <c r="F1086" s="15">
        <f t="shared" si="16"/>
        <v>-3000</v>
      </c>
    </row>
    <row r="1087" spans="1:8" x14ac:dyDescent="0.2">
      <c r="A1087" s="91">
        <v>45545</v>
      </c>
      <c r="B1087" s="26"/>
      <c r="C1087" s="20" t="s">
        <v>35</v>
      </c>
      <c r="D1087" s="18">
        <v>4000</v>
      </c>
      <c r="E1087" s="19"/>
      <c r="F1087" s="15">
        <f t="shared" si="16"/>
        <v>-4000</v>
      </c>
      <c r="H1087" s="10"/>
    </row>
    <row r="1088" spans="1:8" x14ac:dyDescent="0.2">
      <c r="A1088" s="91">
        <v>45568</v>
      </c>
      <c r="B1088" s="45"/>
      <c r="C1088" s="20" t="s">
        <v>35</v>
      </c>
      <c r="D1088" s="18">
        <v>4000</v>
      </c>
      <c r="E1088" s="19"/>
      <c r="F1088" s="15">
        <f t="shared" si="16"/>
        <v>-4000</v>
      </c>
    </row>
    <row r="1089" spans="1:6" x14ac:dyDescent="0.2">
      <c r="A1089" s="91">
        <v>45596</v>
      </c>
      <c r="B1089" s="45"/>
      <c r="C1089" s="20" t="s">
        <v>35</v>
      </c>
      <c r="D1089" s="25">
        <v>4000</v>
      </c>
      <c r="E1089" s="19"/>
      <c r="F1089" s="15">
        <f t="shared" si="16"/>
        <v>-4000</v>
      </c>
    </row>
    <row r="1090" spans="1:6" x14ac:dyDescent="0.2">
      <c r="A1090" s="91">
        <v>45616</v>
      </c>
      <c r="B1090" s="45"/>
      <c r="C1090" s="20" t="s">
        <v>35</v>
      </c>
      <c r="D1090" s="18">
        <v>4000</v>
      </c>
      <c r="E1090" s="19"/>
      <c r="F1090" s="15">
        <f t="shared" si="16"/>
        <v>-4000</v>
      </c>
    </row>
    <row r="1091" spans="1:6" x14ac:dyDescent="0.2">
      <c r="A1091" s="91">
        <v>45656</v>
      </c>
      <c r="B1091" s="45"/>
      <c r="C1091" s="20" t="s">
        <v>35</v>
      </c>
      <c r="D1091" s="18">
        <v>4000</v>
      </c>
      <c r="E1091" s="19"/>
      <c r="F1091" s="15">
        <f t="shared" ref="F1091:F1154" si="17">+E1091-D1091</f>
        <v>-4000</v>
      </c>
    </row>
    <row r="1092" spans="1:6" x14ac:dyDescent="0.2">
      <c r="A1092" s="91">
        <v>45679</v>
      </c>
      <c r="B1092" s="45"/>
      <c r="C1092" s="20" t="s">
        <v>35</v>
      </c>
      <c r="D1092" s="18">
        <v>4000</v>
      </c>
      <c r="E1092" s="19"/>
      <c r="F1092" s="15">
        <f t="shared" si="17"/>
        <v>-4000</v>
      </c>
    </row>
    <row r="1093" spans="1:6" x14ac:dyDescent="0.2">
      <c r="A1093" s="91">
        <v>45681</v>
      </c>
      <c r="B1093" s="45"/>
      <c r="C1093" s="20" t="s">
        <v>35</v>
      </c>
      <c r="D1093" s="18">
        <v>4000</v>
      </c>
      <c r="E1093" s="19"/>
      <c r="F1093" s="15">
        <f t="shared" si="17"/>
        <v>-4000</v>
      </c>
    </row>
    <row r="1094" spans="1:6" x14ac:dyDescent="0.2">
      <c r="A1094" s="91">
        <v>45701</v>
      </c>
      <c r="B1094" s="45"/>
      <c r="C1094" s="20" t="s">
        <v>35</v>
      </c>
      <c r="D1094" s="18">
        <v>4000</v>
      </c>
      <c r="E1094" s="19"/>
      <c r="F1094" s="15">
        <f t="shared" si="17"/>
        <v>-4000</v>
      </c>
    </row>
    <row r="1095" spans="1:6" x14ac:dyDescent="0.2">
      <c r="A1095" s="91">
        <v>45707</v>
      </c>
      <c r="B1095" s="45"/>
      <c r="C1095" s="20" t="s">
        <v>35</v>
      </c>
      <c r="D1095" s="18">
        <v>4000</v>
      </c>
      <c r="E1095" s="19"/>
      <c r="F1095" s="15">
        <f t="shared" si="17"/>
        <v>-4000</v>
      </c>
    </row>
    <row r="1096" spans="1:6" x14ac:dyDescent="0.2">
      <c r="A1096" s="91">
        <v>45708</v>
      </c>
      <c r="B1096" s="45"/>
      <c r="C1096" s="20" t="s">
        <v>35</v>
      </c>
      <c r="D1096" s="18">
        <v>4000</v>
      </c>
      <c r="E1096" s="19"/>
      <c r="F1096" s="15">
        <f t="shared" si="17"/>
        <v>-4000</v>
      </c>
    </row>
    <row r="1097" spans="1:6" x14ac:dyDescent="0.2">
      <c r="A1097" s="91">
        <v>45736</v>
      </c>
      <c r="B1097" s="45"/>
      <c r="C1097" s="20" t="s">
        <v>35</v>
      </c>
      <c r="D1097" s="18">
        <v>4000</v>
      </c>
      <c r="E1097" s="19"/>
      <c r="F1097" s="15">
        <f t="shared" si="17"/>
        <v>-4000</v>
      </c>
    </row>
    <row r="1098" spans="1:6" x14ac:dyDescent="0.2">
      <c r="A1098" s="91">
        <v>45737</v>
      </c>
      <c r="B1098" s="45"/>
      <c r="C1098" s="20" t="s">
        <v>35</v>
      </c>
      <c r="D1098" s="18">
        <v>4000</v>
      </c>
      <c r="E1098" s="19"/>
      <c r="F1098" s="15">
        <f t="shared" si="17"/>
        <v>-4000</v>
      </c>
    </row>
    <row r="1099" spans="1:6" x14ac:dyDescent="0.2">
      <c r="A1099" s="91">
        <v>45743</v>
      </c>
      <c r="B1099" s="45"/>
      <c r="C1099" s="20" t="s">
        <v>35</v>
      </c>
      <c r="D1099" s="18">
        <v>4000</v>
      </c>
      <c r="E1099" s="19"/>
      <c r="F1099" s="15">
        <f t="shared" si="17"/>
        <v>-4000</v>
      </c>
    </row>
    <row r="1100" spans="1:6" x14ac:dyDescent="0.2">
      <c r="A1100" s="91">
        <v>45769</v>
      </c>
      <c r="B1100" s="45"/>
      <c r="C1100" s="20" t="s">
        <v>35</v>
      </c>
      <c r="D1100" s="18">
        <v>4000</v>
      </c>
      <c r="E1100" s="19"/>
      <c r="F1100" s="15">
        <f t="shared" si="17"/>
        <v>-4000</v>
      </c>
    </row>
    <row r="1101" spans="1:6" x14ac:dyDescent="0.2">
      <c r="A1101" s="91">
        <v>45771</v>
      </c>
      <c r="B1101" s="45"/>
      <c r="C1101" s="20" t="s">
        <v>35</v>
      </c>
      <c r="D1101" s="18">
        <v>4000</v>
      </c>
      <c r="E1101" s="19"/>
      <c r="F1101" s="15">
        <f t="shared" si="17"/>
        <v>-4000</v>
      </c>
    </row>
    <row r="1102" spans="1:6" x14ac:dyDescent="0.2">
      <c r="A1102" s="91">
        <v>45792</v>
      </c>
      <c r="B1102" s="45"/>
      <c r="C1102" s="20" t="s">
        <v>35</v>
      </c>
      <c r="D1102" s="18">
        <v>4000</v>
      </c>
      <c r="E1102" s="19"/>
      <c r="F1102" s="15">
        <f t="shared" si="17"/>
        <v>-4000</v>
      </c>
    </row>
    <row r="1103" spans="1:6" x14ac:dyDescent="0.2">
      <c r="A1103" s="91">
        <v>45625</v>
      </c>
      <c r="B1103" s="45"/>
      <c r="C1103" s="20" t="s">
        <v>195</v>
      </c>
      <c r="D1103" s="18">
        <v>5000</v>
      </c>
      <c r="E1103" s="19"/>
      <c r="F1103" s="15">
        <f t="shared" si="17"/>
        <v>-5000</v>
      </c>
    </row>
    <row r="1104" spans="1:6" x14ac:dyDescent="0.2">
      <c r="A1104" s="91">
        <v>45800</v>
      </c>
      <c r="B1104" s="45"/>
      <c r="C1104" s="20" t="s">
        <v>453</v>
      </c>
      <c r="D1104" s="18">
        <v>1320</v>
      </c>
      <c r="E1104" s="19"/>
      <c r="F1104" s="15">
        <f t="shared" si="17"/>
        <v>-1320</v>
      </c>
    </row>
    <row r="1105" spans="1:8" x14ac:dyDescent="0.2">
      <c r="A1105" s="91">
        <v>45672</v>
      </c>
      <c r="B1105" s="45"/>
      <c r="C1105" s="20" t="s">
        <v>247</v>
      </c>
      <c r="D1105" s="18">
        <v>1100</v>
      </c>
      <c r="E1105" s="19"/>
      <c r="F1105" s="15">
        <f t="shared" si="17"/>
        <v>-1100</v>
      </c>
    </row>
    <row r="1106" spans="1:8" x14ac:dyDescent="0.2">
      <c r="A1106" s="91">
        <v>45635</v>
      </c>
      <c r="B1106" s="45"/>
      <c r="C1106" s="20" t="s">
        <v>207</v>
      </c>
      <c r="D1106" s="18">
        <v>1100</v>
      </c>
      <c r="E1106" s="19"/>
      <c r="F1106" s="15">
        <f t="shared" si="17"/>
        <v>-1100</v>
      </c>
    </row>
    <row r="1107" spans="1:8" x14ac:dyDescent="0.2">
      <c r="A1107" s="91">
        <v>45636</v>
      </c>
      <c r="B1107" s="45"/>
      <c r="C1107" s="20" t="s">
        <v>207</v>
      </c>
      <c r="D1107" s="18">
        <v>1100</v>
      </c>
      <c r="E1107" s="19"/>
      <c r="F1107" s="15">
        <f t="shared" si="17"/>
        <v>-1100</v>
      </c>
    </row>
    <row r="1108" spans="1:8" x14ac:dyDescent="0.2">
      <c r="A1108" s="91">
        <v>45659</v>
      </c>
      <c r="B1108" s="51"/>
      <c r="C1108" s="9" t="s">
        <v>207</v>
      </c>
      <c r="D1108" s="48">
        <v>1100</v>
      </c>
      <c r="E1108" s="49"/>
      <c r="F1108" s="15">
        <f t="shared" si="17"/>
        <v>-1100</v>
      </c>
    </row>
    <row r="1109" spans="1:8" x14ac:dyDescent="0.2">
      <c r="A1109" s="91">
        <v>45667</v>
      </c>
      <c r="B1109" s="50"/>
      <c r="C1109" s="28" t="s">
        <v>207</v>
      </c>
      <c r="D1109" s="23">
        <v>1100</v>
      </c>
      <c r="E1109" s="24"/>
      <c r="F1109" s="15">
        <f t="shared" si="17"/>
        <v>-1100</v>
      </c>
    </row>
    <row r="1110" spans="1:8" x14ac:dyDescent="0.2">
      <c r="A1110" s="91">
        <v>45700</v>
      </c>
      <c r="B1110" s="45"/>
      <c r="C1110" s="20" t="s">
        <v>207</v>
      </c>
      <c r="D1110" s="18">
        <v>1100</v>
      </c>
      <c r="E1110" s="19"/>
      <c r="F1110" s="15">
        <f t="shared" si="17"/>
        <v>-1100</v>
      </c>
    </row>
    <row r="1111" spans="1:8" x14ac:dyDescent="0.2">
      <c r="A1111" s="91">
        <v>45733</v>
      </c>
      <c r="B1111" s="45"/>
      <c r="C1111" s="20" t="s">
        <v>207</v>
      </c>
      <c r="D1111" s="18">
        <v>1320</v>
      </c>
      <c r="E1111" s="19"/>
      <c r="F1111" s="15">
        <f t="shared" si="17"/>
        <v>-1320</v>
      </c>
    </row>
    <row r="1112" spans="1:8" x14ac:dyDescent="0.2">
      <c r="A1112" s="91">
        <v>45734</v>
      </c>
      <c r="B1112" s="45"/>
      <c r="C1112" s="20" t="s">
        <v>207</v>
      </c>
      <c r="D1112" s="18">
        <v>1320</v>
      </c>
      <c r="E1112" s="19"/>
      <c r="F1112" s="15">
        <f t="shared" si="17"/>
        <v>-1320</v>
      </c>
    </row>
    <row r="1113" spans="1:8" x14ac:dyDescent="0.2">
      <c r="A1113" s="91">
        <v>45763</v>
      </c>
      <c r="B1113" s="45"/>
      <c r="C1113" s="20" t="s">
        <v>207</v>
      </c>
      <c r="D1113" s="18">
        <v>1320</v>
      </c>
      <c r="E1113" s="19"/>
      <c r="F1113" s="15">
        <f t="shared" si="17"/>
        <v>-1320</v>
      </c>
    </row>
    <row r="1114" spans="1:8" x14ac:dyDescent="0.2">
      <c r="A1114" s="91">
        <v>45768</v>
      </c>
      <c r="B1114" s="45"/>
      <c r="C1114" s="20" t="s">
        <v>207</v>
      </c>
      <c r="D1114" s="18">
        <v>1320</v>
      </c>
      <c r="E1114" s="19"/>
      <c r="F1114" s="15">
        <f t="shared" si="17"/>
        <v>-1320</v>
      </c>
    </row>
    <row r="1115" spans="1:8" x14ac:dyDescent="0.2">
      <c r="A1115" s="91">
        <v>45772</v>
      </c>
      <c r="B1115" s="45"/>
      <c r="C1115" s="20" t="s">
        <v>207</v>
      </c>
      <c r="D1115" s="18">
        <v>1320</v>
      </c>
      <c r="E1115" s="19"/>
      <c r="F1115" s="15">
        <f t="shared" si="17"/>
        <v>-1320</v>
      </c>
    </row>
    <row r="1116" spans="1:8" x14ac:dyDescent="0.2">
      <c r="A1116" s="91">
        <v>45799</v>
      </c>
      <c r="B1116" s="45"/>
      <c r="C1116" s="20" t="s">
        <v>207</v>
      </c>
      <c r="D1116" s="18">
        <v>1320</v>
      </c>
      <c r="E1116" s="19"/>
      <c r="F1116" s="15">
        <f t="shared" si="17"/>
        <v>-1320</v>
      </c>
    </row>
    <row r="1117" spans="1:8" x14ac:dyDescent="0.2">
      <c r="A1117" s="91">
        <v>45709</v>
      </c>
      <c r="B1117" s="45"/>
      <c r="C1117" s="20" t="s">
        <v>314</v>
      </c>
      <c r="D1117" s="18">
        <v>1800</v>
      </c>
      <c r="E1117" s="19"/>
      <c r="F1117" s="15">
        <f t="shared" si="17"/>
        <v>-1800</v>
      </c>
    </row>
    <row r="1118" spans="1:8" x14ac:dyDescent="0.2">
      <c r="A1118" s="91">
        <v>45562</v>
      </c>
      <c r="B1118" s="26"/>
      <c r="C1118" s="17" t="s">
        <v>92</v>
      </c>
      <c r="D1118" s="18">
        <v>33300</v>
      </c>
      <c r="E1118" s="19"/>
      <c r="F1118" s="15">
        <f t="shared" si="17"/>
        <v>-33300</v>
      </c>
      <c r="H1118" s="10"/>
    </row>
    <row r="1119" spans="1:8" x14ac:dyDescent="0.2">
      <c r="A1119" s="91">
        <v>45595</v>
      </c>
      <c r="B1119" s="45"/>
      <c r="C1119" s="17" t="s">
        <v>92</v>
      </c>
      <c r="D1119" s="18">
        <v>33300</v>
      </c>
      <c r="E1119" s="19"/>
      <c r="F1119" s="15">
        <f t="shared" si="17"/>
        <v>-33300</v>
      </c>
    </row>
    <row r="1120" spans="1:8" x14ac:dyDescent="0.2">
      <c r="A1120" s="91">
        <v>45624</v>
      </c>
      <c r="B1120" s="45"/>
      <c r="C1120" s="17" t="s">
        <v>92</v>
      </c>
      <c r="D1120" s="18">
        <v>44400</v>
      </c>
      <c r="E1120" s="19"/>
      <c r="F1120" s="15">
        <f t="shared" si="17"/>
        <v>-44400</v>
      </c>
    </row>
    <row r="1121" spans="1:8" x14ac:dyDescent="0.2">
      <c r="A1121" s="91">
        <v>45656</v>
      </c>
      <c r="B1121" s="45"/>
      <c r="C1121" s="17" t="s">
        <v>92</v>
      </c>
      <c r="D1121" s="25">
        <v>44400</v>
      </c>
      <c r="E1121" s="19"/>
      <c r="F1121" s="15">
        <f t="shared" si="17"/>
        <v>-44400</v>
      </c>
    </row>
    <row r="1122" spans="1:8" x14ac:dyDescent="0.2">
      <c r="A1122" s="91">
        <v>45687</v>
      </c>
      <c r="B1122" s="45"/>
      <c r="C1122" s="17" t="s">
        <v>92</v>
      </c>
      <c r="D1122" s="18">
        <v>44400</v>
      </c>
      <c r="E1122" s="19"/>
      <c r="F1122" s="15">
        <f t="shared" si="17"/>
        <v>-44400</v>
      </c>
    </row>
    <row r="1123" spans="1:8" x14ac:dyDescent="0.2">
      <c r="A1123" s="91">
        <v>45715</v>
      </c>
      <c r="B1123" s="45"/>
      <c r="C1123" s="17" t="s">
        <v>92</v>
      </c>
      <c r="D1123" s="18">
        <v>44400</v>
      </c>
      <c r="E1123" s="19"/>
      <c r="F1123" s="15">
        <f t="shared" si="17"/>
        <v>-44400</v>
      </c>
    </row>
    <row r="1124" spans="1:8" x14ac:dyDescent="0.2">
      <c r="A1124" s="91">
        <v>45744</v>
      </c>
      <c r="B1124" s="45"/>
      <c r="C1124" s="17" t="s">
        <v>92</v>
      </c>
      <c r="D1124" s="18">
        <v>53300</v>
      </c>
      <c r="E1124" s="19"/>
      <c r="F1124" s="15">
        <f t="shared" si="17"/>
        <v>-53300</v>
      </c>
    </row>
    <row r="1125" spans="1:8" x14ac:dyDescent="0.2">
      <c r="A1125" s="91">
        <v>45776</v>
      </c>
      <c r="B1125" s="45"/>
      <c r="C1125" s="17" t="s">
        <v>92</v>
      </c>
      <c r="D1125" s="18">
        <v>53300</v>
      </c>
      <c r="E1125" s="19"/>
      <c r="F1125" s="15">
        <f t="shared" si="17"/>
        <v>-53300</v>
      </c>
    </row>
    <row r="1126" spans="1:8" x14ac:dyDescent="0.2">
      <c r="A1126" s="91">
        <v>45806</v>
      </c>
      <c r="B1126" s="45"/>
      <c r="C1126" s="17" t="s">
        <v>92</v>
      </c>
      <c r="D1126" s="18">
        <v>53300</v>
      </c>
      <c r="E1126" s="19"/>
      <c r="F1126" s="15">
        <f t="shared" si="17"/>
        <v>-53300</v>
      </c>
    </row>
    <row r="1127" spans="1:8" x14ac:dyDescent="0.2">
      <c r="A1127" s="91">
        <v>45835</v>
      </c>
      <c r="B1127" s="45"/>
      <c r="C1127" s="17" t="s">
        <v>92</v>
      </c>
      <c r="D1127" s="18">
        <v>53300</v>
      </c>
      <c r="E1127" s="19"/>
      <c r="F1127" s="15">
        <f t="shared" si="17"/>
        <v>-53300</v>
      </c>
    </row>
    <row r="1128" spans="1:8" x14ac:dyDescent="0.2">
      <c r="A1128" s="91">
        <v>45868</v>
      </c>
      <c r="B1128" s="45"/>
      <c r="C1128" s="17" t="s">
        <v>92</v>
      </c>
      <c r="D1128" s="18">
        <v>53300</v>
      </c>
      <c r="E1128" s="19"/>
      <c r="F1128" s="15">
        <f t="shared" si="17"/>
        <v>-53300</v>
      </c>
    </row>
    <row r="1129" spans="1:8" x14ac:dyDescent="0.2">
      <c r="A1129" s="91">
        <v>45897</v>
      </c>
      <c r="B1129" s="45"/>
      <c r="C1129" s="17" t="s">
        <v>92</v>
      </c>
      <c r="D1129" s="18">
        <v>53300</v>
      </c>
      <c r="E1129" s="19"/>
      <c r="F1129" s="15">
        <f t="shared" si="17"/>
        <v>-53300</v>
      </c>
    </row>
    <row r="1130" spans="1:8" x14ac:dyDescent="0.2">
      <c r="A1130" s="91">
        <v>45537</v>
      </c>
      <c r="B1130" s="26"/>
      <c r="C1130" s="17" t="s">
        <v>14</v>
      </c>
      <c r="D1130" s="18">
        <v>2243.2399999999998</v>
      </c>
      <c r="E1130" s="19"/>
      <c r="F1130" s="15">
        <f t="shared" si="17"/>
        <v>-2243.2399999999998</v>
      </c>
      <c r="H1130" s="10"/>
    </row>
    <row r="1131" spans="1:8" x14ac:dyDescent="0.2">
      <c r="A1131" s="91">
        <v>45552</v>
      </c>
      <c r="B1131" s="26"/>
      <c r="C1131" s="17" t="s">
        <v>14</v>
      </c>
      <c r="D1131" s="18">
        <v>358.28</v>
      </c>
      <c r="E1131" s="19"/>
      <c r="F1131" s="15">
        <f t="shared" si="17"/>
        <v>-358.28</v>
      </c>
      <c r="H1131" s="10"/>
    </row>
    <row r="1132" spans="1:8" x14ac:dyDescent="0.2">
      <c r="A1132" s="91">
        <v>45568</v>
      </c>
      <c r="B1132" s="45"/>
      <c r="C1132" s="17" t="s">
        <v>14</v>
      </c>
      <c r="D1132" s="18">
        <v>2026.13</v>
      </c>
      <c r="E1132" s="19"/>
      <c r="F1132" s="15">
        <f t="shared" si="17"/>
        <v>-2026.13</v>
      </c>
    </row>
    <row r="1133" spans="1:8" x14ac:dyDescent="0.2">
      <c r="A1133" s="91">
        <v>45583</v>
      </c>
      <c r="B1133" s="45"/>
      <c r="C1133" s="17" t="s">
        <v>14</v>
      </c>
      <c r="D1133" s="18">
        <v>324.39999999999998</v>
      </c>
      <c r="E1133" s="19"/>
      <c r="F1133" s="15">
        <f t="shared" si="17"/>
        <v>-324.39999999999998</v>
      </c>
    </row>
    <row r="1134" spans="1:8" x14ac:dyDescent="0.2">
      <c r="A1134" s="91">
        <v>45600</v>
      </c>
      <c r="B1134" s="51"/>
      <c r="C1134" s="47" t="s">
        <v>14</v>
      </c>
      <c r="D1134" s="48">
        <v>2143.58</v>
      </c>
      <c r="E1134" s="49"/>
      <c r="F1134" s="15">
        <f t="shared" si="17"/>
        <v>-2143.58</v>
      </c>
    </row>
    <row r="1135" spans="1:8" x14ac:dyDescent="0.2">
      <c r="A1135" s="91">
        <v>45611</v>
      </c>
      <c r="B1135" s="50"/>
      <c r="C1135" s="22" t="s">
        <v>14</v>
      </c>
      <c r="D1135" s="23">
        <v>726.88</v>
      </c>
      <c r="E1135" s="24"/>
      <c r="F1135" s="15">
        <f t="shared" si="17"/>
        <v>-726.88</v>
      </c>
    </row>
    <row r="1136" spans="1:8" x14ac:dyDescent="0.2">
      <c r="A1136" s="91">
        <v>45629</v>
      </c>
      <c r="B1136" s="45"/>
      <c r="C1136" s="17" t="s">
        <v>14</v>
      </c>
      <c r="D1136" s="18">
        <v>2779.77</v>
      </c>
      <c r="E1136" s="19"/>
      <c r="F1136" s="15">
        <f t="shared" si="17"/>
        <v>-2779.77</v>
      </c>
    </row>
    <row r="1137" spans="1:6" x14ac:dyDescent="0.2">
      <c r="A1137" s="91">
        <v>45639</v>
      </c>
      <c r="B1137" s="45"/>
      <c r="C1137" s="17" t="s">
        <v>14</v>
      </c>
      <c r="D1137" s="18">
        <v>470.63</v>
      </c>
      <c r="E1137" s="19"/>
      <c r="F1137" s="15">
        <f t="shared" si="17"/>
        <v>-470.63</v>
      </c>
    </row>
    <row r="1138" spans="1:6" x14ac:dyDescent="0.2">
      <c r="A1138" s="91">
        <v>45645</v>
      </c>
      <c r="B1138" s="45"/>
      <c r="C1138" s="17" t="s">
        <v>14</v>
      </c>
      <c r="D1138" s="18">
        <v>1441.46</v>
      </c>
      <c r="E1138" s="19"/>
      <c r="F1138" s="15">
        <f t="shared" si="17"/>
        <v>-1441.46</v>
      </c>
    </row>
    <row r="1139" spans="1:6" x14ac:dyDescent="0.2">
      <c r="A1139" s="91">
        <v>45660</v>
      </c>
      <c r="B1139" s="45"/>
      <c r="C1139" s="17" t="s">
        <v>14</v>
      </c>
      <c r="D1139" s="18">
        <v>2924.82</v>
      </c>
      <c r="E1139" s="19"/>
      <c r="F1139" s="15">
        <f t="shared" si="17"/>
        <v>-2924.82</v>
      </c>
    </row>
    <row r="1140" spans="1:6" x14ac:dyDescent="0.2">
      <c r="A1140" s="91">
        <v>45673</v>
      </c>
      <c r="B1140" s="45"/>
      <c r="C1140" s="17" t="s">
        <v>14</v>
      </c>
      <c r="D1140" s="18">
        <v>808.23</v>
      </c>
      <c r="E1140" s="19"/>
      <c r="F1140" s="15">
        <f t="shared" si="17"/>
        <v>-808.23</v>
      </c>
    </row>
    <row r="1141" spans="1:6" x14ac:dyDescent="0.2">
      <c r="A1141" s="91">
        <v>45692</v>
      </c>
      <c r="B1141" s="45"/>
      <c r="C1141" s="17" t="s">
        <v>14</v>
      </c>
      <c r="D1141" s="18">
        <v>4410.49</v>
      </c>
      <c r="E1141" s="19"/>
      <c r="F1141" s="15">
        <f t="shared" si="17"/>
        <v>-4410.49</v>
      </c>
    </row>
    <row r="1142" spans="1:6" x14ac:dyDescent="0.2">
      <c r="A1142" s="91">
        <v>45705</v>
      </c>
      <c r="B1142" s="45"/>
      <c r="C1142" s="17" t="s">
        <v>14</v>
      </c>
      <c r="D1142" s="18">
        <v>599.02</v>
      </c>
      <c r="E1142" s="19"/>
      <c r="F1142" s="15">
        <f t="shared" si="17"/>
        <v>-599.02</v>
      </c>
    </row>
    <row r="1143" spans="1:6" x14ac:dyDescent="0.2">
      <c r="A1143" s="91">
        <v>45721</v>
      </c>
      <c r="B1143" s="45"/>
      <c r="C1143" s="17" t="s">
        <v>14</v>
      </c>
      <c r="D1143" s="18">
        <v>4595.7299999999996</v>
      </c>
      <c r="E1143" s="19"/>
      <c r="F1143" s="15">
        <f t="shared" si="17"/>
        <v>-4595.7299999999996</v>
      </c>
    </row>
    <row r="1144" spans="1:6" x14ac:dyDescent="0.2">
      <c r="A1144" s="91">
        <v>45734</v>
      </c>
      <c r="B1144" s="45"/>
      <c r="C1144" s="17" t="s">
        <v>14</v>
      </c>
      <c r="D1144" s="18">
        <v>478.98</v>
      </c>
      <c r="E1144" s="19"/>
      <c r="F1144" s="15">
        <f t="shared" si="17"/>
        <v>-478.98</v>
      </c>
    </row>
    <row r="1145" spans="1:6" x14ac:dyDescent="0.2">
      <c r="A1145" s="91">
        <v>45750</v>
      </c>
      <c r="B1145" s="45"/>
      <c r="C1145" s="17" t="s">
        <v>14</v>
      </c>
      <c r="D1145" s="18">
        <v>2579.04</v>
      </c>
      <c r="E1145" s="19"/>
      <c r="F1145" s="15">
        <f t="shared" si="17"/>
        <v>-2579.04</v>
      </c>
    </row>
    <row r="1146" spans="1:6" x14ac:dyDescent="0.2">
      <c r="A1146" s="91">
        <v>45768</v>
      </c>
      <c r="B1146" s="45"/>
      <c r="C1146" s="17" t="s">
        <v>14</v>
      </c>
      <c r="D1146" s="18">
        <v>739.99</v>
      </c>
      <c r="E1146" s="19"/>
      <c r="F1146" s="15">
        <f t="shared" si="17"/>
        <v>-739.99</v>
      </c>
    </row>
    <row r="1147" spans="1:6" x14ac:dyDescent="0.2">
      <c r="A1147" s="91">
        <v>45782</v>
      </c>
      <c r="B1147" s="45"/>
      <c r="C1147" s="17" t="s">
        <v>14</v>
      </c>
      <c r="D1147" s="18">
        <v>4692.41</v>
      </c>
      <c r="E1147" s="19"/>
      <c r="F1147" s="15">
        <f t="shared" si="17"/>
        <v>-4692.41</v>
      </c>
    </row>
    <row r="1148" spans="1:6" x14ac:dyDescent="0.2">
      <c r="A1148" s="91">
        <v>45793</v>
      </c>
      <c r="B1148" s="45"/>
      <c r="C1148" s="17" t="s">
        <v>14</v>
      </c>
      <c r="D1148" s="18">
        <v>560.04</v>
      </c>
      <c r="E1148" s="19"/>
      <c r="F1148" s="15">
        <f t="shared" si="17"/>
        <v>-560.04</v>
      </c>
    </row>
    <row r="1149" spans="1:6" x14ac:dyDescent="0.2">
      <c r="A1149" s="91">
        <v>45811</v>
      </c>
      <c r="B1149" s="45"/>
      <c r="C1149" s="17" t="s">
        <v>14</v>
      </c>
      <c r="D1149" s="18">
        <v>4704.93</v>
      </c>
      <c r="E1149" s="19"/>
      <c r="F1149" s="15">
        <f t="shared" si="17"/>
        <v>-4704.93</v>
      </c>
    </row>
    <row r="1150" spans="1:6" x14ac:dyDescent="0.2">
      <c r="A1150" s="91">
        <v>45821</v>
      </c>
      <c r="B1150" s="45"/>
      <c r="C1150" s="17" t="s">
        <v>14</v>
      </c>
      <c r="D1150" s="18">
        <v>629.67999999999995</v>
      </c>
      <c r="E1150" s="19"/>
      <c r="F1150" s="15">
        <f t="shared" si="17"/>
        <v>-629.67999999999995</v>
      </c>
    </row>
    <row r="1151" spans="1:6" x14ac:dyDescent="0.2">
      <c r="A1151" s="91">
        <v>45832</v>
      </c>
      <c r="B1151" s="45"/>
      <c r="C1151" s="17" t="s">
        <v>14</v>
      </c>
      <c r="D1151" s="18">
        <v>2679.21</v>
      </c>
      <c r="E1151" s="19"/>
      <c r="F1151" s="15">
        <f t="shared" si="17"/>
        <v>-2679.21</v>
      </c>
    </row>
    <row r="1152" spans="1:6" x14ac:dyDescent="0.2">
      <c r="A1152" s="91">
        <v>45855</v>
      </c>
      <c r="B1152" s="45"/>
      <c r="C1152" s="17" t="s">
        <v>14</v>
      </c>
      <c r="D1152" s="18">
        <v>427.29</v>
      </c>
      <c r="E1152" s="19"/>
      <c r="F1152" s="15">
        <f t="shared" si="17"/>
        <v>-427.29</v>
      </c>
    </row>
    <row r="1153" spans="1:6" x14ac:dyDescent="0.2">
      <c r="A1153" s="91">
        <v>45873</v>
      </c>
      <c r="B1153" s="45"/>
      <c r="C1153" s="17" t="s">
        <v>14</v>
      </c>
      <c r="D1153" s="18">
        <v>4178.92</v>
      </c>
      <c r="E1153" s="19"/>
      <c r="F1153" s="15">
        <f t="shared" si="17"/>
        <v>-4178.92</v>
      </c>
    </row>
    <row r="1154" spans="1:6" x14ac:dyDescent="0.2">
      <c r="A1154" s="91">
        <v>45889</v>
      </c>
      <c r="B1154" s="45"/>
      <c r="C1154" s="17" t="s">
        <v>14</v>
      </c>
      <c r="D1154" s="18">
        <v>646.42999999999995</v>
      </c>
      <c r="E1154" s="19"/>
      <c r="F1154" s="15">
        <f t="shared" si="17"/>
        <v>-646.42999999999995</v>
      </c>
    </row>
    <row r="1155" spans="1:6" x14ac:dyDescent="0.2">
      <c r="A1155" s="91">
        <v>45810</v>
      </c>
      <c r="B1155" s="45"/>
      <c r="C1155" s="17" t="s">
        <v>465</v>
      </c>
      <c r="D1155" s="18">
        <v>1280</v>
      </c>
      <c r="E1155" s="19"/>
      <c r="F1155" s="15">
        <f t="shared" ref="F1155:F1218" si="18">+E1155-D1155</f>
        <v>-1280</v>
      </c>
    </row>
    <row r="1156" spans="1:6" x14ac:dyDescent="0.2">
      <c r="A1156" s="91">
        <v>45839</v>
      </c>
      <c r="B1156" s="45"/>
      <c r="C1156" s="17" t="s">
        <v>465</v>
      </c>
      <c r="D1156" s="18">
        <v>1280</v>
      </c>
      <c r="E1156" s="19"/>
      <c r="F1156" s="15">
        <f t="shared" si="18"/>
        <v>-1280</v>
      </c>
    </row>
    <row r="1157" spans="1:6" x14ac:dyDescent="0.2">
      <c r="A1157" s="91">
        <v>45870</v>
      </c>
      <c r="B1157" s="45"/>
      <c r="C1157" s="17" t="s">
        <v>465</v>
      </c>
      <c r="D1157" s="18">
        <v>1280</v>
      </c>
      <c r="E1157" s="19"/>
      <c r="F1157" s="15">
        <f t="shared" si="18"/>
        <v>-1280</v>
      </c>
    </row>
    <row r="1158" spans="1:6" x14ac:dyDescent="0.2">
      <c r="A1158" s="91">
        <v>45813</v>
      </c>
      <c r="B1158" s="43">
        <v>13071</v>
      </c>
      <c r="C1158" s="20" t="s">
        <v>477</v>
      </c>
      <c r="D1158" s="18">
        <v>1485</v>
      </c>
      <c r="E1158" s="19"/>
      <c r="F1158" s="15">
        <f t="shared" si="18"/>
        <v>-1485</v>
      </c>
    </row>
    <row r="1159" spans="1:6" x14ac:dyDescent="0.2">
      <c r="A1159" s="91">
        <v>45825</v>
      </c>
      <c r="B1159" s="43">
        <v>17891</v>
      </c>
      <c r="C1159" s="20" t="s">
        <v>477</v>
      </c>
      <c r="D1159" s="18">
        <v>720</v>
      </c>
      <c r="E1159" s="19"/>
      <c r="F1159" s="15">
        <f t="shared" si="18"/>
        <v>-720</v>
      </c>
    </row>
    <row r="1160" spans="1:6" x14ac:dyDescent="0.2">
      <c r="A1160" s="91">
        <v>45825</v>
      </c>
      <c r="B1160" s="46">
        <v>17892</v>
      </c>
      <c r="C1160" s="9" t="s">
        <v>477</v>
      </c>
      <c r="D1160" s="48">
        <v>720</v>
      </c>
      <c r="E1160" s="49"/>
      <c r="F1160" s="15">
        <f t="shared" si="18"/>
        <v>-720</v>
      </c>
    </row>
    <row r="1161" spans="1:6" x14ac:dyDescent="0.2">
      <c r="A1161" s="91">
        <v>45825</v>
      </c>
      <c r="B1161" s="44">
        <v>17893</v>
      </c>
      <c r="C1161" s="28" t="s">
        <v>477</v>
      </c>
      <c r="D1161" s="23">
        <v>720</v>
      </c>
      <c r="E1161" s="24"/>
      <c r="F1161" s="15">
        <f t="shared" si="18"/>
        <v>-720</v>
      </c>
    </row>
    <row r="1162" spans="1:6" x14ac:dyDescent="0.2">
      <c r="A1162" s="91">
        <v>45825</v>
      </c>
      <c r="B1162" s="43">
        <v>17894</v>
      </c>
      <c r="C1162" s="20" t="s">
        <v>477</v>
      </c>
      <c r="D1162" s="18">
        <v>720</v>
      </c>
      <c r="E1162" s="19"/>
      <c r="F1162" s="15">
        <f t="shared" si="18"/>
        <v>-720</v>
      </c>
    </row>
    <row r="1163" spans="1:6" x14ac:dyDescent="0.2">
      <c r="A1163" s="91">
        <v>45825</v>
      </c>
      <c r="B1163" s="43">
        <v>17895</v>
      </c>
      <c r="C1163" s="20" t="s">
        <v>477</v>
      </c>
      <c r="D1163" s="18">
        <v>1485</v>
      </c>
      <c r="E1163" s="19"/>
      <c r="F1163" s="15">
        <f t="shared" si="18"/>
        <v>-1485</v>
      </c>
    </row>
    <row r="1164" spans="1:6" x14ac:dyDescent="0.2">
      <c r="A1164" s="91">
        <v>45825</v>
      </c>
      <c r="B1164" s="43">
        <v>17896</v>
      </c>
      <c r="C1164" s="20" t="s">
        <v>477</v>
      </c>
      <c r="D1164" s="18">
        <v>1485</v>
      </c>
      <c r="E1164" s="19"/>
      <c r="F1164" s="15">
        <f t="shared" si="18"/>
        <v>-1485</v>
      </c>
    </row>
    <row r="1165" spans="1:6" x14ac:dyDescent="0.2">
      <c r="A1165" s="91">
        <v>45825</v>
      </c>
      <c r="B1165" s="43">
        <v>17897</v>
      </c>
      <c r="C1165" s="20" t="s">
        <v>477</v>
      </c>
      <c r="D1165" s="18">
        <v>1485</v>
      </c>
      <c r="E1165" s="19"/>
      <c r="F1165" s="15">
        <f t="shared" si="18"/>
        <v>-1485</v>
      </c>
    </row>
    <row r="1166" spans="1:6" x14ac:dyDescent="0.2">
      <c r="A1166" s="91">
        <v>45825</v>
      </c>
      <c r="B1166" s="43">
        <v>17898</v>
      </c>
      <c r="C1166" s="20" t="s">
        <v>477</v>
      </c>
      <c r="D1166" s="18">
        <v>1485</v>
      </c>
      <c r="E1166" s="19"/>
      <c r="F1166" s="15">
        <f t="shared" si="18"/>
        <v>-1485</v>
      </c>
    </row>
    <row r="1167" spans="1:6" x14ac:dyDescent="0.2">
      <c r="A1167" s="91">
        <v>45825</v>
      </c>
      <c r="B1167" s="43">
        <v>17899</v>
      </c>
      <c r="C1167" s="20" t="s">
        <v>477</v>
      </c>
      <c r="D1167" s="18">
        <v>1485</v>
      </c>
      <c r="E1167" s="19"/>
      <c r="F1167" s="15">
        <f t="shared" si="18"/>
        <v>-1485</v>
      </c>
    </row>
    <row r="1168" spans="1:6" x14ac:dyDescent="0.2">
      <c r="A1168" s="91">
        <v>45832</v>
      </c>
      <c r="B1168" s="43">
        <v>14331</v>
      </c>
      <c r="C1168" s="20" t="s">
        <v>477</v>
      </c>
      <c r="D1168" s="18">
        <v>1485</v>
      </c>
      <c r="E1168" s="19"/>
      <c r="F1168" s="15">
        <f t="shared" si="18"/>
        <v>-1485</v>
      </c>
    </row>
    <row r="1169" spans="1:6" x14ac:dyDescent="0.2">
      <c r="A1169" s="91">
        <v>45832</v>
      </c>
      <c r="B1169" s="43">
        <v>14332</v>
      </c>
      <c r="C1169" s="20" t="s">
        <v>477</v>
      </c>
      <c r="D1169" s="18">
        <v>1485</v>
      </c>
      <c r="E1169" s="19"/>
      <c r="F1169" s="15">
        <f t="shared" si="18"/>
        <v>-1485</v>
      </c>
    </row>
    <row r="1170" spans="1:6" x14ac:dyDescent="0.2">
      <c r="A1170" s="91">
        <v>45833</v>
      </c>
      <c r="B1170" s="43">
        <v>13559</v>
      </c>
      <c r="C1170" s="20" t="s">
        <v>477</v>
      </c>
      <c r="D1170" s="18">
        <v>720</v>
      </c>
      <c r="E1170" s="19"/>
      <c r="F1170" s="15">
        <f t="shared" si="18"/>
        <v>-720</v>
      </c>
    </row>
    <row r="1171" spans="1:6" x14ac:dyDescent="0.2">
      <c r="A1171" s="91">
        <v>45833</v>
      </c>
      <c r="B1171" s="43">
        <v>13560</v>
      </c>
      <c r="C1171" s="20" t="s">
        <v>477</v>
      </c>
      <c r="D1171" s="18">
        <v>720</v>
      </c>
      <c r="E1171" s="19"/>
      <c r="F1171" s="15">
        <f t="shared" si="18"/>
        <v>-720</v>
      </c>
    </row>
    <row r="1172" spans="1:6" x14ac:dyDescent="0.2">
      <c r="A1172" s="91">
        <v>45833</v>
      </c>
      <c r="B1172" s="43">
        <v>13561</v>
      </c>
      <c r="C1172" s="20" t="s">
        <v>477</v>
      </c>
      <c r="D1172" s="18">
        <v>720</v>
      </c>
      <c r="E1172" s="19"/>
      <c r="F1172" s="15">
        <f t="shared" si="18"/>
        <v>-720</v>
      </c>
    </row>
    <row r="1173" spans="1:6" x14ac:dyDescent="0.2">
      <c r="A1173" s="91">
        <v>45833</v>
      </c>
      <c r="B1173" s="43">
        <v>13562</v>
      </c>
      <c r="C1173" s="20" t="s">
        <v>477</v>
      </c>
      <c r="D1173" s="18">
        <v>720</v>
      </c>
      <c r="E1173" s="19"/>
      <c r="F1173" s="15">
        <f t="shared" si="18"/>
        <v>-720</v>
      </c>
    </row>
    <row r="1174" spans="1:6" x14ac:dyDescent="0.2">
      <c r="A1174" s="91">
        <v>45833</v>
      </c>
      <c r="B1174" s="43">
        <v>13563</v>
      </c>
      <c r="C1174" s="20" t="s">
        <v>477</v>
      </c>
      <c r="D1174" s="18">
        <v>1485</v>
      </c>
      <c r="E1174" s="19"/>
      <c r="F1174" s="15">
        <f t="shared" si="18"/>
        <v>-1485</v>
      </c>
    </row>
    <row r="1175" spans="1:6" x14ac:dyDescent="0.2">
      <c r="A1175" s="91">
        <v>45833</v>
      </c>
      <c r="B1175" s="43">
        <v>13564</v>
      </c>
      <c r="C1175" s="20" t="s">
        <v>477</v>
      </c>
      <c r="D1175" s="18">
        <v>1485</v>
      </c>
      <c r="E1175" s="19"/>
      <c r="F1175" s="15">
        <f t="shared" si="18"/>
        <v>-1485</v>
      </c>
    </row>
    <row r="1176" spans="1:6" x14ac:dyDescent="0.2">
      <c r="A1176" s="91">
        <v>45833</v>
      </c>
      <c r="B1176" s="43">
        <v>13565</v>
      </c>
      <c r="C1176" s="20" t="s">
        <v>477</v>
      </c>
      <c r="D1176" s="18">
        <v>1485</v>
      </c>
      <c r="E1176" s="19"/>
      <c r="F1176" s="15">
        <f t="shared" si="18"/>
        <v>-1485</v>
      </c>
    </row>
    <row r="1177" spans="1:6" x14ac:dyDescent="0.2">
      <c r="A1177" s="91">
        <v>45833</v>
      </c>
      <c r="B1177" s="43">
        <v>13566</v>
      </c>
      <c r="C1177" s="20" t="s">
        <v>477</v>
      </c>
      <c r="D1177" s="18">
        <v>1485</v>
      </c>
      <c r="E1177" s="19"/>
      <c r="F1177" s="15">
        <f t="shared" si="18"/>
        <v>-1485</v>
      </c>
    </row>
    <row r="1178" spans="1:6" x14ac:dyDescent="0.2">
      <c r="A1178" s="91">
        <v>45833</v>
      </c>
      <c r="B1178" s="43">
        <v>13567</v>
      </c>
      <c r="C1178" s="20" t="s">
        <v>477</v>
      </c>
      <c r="D1178" s="18">
        <v>1485</v>
      </c>
      <c r="E1178" s="19"/>
      <c r="F1178" s="15">
        <f t="shared" si="18"/>
        <v>-1485</v>
      </c>
    </row>
    <row r="1179" spans="1:6" x14ac:dyDescent="0.2">
      <c r="A1179" s="91">
        <v>45834</v>
      </c>
      <c r="B1179" s="43">
        <v>13967</v>
      </c>
      <c r="C1179" s="20" t="s">
        <v>477</v>
      </c>
      <c r="D1179" s="18">
        <v>720</v>
      </c>
      <c r="E1179" s="19"/>
      <c r="F1179" s="15">
        <f t="shared" si="18"/>
        <v>-720</v>
      </c>
    </row>
    <row r="1180" spans="1:6" x14ac:dyDescent="0.2">
      <c r="A1180" s="91">
        <v>45834</v>
      </c>
      <c r="B1180" s="43">
        <v>13968</v>
      </c>
      <c r="C1180" s="20" t="s">
        <v>477</v>
      </c>
      <c r="D1180" s="18">
        <v>720</v>
      </c>
      <c r="E1180" s="19"/>
      <c r="F1180" s="15">
        <f t="shared" si="18"/>
        <v>-720</v>
      </c>
    </row>
    <row r="1181" spans="1:6" x14ac:dyDescent="0.2">
      <c r="A1181" s="91">
        <v>45834</v>
      </c>
      <c r="B1181" s="43">
        <v>13969</v>
      </c>
      <c r="C1181" s="20" t="s">
        <v>477</v>
      </c>
      <c r="D1181" s="18">
        <v>720</v>
      </c>
      <c r="E1181" s="19"/>
      <c r="F1181" s="15">
        <f t="shared" si="18"/>
        <v>-720</v>
      </c>
    </row>
    <row r="1182" spans="1:6" x14ac:dyDescent="0.2">
      <c r="A1182" s="91">
        <v>45834</v>
      </c>
      <c r="B1182" s="43">
        <v>13970</v>
      </c>
      <c r="C1182" s="20" t="s">
        <v>477</v>
      </c>
      <c r="D1182" s="18">
        <v>1485</v>
      </c>
      <c r="E1182" s="19"/>
      <c r="F1182" s="15">
        <f t="shared" si="18"/>
        <v>-1485</v>
      </c>
    </row>
    <row r="1183" spans="1:6" x14ac:dyDescent="0.2">
      <c r="A1183" s="91">
        <v>45845</v>
      </c>
      <c r="B1183" s="46">
        <v>15011</v>
      </c>
      <c r="C1183" s="9" t="s">
        <v>477</v>
      </c>
      <c r="D1183" s="48">
        <v>1485</v>
      </c>
      <c r="E1183" s="49"/>
      <c r="F1183" s="15">
        <f t="shared" si="18"/>
        <v>-1485</v>
      </c>
    </row>
    <row r="1184" spans="1:6" x14ac:dyDescent="0.2">
      <c r="A1184" s="91">
        <v>45846</v>
      </c>
      <c r="B1184" s="44">
        <v>14421</v>
      </c>
      <c r="C1184" s="28" t="s">
        <v>477</v>
      </c>
      <c r="D1184" s="23">
        <v>1485</v>
      </c>
      <c r="E1184" s="24"/>
      <c r="F1184" s="15">
        <f t="shared" si="18"/>
        <v>-1485</v>
      </c>
    </row>
    <row r="1185" spans="1:6" x14ac:dyDescent="0.2">
      <c r="A1185" s="91">
        <v>45852</v>
      </c>
      <c r="B1185" s="43">
        <v>15964</v>
      </c>
      <c r="C1185" s="20" t="s">
        <v>477</v>
      </c>
      <c r="D1185" s="18">
        <v>720</v>
      </c>
      <c r="E1185" s="19"/>
      <c r="F1185" s="15">
        <f t="shared" si="18"/>
        <v>-720</v>
      </c>
    </row>
    <row r="1186" spans="1:6" x14ac:dyDescent="0.2">
      <c r="A1186" s="91">
        <v>45856</v>
      </c>
      <c r="B1186" s="43">
        <v>16725</v>
      </c>
      <c r="C1186" s="20" t="s">
        <v>477</v>
      </c>
      <c r="D1186" s="18">
        <v>120</v>
      </c>
      <c r="E1186" s="19"/>
      <c r="F1186" s="15">
        <f t="shared" si="18"/>
        <v>-120</v>
      </c>
    </row>
    <row r="1187" spans="1:6" x14ac:dyDescent="0.2">
      <c r="A1187" s="91">
        <v>45856</v>
      </c>
      <c r="B1187" s="43">
        <v>16726</v>
      </c>
      <c r="C1187" s="20" t="s">
        <v>477</v>
      </c>
      <c r="D1187" s="18">
        <v>720</v>
      </c>
      <c r="E1187" s="19"/>
      <c r="F1187" s="15">
        <f t="shared" si="18"/>
        <v>-720</v>
      </c>
    </row>
    <row r="1188" spans="1:6" x14ac:dyDescent="0.2">
      <c r="A1188" s="91">
        <v>45856</v>
      </c>
      <c r="B1188" s="43">
        <v>16727</v>
      </c>
      <c r="C1188" s="20" t="s">
        <v>477</v>
      </c>
      <c r="D1188" s="18">
        <v>720</v>
      </c>
      <c r="E1188" s="19"/>
      <c r="F1188" s="15">
        <f t="shared" si="18"/>
        <v>-720</v>
      </c>
    </row>
    <row r="1189" spans="1:6" x14ac:dyDescent="0.2">
      <c r="A1189" s="91">
        <v>45856</v>
      </c>
      <c r="B1189" s="43">
        <v>16728</v>
      </c>
      <c r="C1189" s="20" t="s">
        <v>477</v>
      </c>
      <c r="D1189" s="18">
        <v>720</v>
      </c>
      <c r="E1189" s="19"/>
      <c r="F1189" s="15">
        <f t="shared" si="18"/>
        <v>-720</v>
      </c>
    </row>
    <row r="1190" spans="1:6" x14ac:dyDescent="0.2">
      <c r="A1190" s="91">
        <v>45856</v>
      </c>
      <c r="B1190" s="43">
        <v>16729</v>
      </c>
      <c r="C1190" s="20" t="s">
        <v>477</v>
      </c>
      <c r="D1190" s="18">
        <v>1485</v>
      </c>
      <c r="E1190" s="19"/>
      <c r="F1190" s="15">
        <f t="shared" si="18"/>
        <v>-1485</v>
      </c>
    </row>
    <row r="1191" spans="1:6" x14ac:dyDescent="0.2">
      <c r="A1191" s="91">
        <v>45856</v>
      </c>
      <c r="B1191" s="43">
        <v>16730</v>
      </c>
      <c r="C1191" s="20" t="s">
        <v>477</v>
      </c>
      <c r="D1191" s="18">
        <v>1485</v>
      </c>
      <c r="E1191" s="19"/>
      <c r="F1191" s="15">
        <f t="shared" si="18"/>
        <v>-1485</v>
      </c>
    </row>
    <row r="1192" spans="1:6" x14ac:dyDescent="0.2">
      <c r="A1192" s="91">
        <v>45856</v>
      </c>
      <c r="B1192" s="43">
        <v>16731</v>
      </c>
      <c r="C1192" s="20" t="s">
        <v>477</v>
      </c>
      <c r="D1192" s="18">
        <v>1485</v>
      </c>
      <c r="E1192" s="19"/>
      <c r="F1192" s="15">
        <f t="shared" si="18"/>
        <v>-1485</v>
      </c>
    </row>
    <row r="1193" spans="1:6" x14ac:dyDescent="0.2">
      <c r="A1193" s="91">
        <v>45856</v>
      </c>
      <c r="B1193" s="43">
        <v>16732</v>
      </c>
      <c r="C1193" s="20" t="s">
        <v>477</v>
      </c>
      <c r="D1193" s="18">
        <v>1485</v>
      </c>
      <c r="E1193" s="19"/>
      <c r="F1193" s="15">
        <f t="shared" si="18"/>
        <v>-1485</v>
      </c>
    </row>
    <row r="1194" spans="1:6" x14ac:dyDescent="0.2">
      <c r="A1194" s="91">
        <v>45863</v>
      </c>
      <c r="B1194" s="43">
        <v>15431</v>
      </c>
      <c r="C1194" s="20" t="s">
        <v>477</v>
      </c>
      <c r="D1194" s="18">
        <v>315</v>
      </c>
      <c r="E1194" s="19"/>
      <c r="F1194" s="15">
        <f t="shared" si="18"/>
        <v>-315</v>
      </c>
    </row>
    <row r="1195" spans="1:6" x14ac:dyDescent="0.2">
      <c r="A1195" s="91">
        <v>45863</v>
      </c>
      <c r="B1195" s="43">
        <v>15432</v>
      </c>
      <c r="C1195" s="20" t="s">
        <v>477</v>
      </c>
      <c r="D1195" s="18">
        <v>720</v>
      </c>
      <c r="E1195" s="19"/>
      <c r="F1195" s="15">
        <f t="shared" si="18"/>
        <v>-720</v>
      </c>
    </row>
    <row r="1196" spans="1:6" x14ac:dyDescent="0.2">
      <c r="A1196" s="91">
        <v>45863</v>
      </c>
      <c r="B1196" s="43">
        <v>15433</v>
      </c>
      <c r="C1196" s="20" t="s">
        <v>477</v>
      </c>
      <c r="D1196" s="18">
        <v>720</v>
      </c>
      <c r="E1196" s="19"/>
      <c r="F1196" s="15">
        <f t="shared" si="18"/>
        <v>-720</v>
      </c>
    </row>
    <row r="1197" spans="1:6" x14ac:dyDescent="0.2">
      <c r="A1197" s="91">
        <v>45863</v>
      </c>
      <c r="B1197" s="43">
        <v>15436</v>
      </c>
      <c r="C1197" s="20" t="s">
        <v>477</v>
      </c>
      <c r="D1197" s="18">
        <v>1485</v>
      </c>
      <c r="E1197" s="19"/>
      <c r="F1197" s="15">
        <f t="shared" si="18"/>
        <v>-1485</v>
      </c>
    </row>
    <row r="1198" spans="1:6" x14ac:dyDescent="0.2">
      <c r="A1198" s="91">
        <v>45863</v>
      </c>
      <c r="B1198" s="43">
        <v>15437</v>
      </c>
      <c r="C1198" s="20" t="s">
        <v>477</v>
      </c>
      <c r="D1198" s="18">
        <v>1485</v>
      </c>
      <c r="E1198" s="19"/>
      <c r="F1198" s="15">
        <f t="shared" si="18"/>
        <v>-1485</v>
      </c>
    </row>
    <row r="1199" spans="1:6" x14ac:dyDescent="0.2">
      <c r="A1199" s="91">
        <v>45874</v>
      </c>
      <c r="B1199" s="43">
        <v>11728</v>
      </c>
      <c r="C1199" s="20" t="s">
        <v>477</v>
      </c>
      <c r="D1199" s="18">
        <v>1485</v>
      </c>
      <c r="E1199" s="19"/>
      <c r="F1199" s="15">
        <f t="shared" si="18"/>
        <v>-1485</v>
      </c>
    </row>
    <row r="1200" spans="1:6" x14ac:dyDescent="0.2">
      <c r="A1200" s="91">
        <v>45880</v>
      </c>
      <c r="B1200" s="43">
        <v>16361</v>
      </c>
      <c r="C1200" s="20" t="s">
        <v>477</v>
      </c>
      <c r="D1200" s="18">
        <v>1485</v>
      </c>
      <c r="E1200" s="19"/>
      <c r="F1200" s="15">
        <f t="shared" si="18"/>
        <v>-1485</v>
      </c>
    </row>
    <row r="1201" spans="1:8" x14ac:dyDescent="0.2">
      <c r="A1201" s="91">
        <v>45889</v>
      </c>
      <c r="B1201" s="43">
        <v>14308</v>
      </c>
      <c r="C1201" s="20" t="s">
        <v>477</v>
      </c>
      <c r="D1201" s="18">
        <v>720</v>
      </c>
      <c r="E1201" s="19"/>
      <c r="F1201" s="15">
        <f t="shared" si="18"/>
        <v>-720</v>
      </c>
    </row>
    <row r="1202" spans="1:8" x14ac:dyDescent="0.2">
      <c r="A1202" s="91">
        <v>45889</v>
      </c>
      <c r="B1202" s="43">
        <v>14309</v>
      </c>
      <c r="C1202" s="20" t="s">
        <v>477</v>
      </c>
      <c r="D1202" s="18">
        <v>720</v>
      </c>
      <c r="E1202" s="19"/>
      <c r="F1202" s="15">
        <f t="shared" si="18"/>
        <v>-720</v>
      </c>
    </row>
    <row r="1203" spans="1:8" x14ac:dyDescent="0.2">
      <c r="A1203" s="91">
        <v>45889</v>
      </c>
      <c r="B1203" s="43">
        <v>14310</v>
      </c>
      <c r="C1203" s="20" t="s">
        <v>477</v>
      </c>
      <c r="D1203" s="18">
        <v>1485</v>
      </c>
      <c r="E1203" s="19"/>
      <c r="F1203" s="15">
        <f t="shared" si="18"/>
        <v>-1485</v>
      </c>
    </row>
    <row r="1204" spans="1:8" x14ac:dyDescent="0.2">
      <c r="A1204" s="91">
        <v>45889</v>
      </c>
      <c r="B1204" s="43">
        <v>14311</v>
      </c>
      <c r="C1204" s="20" t="s">
        <v>477</v>
      </c>
      <c r="D1204" s="18">
        <v>1485</v>
      </c>
      <c r="E1204" s="19"/>
      <c r="F1204" s="15">
        <f t="shared" si="18"/>
        <v>-1485</v>
      </c>
    </row>
    <row r="1205" spans="1:8" x14ac:dyDescent="0.2">
      <c r="A1205" s="91">
        <v>45889</v>
      </c>
      <c r="B1205" s="43">
        <v>14312</v>
      </c>
      <c r="C1205" s="20" t="s">
        <v>477</v>
      </c>
      <c r="D1205" s="18">
        <v>1485</v>
      </c>
      <c r="E1205" s="19"/>
      <c r="F1205" s="15">
        <f t="shared" si="18"/>
        <v>-1485</v>
      </c>
    </row>
    <row r="1206" spans="1:8" x14ac:dyDescent="0.2">
      <c r="A1206" s="91">
        <v>45812</v>
      </c>
      <c r="B1206" s="45"/>
      <c r="C1206" s="17" t="s">
        <v>474</v>
      </c>
      <c r="D1206" s="18">
        <v>1589.33</v>
      </c>
      <c r="E1206" s="19"/>
      <c r="F1206" s="15">
        <f t="shared" si="18"/>
        <v>-1589.33</v>
      </c>
    </row>
    <row r="1207" spans="1:8" x14ac:dyDescent="0.2">
      <c r="A1207" s="91">
        <v>45565</v>
      </c>
      <c r="B1207" s="26"/>
      <c r="C1207" s="17" t="s">
        <v>95</v>
      </c>
      <c r="D1207" s="25">
        <v>2847</v>
      </c>
      <c r="E1207" s="19"/>
      <c r="F1207" s="15">
        <f t="shared" si="18"/>
        <v>-2847</v>
      </c>
      <c r="H1207" s="10"/>
    </row>
    <row r="1208" spans="1:8" x14ac:dyDescent="0.2">
      <c r="A1208" s="91">
        <v>45596</v>
      </c>
      <c r="B1208" s="45"/>
      <c r="C1208" s="17" t="s">
        <v>95</v>
      </c>
      <c r="D1208" s="25">
        <v>2301</v>
      </c>
      <c r="E1208" s="19"/>
      <c r="F1208" s="15">
        <f t="shared" si="18"/>
        <v>-2301</v>
      </c>
    </row>
    <row r="1209" spans="1:8" x14ac:dyDescent="0.2">
      <c r="A1209" s="91">
        <v>45625</v>
      </c>
      <c r="B1209" s="51"/>
      <c r="C1209" s="47" t="s">
        <v>95</v>
      </c>
      <c r="D1209" s="52">
        <v>2418</v>
      </c>
      <c r="E1209" s="49"/>
      <c r="F1209" s="15">
        <f t="shared" si="18"/>
        <v>-2418</v>
      </c>
    </row>
    <row r="1210" spans="1:8" x14ac:dyDescent="0.2">
      <c r="A1210" s="91">
        <v>45656</v>
      </c>
      <c r="B1210" s="50"/>
      <c r="C1210" s="22" t="s">
        <v>95</v>
      </c>
      <c r="D1210" s="53">
        <v>2301</v>
      </c>
      <c r="E1210" s="24"/>
      <c r="F1210" s="15">
        <f t="shared" si="18"/>
        <v>-2301</v>
      </c>
    </row>
    <row r="1211" spans="1:8" x14ac:dyDescent="0.2">
      <c r="A1211" s="91">
        <v>45688</v>
      </c>
      <c r="B1211" s="45"/>
      <c r="C1211" s="17" t="s">
        <v>95</v>
      </c>
      <c r="D1211" s="18">
        <v>2301</v>
      </c>
      <c r="E1211" s="19"/>
      <c r="F1211" s="15">
        <f t="shared" si="18"/>
        <v>-2301</v>
      </c>
    </row>
    <row r="1212" spans="1:8" x14ac:dyDescent="0.2">
      <c r="A1212" s="91">
        <v>45716</v>
      </c>
      <c r="B1212" s="45"/>
      <c r="C1212" s="17" t="s">
        <v>95</v>
      </c>
      <c r="D1212" s="25">
        <v>2223</v>
      </c>
      <c r="E1212" s="19"/>
      <c r="F1212" s="15">
        <f t="shared" si="18"/>
        <v>-2223</v>
      </c>
    </row>
    <row r="1213" spans="1:8" x14ac:dyDescent="0.2">
      <c r="A1213" s="91">
        <v>45747</v>
      </c>
      <c r="B1213" s="45"/>
      <c r="C1213" s="17" t="s">
        <v>95</v>
      </c>
      <c r="D1213" s="18">
        <v>2379</v>
      </c>
      <c r="E1213" s="19"/>
      <c r="F1213" s="15">
        <f t="shared" si="18"/>
        <v>-2379</v>
      </c>
    </row>
    <row r="1214" spans="1:8" x14ac:dyDescent="0.2">
      <c r="A1214" s="91">
        <v>45777</v>
      </c>
      <c r="B1214" s="45"/>
      <c r="C1214" s="17" t="s">
        <v>95</v>
      </c>
      <c r="D1214" s="25">
        <v>2223</v>
      </c>
      <c r="E1214" s="19"/>
      <c r="F1214" s="15">
        <f t="shared" si="18"/>
        <v>-2223</v>
      </c>
    </row>
    <row r="1215" spans="1:8" x14ac:dyDescent="0.2">
      <c r="A1215" s="91">
        <v>45807</v>
      </c>
      <c r="B1215" s="45"/>
      <c r="C1215" s="17" t="s">
        <v>95</v>
      </c>
      <c r="D1215" s="25">
        <v>2223</v>
      </c>
      <c r="E1215" s="19"/>
      <c r="F1215" s="15">
        <f t="shared" si="18"/>
        <v>-2223</v>
      </c>
    </row>
    <row r="1216" spans="1:8" x14ac:dyDescent="0.2">
      <c r="A1216" s="91">
        <v>45838</v>
      </c>
      <c r="B1216" s="45"/>
      <c r="C1216" s="17" t="s">
        <v>95</v>
      </c>
      <c r="D1216" s="18">
        <v>2262</v>
      </c>
      <c r="E1216" s="19"/>
      <c r="F1216" s="15">
        <f t="shared" si="18"/>
        <v>-2262</v>
      </c>
    </row>
    <row r="1217" spans="1:8" x14ac:dyDescent="0.2">
      <c r="A1217" s="91">
        <v>45869</v>
      </c>
      <c r="B1217" s="45"/>
      <c r="C1217" s="17" t="s">
        <v>95</v>
      </c>
      <c r="D1217" s="25">
        <v>2730</v>
      </c>
      <c r="E1217" s="19"/>
      <c r="F1217" s="15">
        <f t="shared" si="18"/>
        <v>-2730</v>
      </c>
    </row>
    <row r="1218" spans="1:8" x14ac:dyDescent="0.2">
      <c r="A1218" s="91">
        <v>45898</v>
      </c>
      <c r="B1218" s="45"/>
      <c r="C1218" s="17" t="s">
        <v>95</v>
      </c>
      <c r="D1218" s="25">
        <v>2730</v>
      </c>
      <c r="E1218" s="19"/>
      <c r="F1218" s="15">
        <f t="shared" si="18"/>
        <v>-2730</v>
      </c>
    </row>
    <row r="1219" spans="1:8" x14ac:dyDescent="0.2">
      <c r="A1219" s="91">
        <v>45595</v>
      </c>
      <c r="B1219" s="43">
        <v>9457293</v>
      </c>
      <c r="C1219" s="20" t="s">
        <v>137</v>
      </c>
      <c r="D1219" s="19"/>
      <c r="E1219" s="18">
        <v>11450</v>
      </c>
      <c r="F1219" s="15">
        <f t="shared" ref="F1219:F1282" si="19">+E1219-D1219</f>
        <v>11450</v>
      </c>
    </row>
    <row r="1220" spans="1:8" x14ac:dyDescent="0.2">
      <c r="A1220" s="91">
        <v>45716</v>
      </c>
      <c r="B1220" s="43">
        <v>11142680</v>
      </c>
      <c r="C1220" s="20" t="s">
        <v>137</v>
      </c>
      <c r="D1220" s="19"/>
      <c r="E1220" s="18">
        <v>11000</v>
      </c>
      <c r="F1220" s="15">
        <f t="shared" si="19"/>
        <v>11000</v>
      </c>
    </row>
    <row r="1221" spans="1:8" x14ac:dyDescent="0.2">
      <c r="A1221" s="91">
        <v>45838</v>
      </c>
      <c r="B1221" s="43">
        <v>12028465</v>
      </c>
      <c r="C1221" s="20" t="s">
        <v>137</v>
      </c>
      <c r="D1221" s="19"/>
      <c r="E1221" s="18">
        <v>22068.2</v>
      </c>
      <c r="F1221" s="15">
        <f t="shared" si="19"/>
        <v>22068.2</v>
      </c>
    </row>
    <row r="1222" spans="1:8" x14ac:dyDescent="0.2">
      <c r="A1222" s="91">
        <v>45594</v>
      </c>
      <c r="B1222" s="43">
        <v>14234524</v>
      </c>
      <c r="C1222" s="20" t="s">
        <v>135</v>
      </c>
      <c r="D1222" s="19"/>
      <c r="E1222" s="18">
        <v>20041.2</v>
      </c>
      <c r="F1222" s="15">
        <f t="shared" si="19"/>
        <v>20041.2</v>
      </c>
    </row>
    <row r="1223" spans="1:8" x14ac:dyDescent="0.2">
      <c r="A1223" s="91">
        <v>45855</v>
      </c>
      <c r="B1223" s="43">
        <v>11457335</v>
      </c>
      <c r="C1223" s="20" t="s">
        <v>135</v>
      </c>
      <c r="D1223" s="19"/>
      <c r="E1223" s="18">
        <v>12171</v>
      </c>
      <c r="F1223" s="15">
        <f t="shared" si="19"/>
        <v>12171</v>
      </c>
    </row>
    <row r="1224" spans="1:8" x14ac:dyDescent="0.2">
      <c r="A1224" s="91">
        <v>45722</v>
      </c>
      <c r="B1224" s="43">
        <v>11230008</v>
      </c>
      <c r="C1224" s="20" t="s">
        <v>332</v>
      </c>
      <c r="D1224" s="25"/>
      <c r="E1224" s="25">
        <v>25000000</v>
      </c>
      <c r="F1224" s="15">
        <f t="shared" si="19"/>
        <v>25000000</v>
      </c>
    </row>
    <row r="1225" spans="1:8" x14ac:dyDescent="0.2">
      <c r="A1225" s="91">
        <v>45779</v>
      </c>
      <c r="B1225" s="43">
        <v>11468410</v>
      </c>
      <c r="C1225" s="20" t="s">
        <v>332</v>
      </c>
      <c r="D1225" s="25"/>
      <c r="E1225" s="25">
        <v>50000000</v>
      </c>
      <c r="F1225" s="15">
        <f t="shared" si="19"/>
        <v>50000000</v>
      </c>
    </row>
    <row r="1226" spans="1:8" x14ac:dyDescent="0.2">
      <c r="A1226" s="91">
        <v>45783</v>
      </c>
      <c r="B1226" s="43">
        <v>10443520</v>
      </c>
      <c r="C1226" s="20" t="s">
        <v>332</v>
      </c>
      <c r="D1226" s="25"/>
      <c r="E1226" s="25">
        <v>15000000</v>
      </c>
      <c r="F1226" s="15">
        <f t="shared" si="19"/>
        <v>15000000</v>
      </c>
    </row>
    <row r="1227" spans="1:8" x14ac:dyDescent="0.2">
      <c r="A1227" s="91">
        <v>45840</v>
      </c>
      <c r="B1227" s="43">
        <v>18064669</v>
      </c>
      <c r="C1227" s="20" t="s">
        <v>332</v>
      </c>
      <c r="D1227" s="25"/>
      <c r="E1227" s="25">
        <v>50000000</v>
      </c>
      <c r="F1227" s="15">
        <f t="shared" si="19"/>
        <v>50000000</v>
      </c>
    </row>
    <row r="1228" spans="1:8" x14ac:dyDescent="0.2">
      <c r="A1228" s="91">
        <v>45884</v>
      </c>
      <c r="B1228" s="43">
        <v>10336261</v>
      </c>
      <c r="C1228" s="20" t="s">
        <v>332</v>
      </c>
      <c r="D1228" s="25"/>
      <c r="E1228" s="25">
        <v>3000000</v>
      </c>
      <c r="F1228" s="15">
        <f t="shared" si="19"/>
        <v>3000000</v>
      </c>
    </row>
    <row r="1229" spans="1:8" x14ac:dyDescent="0.2">
      <c r="A1229" s="91">
        <v>45561</v>
      </c>
      <c r="B1229" s="16">
        <v>890559</v>
      </c>
      <c r="C1229" s="20" t="s">
        <v>89</v>
      </c>
      <c r="D1229" s="25"/>
      <c r="E1229" s="25">
        <v>2149327.7799999998</v>
      </c>
      <c r="F1229" s="15">
        <f t="shared" si="19"/>
        <v>2149327.7799999998</v>
      </c>
      <c r="H1229" s="10"/>
    </row>
    <row r="1230" spans="1:8" x14ac:dyDescent="0.2">
      <c r="A1230" s="91">
        <v>45595</v>
      </c>
      <c r="B1230" s="43">
        <v>328758</v>
      </c>
      <c r="C1230" s="20" t="s">
        <v>89</v>
      </c>
      <c r="D1230" s="25"/>
      <c r="E1230" s="25">
        <v>2432839.06</v>
      </c>
      <c r="F1230" s="15">
        <f t="shared" si="19"/>
        <v>2432839.06</v>
      </c>
    </row>
    <row r="1231" spans="1:8" x14ac:dyDescent="0.2">
      <c r="A1231" s="91">
        <v>45624</v>
      </c>
      <c r="B1231" s="43">
        <v>708312</v>
      </c>
      <c r="C1231" s="20" t="s">
        <v>89</v>
      </c>
      <c r="D1231" s="25"/>
      <c r="E1231" s="25">
        <v>2400480.09</v>
      </c>
      <c r="F1231" s="15">
        <f t="shared" si="19"/>
        <v>2400480.09</v>
      </c>
    </row>
    <row r="1232" spans="1:8" x14ac:dyDescent="0.2">
      <c r="A1232" s="91">
        <v>45652</v>
      </c>
      <c r="B1232" s="43">
        <v>625098</v>
      </c>
      <c r="C1232" s="20" t="s">
        <v>89</v>
      </c>
      <c r="D1232" s="25"/>
      <c r="E1232" s="25">
        <v>2719539.04</v>
      </c>
      <c r="F1232" s="15">
        <f t="shared" si="19"/>
        <v>2719539.04</v>
      </c>
    </row>
    <row r="1233" spans="1:8" x14ac:dyDescent="0.2">
      <c r="A1233" s="91">
        <v>45687</v>
      </c>
      <c r="B1233" s="43">
        <v>805748</v>
      </c>
      <c r="C1233" s="20" t="s">
        <v>89</v>
      </c>
      <c r="D1233" s="25"/>
      <c r="E1233" s="25">
        <v>2474778</v>
      </c>
      <c r="F1233" s="15">
        <f t="shared" si="19"/>
        <v>2474778</v>
      </c>
    </row>
    <row r="1234" spans="1:8" x14ac:dyDescent="0.2">
      <c r="A1234" s="91">
        <v>45715</v>
      </c>
      <c r="B1234" s="43">
        <v>117322</v>
      </c>
      <c r="C1234" s="20" t="s">
        <v>89</v>
      </c>
      <c r="D1234" s="25"/>
      <c r="E1234" s="25">
        <v>2792360.62</v>
      </c>
      <c r="F1234" s="15">
        <f t="shared" si="19"/>
        <v>2792360.62</v>
      </c>
    </row>
    <row r="1235" spans="1:8" x14ac:dyDescent="0.2">
      <c r="A1235" s="91">
        <v>45743</v>
      </c>
      <c r="B1235" s="43">
        <v>631124</v>
      </c>
      <c r="C1235" s="20" t="s">
        <v>89</v>
      </c>
      <c r="D1235" s="25"/>
      <c r="E1235" s="25">
        <v>2879704.86</v>
      </c>
      <c r="F1235" s="15">
        <f t="shared" si="19"/>
        <v>2879704.86</v>
      </c>
    </row>
    <row r="1236" spans="1:8" x14ac:dyDescent="0.2">
      <c r="A1236" s="91">
        <v>45776</v>
      </c>
      <c r="B1236" s="46">
        <v>211940</v>
      </c>
      <c r="C1236" s="9" t="s">
        <v>89</v>
      </c>
      <c r="D1236" s="52"/>
      <c r="E1236" s="88">
        <v>2974046.64</v>
      </c>
      <c r="F1236" s="15">
        <f t="shared" si="19"/>
        <v>2974046.64</v>
      </c>
    </row>
    <row r="1237" spans="1:8" x14ac:dyDescent="0.2">
      <c r="A1237" s="91">
        <v>45807</v>
      </c>
      <c r="B1237" s="44">
        <v>652418</v>
      </c>
      <c r="C1237" s="28" t="s">
        <v>89</v>
      </c>
      <c r="D1237" s="53"/>
      <c r="E1237" s="29">
        <v>2686138.76</v>
      </c>
      <c r="F1237" s="15">
        <f t="shared" si="19"/>
        <v>2686138.76</v>
      </c>
    </row>
    <row r="1238" spans="1:8" x14ac:dyDescent="0.2">
      <c r="A1238" s="91">
        <v>45834</v>
      </c>
      <c r="B1238" s="43">
        <v>583515</v>
      </c>
      <c r="C1238" s="20" t="s">
        <v>89</v>
      </c>
      <c r="D1238" s="25"/>
      <c r="E1238" s="25">
        <v>2556485.34</v>
      </c>
      <c r="F1238" s="15">
        <f t="shared" si="19"/>
        <v>2556485.34</v>
      </c>
    </row>
    <row r="1239" spans="1:8" x14ac:dyDescent="0.2">
      <c r="A1239" s="91">
        <v>45867</v>
      </c>
      <c r="B1239" s="43">
        <v>257849</v>
      </c>
      <c r="C1239" s="20" t="s">
        <v>89</v>
      </c>
      <c r="D1239" s="25"/>
      <c r="E1239" s="25">
        <v>2929062.48</v>
      </c>
      <c r="F1239" s="15">
        <f t="shared" si="19"/>
        <v>2929062.48</v>
      </c>
    </row>
    <row r="1240" spans="1:8" x14ac:dyDescent="0.2">
      <c r="A1240" s="91">
        <v>45897</v>
      </c>
      <c r="B1240" s="43">
        <v>542429</v>
      </c>
      <c r="C1240" s="20" t="s">
        <v>89</v>
      </c>
      <c r="D1240" s="25"/>
      <c r="E1240" s="25">
        <v>3370990.2</v>
      </c>
      <c r="F1240" s="15">
        <f t="shared" si="19"/>
        <v>3370990.2</v>
      </c>
    </row>
    <row r="1241" spans="1:8" x14ac:dyDescent="0.2">
      <c r="A1241" s="91">
        <v>45565</v>
      </c>
      <c r="B1241" s="16">
        <v>832070</v>
      </c>
      <c r="C1241" s="20" t="s">
        <v>94</v>
      </c>
      <c r="D1241" s="19"/>
      <c r="E1241" s="18">
        <v>473318.46</v>
      </c>
      <c r="F1241" s="15">
        <f t="shared" si="19"/>
        <v>473318.46</v>
      </c>
      <c r="H1241" s="10"/>
    </row>
    <row r="1242" spans="1:8" x14ac:dyDescent="0.2">
      <c r="A1242" s="91">
        <v>45595</v>
      </c>
      <c r="B1242" s="43">
        <v>47257</v>
      </c>
      <c r="C1242" s="20" t="s">
        <v>94</v>
      </c>
      <c r="D1242" s="19"/>
      <c r="E1242" s="18">
        <v>974295.93</v>
      </c>
      <c r="F1242" s="15">
        <f t="shared" si="19"/>
        <v>974295.93</v>
      </c>
    </row>
    <row r="1243" spans="1:8" x14ac:dyDescent="0.2">
      <c r="A1243" s="91">
        <v>45625</v>
      </c>
      <c r="B1243" s="43">
        <v>686827</v>
      </c>
      <c r="C1243" s="20" t="s">
        <v>94</v>
      </c>
      <c r="D1243" s="19"/>
      <c r="E1243" s="18">
        <v>609924.30000000005</v>
      </c>
      <c r="F1243" s="15">
        <f t="shared" si="19"/>
        <v>609924.30000000005</v>
      </c>
    </row>
    <row r="1244" spans="1:8" x14ac:dyDescent="0.2">
      <c r="A1244" s="91">
        <v>45653</v>
      </c>
      <c r="B1244" s="43">
        <v>529373</v>
      </c>
      <c r="C1244" s="20" t="s">
        <v>94</v>
      </c>
      <c r="D1244" s="25"/>
      <c r="E1244" s="25">
        <v>1195263.29</v>
      </c>
      <c r="F1244" s="15">
        <f t="shared" si="19"/>
        <v>1195263.29</v>
      </c>
    </row>
    <row r="1245" spans="1:8" x14ac:dyDescent="0.2">
      <c r="A1245" s="91">
        <v>45687</v>
      </c>
      <c r="B1245" s="43">
        <v>930415</v>
      </c>
      <c r="C1245" s="20" t="s">
        <v>94</v>
      </c>
      <c r="D1245" s="25"/>
      <c r="E1245" s="25">
        <v>1139619.18</v>
      </c>
      <c r="F1245" s="15">
        <f t="shared" si="19"/>
        <v>1139619.18</v>
      </c>
    </row>
    <row r="1246" spans="1:8" x14ac:dyDescent="0.2">
      <c r="A1246" s="91">
        <v>45715</v>
      </c>
      <c r="B1246" s="43">
        <v>387447</v>
      </c>
      <c r="C1246" s="20" t="s">
        <v>94</v>
      </c>
      <c r="D1246" s="25"/>
      <c r="E1246" s="25">
        <v>1115763.1399999999</v>
      </c>
      <c r="F1246" s="15">
        <f t="shared" si="19"/>
        <v>1115763.1399999999</v>
      </c>
    </row>
    <row r="1247" spans="1:8" x14ac:dyDescent="0.2">
      <c r="A1247" s="91">
        <v>45748</v>
      </c>
      <c r="B1247" s="43">
        <v>159747</v>
      </c>
      <c r="C1247" s="20" t="s">
        <v>94</v>
      </c>
      <c r="D1247" s="19"/>
      <c r="E1247" s="18">
        <v>416415.83</v>
      </c>
      <c r="F1247" s="15">
        <f t="shared" si="19"/>
        <v>416415.83</v>
      </c>
    </row>
    <row r="1248" spans="1:8" x14ac:dyDescent="0.2">
      <c r="A1248" s="91">
        <v>45810</v>
      </c>
      <c r="B1248" s="43">
        <v>981725</v>
      </c>
      <c r="C1248" s="20" t="s">
        <v>94</v>
      </c>
      <c r="D1248" s="19"/>
      <c r="E1248" s="18">
        <v>605934.11</v>
      </c>
      <c r="F1248" s="15">
        <f t="shared" si="19"/>
        <v>605934.11</v>
      </c>
    </row>
    <row r="1249" spans="1:8" x14ac:dyDescent="0.2">
      <c r="A1249" s="91">
        <v>45839</v>
      </c>
      <c r="B1249" s="43">
        <v>255211</v>
      </c>
      <c r="C1249" s="20" t="s">
        <v>94</v>
      </c>
      <c r="D1249" s="25"/>
      <c r="E1249" s="25">
        <v>1426083.47</v>
      </c>
      <c r="F1249" s="15">
        <f t="shared" si="19"/>
        <v>1426083.47</v>
      </c>
    </row>
    <row r="1250" spans="1:8" x14ac:dyDescent="0.2">
      <c r="A1250" s="91">
        <v>45869</v>
      </c>
      <c r="B1250" s="43">
        <v>624199</v>
      </c>
      <c r="C1250" s="20" t="s">
        <v>94</v>
      </c>
      <c r="D1250" s="19"/>
      <c r="E1250" s="25">
        <v>628227.69999999995</v>
      </c>
      <c r="F1250" s="15">
        <f t="shared" si="19"/>
        <v>628227.69999999995</v>
      </c>
    </row>
    <row r="1251" spans="1:8" x14ac:dyDescent="0.2">
      <c r="A1251" s="91">
        <v>45777</v>
      </c>
      <c r="B1251" s="43">
        <v>63011</v>
      </c>
      <c r="C1251" s="20" t="s">
        <v>419</v>
      </c>
      <c r="D1251" s="19"/>
      <c r="E1251" s="18">
        <v>221874.86</v>
      </c>
      <c r="F1251" s="15">
        <f t="shared" si="19"/>
        <v>221874.86</v>
      </c>
    </row>
    <row r="1252" spans="1:8" x14ac:dyDescent="0.2">
      <c r="A1252" s="91">
        <v>45874</v>
      </c>
      <c r="B1252" s="43">
        <v>243642</v>
      </c>
      <c r="C1252" s="20" t="s">
        <v>568</v>
      </c>
      <c r="D1252" s="25"/>
      <c r="E1252" s="25">
        <v>10000000</v>
      </c>
      <c r="F1252" s="15">
        <f t="shared" si="19"/>
        <v>10000000</v>
      </c>
    </row>
    <row r="1253" spans="1:8" x14ac:dyDescent="0.2">
      <c r="A1253" s="91">
        <v>45875</v>
      </c>
      <c r="B1253" s="43">
        <v>152990</v>
      </c>
      <c r="C1253" s="20" t="s">
        <v>568</v>
      </c>
      <c r="D1253" s="25"/>
      <c r="E1253" s="25">
        <v>3000000</v>
      </c>
      <c r="F1253" s="15">
        <f t="shared" si="19"/>
        <v>3000000</v>
      </c>
    </row>
    <row r="1254" spans="1:8" x14ac:dyDescent="0.2">
      <c r="A1254" s="91">
        <v>45880</v>
      </c>
      <c r="B1254" s="43">
        <v>605847</v>
      </c>
      <c r="C1254" s="20" t="s">
        <v>568</v>
      </c>
      <c r="D1254" s="25"/>
      <c r="E1254" s="25">
        <v>6000000</v>
      </c>
      <c r="F1254" s="15">
        <f t="shared" si="19"/>
        <v>6000000</v>
      </c>
    </row>
    <row r="1255" spans="1:8" x14ac:dyDescent="0.2">
      <c r="A1255" s="91">
        <v>45881</v>
      </c>
      <c r="B1255" s="43">
        <v>500559</v>
      </c>
      <c r="C1255" s="20" t="s">
        <v>568</v>
      </c>
      <c r="D1255" s="25"/>
      <c r="E1255" s="25">
        <v>1000000</v>
      </c>
      <c r="F1255" s="15">
        <f t="shared" si="19"/>
        <v>1000000</v>
      </c>
    </row>
    <row r="1256" spans="1:8" x14ac:dyDescent="0.2">
      <c r="A1256" s="91">
        <v>45561</v>
      </c>
      <c r="B1256" s="16">
        <v>414042</v>
      </c>
      <c r="C1256" s="20" t="s">
        <v>90</v>
      </c>
      <c r="D1256" s="25"/>
      <c r="E1256" s="25">
        <v>15199663</v>
      </c>
      <c r="F1256" s="15">
        <f t="shared" si="19"/>
        <v>15199663</v>
      </c>
      <c r="H1256" s="10"/>
    </row>
    <row r="1257" spans="1:8" x14ac:dyDescent="0.2">
      <c r="A1257" s="91">
        <v>45691</v>
      </c>
      <c r="B1257" s="43">
        <v>366499</v>
      </c>
      <c r="C1257" s="20" t="s">
        <v>90</v>
      </c>
      <c r="D1257" s="25"/>
      <c r="E1257" s="25">
        <v>10000000</v>
      </c>
      <c r="F1257" s="15">
        <f t="shared" si="19"/>
        <v>10000000</v>
      </c>
    </row>
    <row r="1258" spans="1:8" x14ac:dyDescent="0.2">
      <c r="A1258" s="91">
        <v>45776</v>
      </c>
      <c r="B1258" s="43">
        <v>178218</v>
      </c>
      <c r="C1258" s="20" t="s">
        <v>90</v>
      </c>
      <c r="D1258" s="25"/>
      <c r="E1258" s="25">
        <v>16000000</v>
      </c>
      <c r="F1258" s="15">
        <f t="shared" si="19"/>
        <v>16000000</v>
      </c>
    </row>
    <row r="1259" spans="1:8" x14ac:dyDescent="0.2">
      <c r="A1259" s="91">
        <v>45807</v>
      </c>
      <c r="B1259" s="46">
        <v>96698082</v>
      </c>
      <c r="C1259" s="9" t="s">
        <v>90</v>
      </c>
      <c r="D1259" s="52"/>
      <c r="E1259" s="88">
        <v>50000000</v>
      </c>
      <c r="F1259" s="15">
        <f t="shared" si="19"/>
        <v>50000000</v>
      </c>
    </row>
    <row r="1260" spans="1:8" x14ac:dyDescent="0.2">
      <c r="A1260" s="91">
        <v>45817</v>
      </c>
      <c r="B1260" s="44">
        <v>955486</v>
      </c>
      <c r="C1260" s="28" t="s">
        <v>90</v>
      </c>
      <c r="D1260" s="53"/>
      <c r="E1260" s="29">
        <v>5000000</v>
      </c>
      <c r="F1260" s="15">
        <f t="shared" si="19"/>
        <v>5000000</v>
      </c>
    </row>
    <row r="1261" spans="1:8" x14ac:dyDescent="0.2">
      <c r="A1261" s="91">
        <v>45819</v>
      </c>
      <c r="B1261" s="43">
        <v>761415</v>
      </c>
      <c r="C1261" s="20" t="s">
        <v>90</v>
      </c>
      <c r="D1261" s="25"/>
      <c r="E1261" s="25">
        <v>6000000</v>
      </c>
      <c r="F1261" s="15">
        <f t="shared" si="19"/>
        <v>6000000</v>
      </c>
    </row>
    <row r="1262" spans="1:8" x14ac:dyDescent="0.2">
      <c r="A1262" s="91">
        <v>45841</v>
      </c>
      <c r="B1262" s="43">
        <v>224180</v>
      </c>
      <c r="C1262" s="20" t="s">
        <v>90</v>
      </c>
      <c r="D1262" s="25"/>
      <c r="E1262" s="25">
        <v>10000000</v>
      </c>
      <c r="F1262" s="15">
        <f t="shared" si="19"/>
        <v>10000000</v>
      </c>
    </row>
    <row r="1263" spans="1:8" x14ac:dyDescent="0.2">
      <c r="A1263" s="91">
        <v>45873</v>
      </c>
      <c r="B1263" s="43">
        <v>99756214</v>
      </c>
      <c r="C1263" s="20" t="s">
        <v>90</v>
      </c>
      <c r="D1263" s="25"/>
      <c r="E1263" s="25">
        <v>70000000</v>
      </c>
      <c r="F1263" s="15">
        <f t="shared" si="19"/>
        <v>70000000</v>
      </c>
    </row>
    <row r="1264" spans="1:8" x14ac:dyDescent="0.2">
      <c r="A1264" s="91">
        <v>45551</v>
      </c>
      <c r="B1264" s="16">
        <v>112512</v>
      </c>
      <c r="C1264" s="20" t="s">
        <v>46</v>
      </c>
      <c r="D1264" s="18">
        <v>46230.22</v>
      </c>
      <c r="E1264" s="19"/>
      <c r="F1264" s="15">
        <f t="shared" si="19"/>
        <v>-46230.22</v>
      </c>
      <c r="H1264" s="10"/>
    </row>
    <row r="1265" spans="1:8" x14ac:dyDescent="0.2">
      <c r="A1265" s="91">
        <v>45551</v>
      </c>
      <c r="B1265" s="16">
        <v>112513</v>
      </c>
      <c r="C1265" s="20" t="s">
        <v>46</v>
      </c>
      <c r="D1265" s="18">
        <v>560536.18000000005</v>
      </c>
      <c r="E1265" s="19"/>
      <c r="F1265" s="15">
        <f t="shared" si="19"/>
        <v>-560536.18000000005</v>
      </c>
      <c r="H1265" s="10"/>
    </row>
    <row r="1266" spans="1:8" x14ac:dyDescent="0.2">
      <c r="A1266" s="91">
        <v>45551</v>
      </c>
      <c r="B1266" s="16">
        <v>166993</v>
      </c>
      <c r="C1266" s="20" t="s">
        <v>46</v>
      </c>
      <c r="D1266" s="18">
        <v>343480.17</v>
      </c>
      <c r="E1266" s="19"/>
      <c r="F1266" s="15">
        <f t="shared" si="19"/>
        <v>-343480.17</v>
      </c>
      <c r="H1266" s="10"/>
    </row>
    <row r="1267" spans="1:8" x14ac:dyDescent="0.2">
      <c r="A1267" s="91">
        <v>45551</v>
      </c>
      <c r="B1267" s="16">
        <v>237155</v>
      </c>
      <c r="C1267" s="20" t="s">
        <v>46</v>
      </c>
      <c r="D1267" s="18">
        <v>1737095.4</v>
      </c>
      <c r="E1267" s="19"/>
      <c r="F1267" s="15">
        <f t="shared" si="19"/>
        <v>-1737095.4</v>
      </c>
      <c r="H1267" s="10"/>
    </row>
    <row r="1268" spans="1:8" x14ac:dyDescent="0.2">
      <c r="A1268" s="91">
        <v>45551</v>
      </c>
      <c r="B1268" s="16">
        <v>237158</v>
      </c>
      <c r="C1268" s="20" t="s">
        <v>46</v>
      </c>
      <c r="D1268" s="18">
        <v>2051744.02</v>
      </c>
      <c r="E1268" s="19"/>
      <c r="F1268" s="15">
        <f t="shared" si="19"/>
        <v>-2051744.02</v>
      </c>
      <c r="H1268" s="10"/>
    </row>
    <row r="1269" spans="1:8" x14ac:dyDescent="0.2">
      <c r="A1269" s="91">
        <v>45561</v>
      </c>
      <c r="B1269" s="16">
        <v>47434</v>
      </c>
      <c r="C1269" s="20" t="s">
        <v>46</v>
      </c>
      <c r="D1269" s="18">
        <v>3083694.51</v>
      </c>
      <c r="E1269" s="19"/>
      <c r="F1269" s="15">
        <f t="shared" si="19"/>
        <v>-3083694.51</v>
      </c>
      <c r="H1269" s="10"/>
    </row>
    <row r="1270" spans="1:8" x14ac:dyDescent="0.2">
      <c r="A1270" s="91">
        <v>45561</v>
      </c>
      <c r="B1270" s="16">
        <v>47435</v>
      </c>
      <c r="C1270" s="20" t="s">
        <v>46</v>
      </c>
      <c r="D1270" s="18">
        <v>2406206.4300000002</v>
      </c>
      <c r="E1270" s="19"/>
      <c r="F1270" s="15">
        <f t="shared" si="19"/>
        <v>-2406206.4300000002</v>
      </c>
      <c r="H1270" s="10"/>
    </row>
    <row r="1271" spans="1:8" x14ac:dyDescent="0.2">
      <c r="A1271" s="91">
        <v>45561</v>
      </c>
      <c r="B1271" s="16">
        <v>47436</v>
      </c>
      <c r="C1271" s="20" t="s">
        <v>46</v>
      </c>
      <c r="D1271" s="18">
        <v>3932390.14</v>
      </c>
      <c r="E1271" s="19"/>
      <c r="F1271" s="15">
        <f t="shared" si="19"/>
        <v>-3932390.14</v>
      </c>
      <c r="H1271" s="10"/>
    </row>
    <row r="1272" spans="1:8" x14ac:dyDescent="0.2">
      <c r="A1272" s="91">
        <v>45561</v>
      </c>
      <c r="B1272" s="16">
        <v>47437</v>
      </c>
      <c r="C1272" s="20" t="s">
        <v>46</v>
      </c>
      <c r="D1272" s="18">
        <v>2737752.79</v>
      </c>
      <c r="E1272" s="19"/>
      <c r="F1272" s="15">
        <f t="shared" si="19"/>
        <v>-2737752.79</v>
      </c>
      <c r="H1272" s="10"/>
    </row>
    <row r="1273" spans="1:8" x14ac:dyDescent="0.2">
      <c r="A1273" s="91">
        <v>45561</v>
      </c>
      <c r="B1273" s="16">
        <v>57321</v>
      </c>
      <c r="C1273" s="20" t="s">
        <v>46</v>
      </c>
      <c r="D1273" s="18">
        <v>492858.59</v>
      </c>
      <c r="E1273" s="19"/>
      <c r="F1273" s="15">
        <f t="shared" si="19"/>
        <v>-492858.59</v>
      </c>
      <c r="H1273" s="10"/>
    </row>
    <row r="1274" spans="1:8" x14ac:dyDescent="0.2">
      <c r="A1274" s="91">
        <v>45581</v>
      </c>
      <c r="B1274" s="43">
        <v>67931</v>
      </c>
      <c r="C1274" s="20" t="s">
        <v>46</v>
      </c>
      <c r="D1274" s="18">
        <v>46768.9</v>
      </c>
      <c r="E1274" s="19"/>
      <c r="F1274" s="15">
        <f t="shared" si="19"/>
        <v>-46768.9</v>
      </c>
    </row>
    <row r="1275" spans="1:8" x14ac:dyDescent="0.2">
      <c r="A1275" s="91">
        <v>45581</v>
      </c>
      <c r="B1275" s="43">
        <v>67932</v>
      </c>
      <c r="C1275" s="20" t="s">
        <v>46</v>
      </c>
      <c r="D1275" s="18">
        <v>567067.54</v>
      </c>
      <c r="E1275" s="19"/>
      <c r="F1275" s="15">
        <f t="shared" si="19"/>
        <v>-567067.54</v>
      </c>
    </row>
    <row r="1276" spans="1:8" x14ac:dyDescent="0.2">
      <c r="A1276" s="91">
        <v>45581</v>
      </c>
      <c r="B1276" s="43">
        <v>120659</v>
      </c>
      <c r="C1276" s="20" t="s">
        <v>46</v>
      </c>
      <c r="D1276" s="18">
        <v>293260.37</v>
      </c>
      <c r="E1276" s="19"/>
      <c r="F1276" s="15">
        <f t="shared" si="19"/>
        <v>-293260.37</v>
      </c>
    </row>
    <row r="1277" spans="1:8" x14ac:dyDescent="0.2">
      <c r="A1277" s="91">
        <v>45581</v>
      </c>
      <c r="B1277" s="43">
        <v>281104</v>
      </c>
      <c r="C1277" s="20" t="s">
        <v>46</v>
      </c>
      <c r="D1277" s="18">
        <v>531862.86</v>
      </c>
      <c r="E1277" s="19"/>
      <c r="F1277" s="15">
        <f t="shared" si="19"/>
        <v>-531862.86</v>
      </c>
    </row>
    <row r="1278" spans="1:8" x14ac:dyDescent="0.2">
      <c r="A1278" s="91">
        <v>45581</v>
      </c>
      <c r="B1278" s="43">
        <v>206373</v>
      </c>
      <c r="C1278" s="20" t="s">
        <v>46</v>
      </c>
      <c r="D1278" s="18">
        <v>3019184.6</v>
      </c>
      <c r="E1278" s="19"/>
      <c r="F1278" s="15">
        <f t="shared" si="19"/>
        <v>-3019184.6</v>
      </c>
    </row>
    <row r="1279" spans="1:8" x14ac:dyDescent="0.2">
      <c r="A1279" s="91">
        <v>45581</v>
      </c>
      <c r="B1279" s="43">
        <v>206374</v>
      </c>
      <c r="C1279" s="20" t="s">
        <v>46</v>
      </c>
      <c r="D1279" s="18">
        <v>2355869.35</v>
      </c>
      <c r="E1279" s="19"/>
      <c r="F1279" s="15">
        <f t="shared" si="19"/>
        <v>-2355869.35</v>
      </c>
    </row>
    <row r="1280" spans="1:8" x14ac:dyDescent="0.2">
      <c r="A1280" s="91">
        <v>45581</v>
      </c>
      <c r="B1280" s="43">
        <v>206375</v>
      </c>
      <c r="C1280" s="20" t="s">
        <v>46</v>
      </c>
      <c r="D1280" s="18">
        <v>2051744.02</v>
      </c>
      <c r="E1280" s="19"/>
      <c r="F1280" s="15">
        <f t="shared" si="19"/>
        <v>-2051744.02</v>
      </c>
    </row>
    <row r="1281" spans="1:6" x14ac:dyDescent="0.2">
      <c r="A1281" s="91">
        <v>45581</v>
      </c>
      <c r="B1281" s="43">
        <v>206376</v>
      </c>
      <c r="C1281" s="20" t="s">
        <v>46</v>
      </c>
      <c r="D1281" s="18">
        <v>3850125.79</v>
      </c>
      <c r="E1281" s="19"/>
      <c r="F1281" s="15">
        <f t="shared" si="19"/>
        <v>-3850125.79</v>
      </c>
    </row>
    <row r="1282" spans="1:6" x14ac:dyDescent="0.2">
      <c r="A1282" s="91">
        <v>45581</v>
      </c>
      <c r="B1282" s="46">
        <v>206377</v>
      </c>
      <c r="C1282" s="9" t="s">
        <v>46</v>
      </c>
      <c r="D1282" s="48">
        <v>2680479.87</v>
      </c>
      <c r="E1282" s="49"/>
      <c r="F1282" s="15">
        <f t="shared" si="19"/>
        <v>-2680479.87</v>
      </c>
    </row>
    <row r="1283" spans="1:6" x14ac:dyDescent="0.2">
      <c r="A1283" s="91">
        <v>45581</v>
      </c>
      <c r="B1283" s="44">
        <v>206378</v>
      </c>
      <c r="C1283" s="28" t="s">
        <v>46</v>
      </c>
      <c r="D1283" s="23">
        <v>2701040.94</v>
      </c>
      <c r="E1283" s="24"/>
      <c r="F1283" s="15">
        <f t="shared" ref="F1283:F1346" si="20">+E1283-D1283</f>
        <v>-2701040.94</v>
      </c>
    </row>
    <row r="1284" spans="1:6" x14ac:dyDescent="0.2">
      <c r="A1284" s="91">
        <v>45615</v>
      </c>
      <c r="B1284" s="43">
        <v>78615</v>
      </c>
      <c r="C1284" s="20" t="s">
        <v>46</v>
      </c>
      <c r="D1284" s="18">
        <v>47307.57</v>
      </c>
      <c r="E1284" s="19"/>
      <c r="F1284" s="15">
        <f t="shared" si="20"/>
        <v>-47307.57</v>
      </c>
    </row>
    <row r="1285" spans="1:6" x14ac:dyDescent="0.2">
      <c r="A1285" s="91">
        <v>45615</v>
      </c>
      <c r="B1285" s="43">
        <v>78616</v>
      </c>
      <c r="C1285" s="20" t="s">
        <v>46</v>
      </c>
      <c r="D1285" s="18">
        <v>573598.91</v>
      </c>
      <c r="E1285" s="19"/>
      <c r="F1285" s="15">
        <f t="shared" si="20"/>
        <v>-573598.91</v>
      </c>
    </row>
    <row r="1286" spans="1:6" x14ac:dyDescent="0.2">
      <c r="A1286" s="91">
        <v>45615</v>
      </c>
      <c r="B1286" s="43">
        <v>130487</v>
      </c>
      <c r="C1286" s="20" t="s">
        <v>46</v>
      </c>
      <c r="D1286" s="18">
        <v>284837.82</v>
      </c>
      <c r="E1286" s="19"/>
      <c r="F1286" s="15">
        <f t="shared" si="20"/>
        <v>-284837.82</v>
      </c>
    </row>
    <row r="1287" spans="1:6" x14ac:dyDescent="0.2">
      <c r="A1287" s="91">
        <v>45615</v>
      </c>
      <c r="B1287" s="43">
        <v>219626</v>
      </c>
      <c r="C1287" s="20" t="s">
        <v>46</v>
      </c>
      <c r="D1287" s="18">
        <v>3019184.6</v>
      </c>
      <c r="E1287" s="19"/>
      <c r="F1287" s="15">
        <f t="shared" si="20"/>
        <v>-3019184.6</v>
      </c>
    </row>
    <row r="1288" spans="1:6" x14ac:dyDescent="0.2">
      <c r="A1288" s="91">
        <v>45615</v>
      </c>
      <c r="B1288" s="43">
        <v>219627</v>
      </c>
      <c r="C1288" s="20" t="s">
        <v>46</v>
      </c>
      <c r="D1288" s="18">
        <v>2355869.35</v>
      </c>
      <c r="E1288" s="19"/>
      <c r="F1288" s="15">
        <f t="shared" si="20"/>
        <v>-2355869.35</v>
      </c>
    </row>
    <row r="1289" spans="1:6" x14ac:dyDescent="0.2">
      <c r="A1289" s="91">
        <v>45615</v>
      </c>
      <c r="B1289" s="43">
        <v>219628</v>
      </c>
      <c r="C1289" s="20" t="s">
        <v>46</v>
      </c>
      <c r="D1289" s="18">
        <v>2051744.02</v>
      </c>
      <c r="E1289" s="19"/>
      <c r="F1289" s="15">
        <f t="shared" si="20"/>
        <v>-2051744.02</v>
      </c>
    </row>
    <row r="1290" spans="1:6" x14ac:dyDescent="0.2">
      <c r="A1290" s="91">
        <v>45615</v>
      </c>
      <c r="B1290" s="43">
        <v>219629</v>
      </c>
      <c r="C1290" s="20" t="s">
        <v>46</v>
      </c>
      <c r="D1290" s="18">
        <v>3850125.79</v>
      </c>
      <c r="E1290" s="19"/>
      <c r="F1290" s="15">
        <f t="shared" si="20"/>
        <v>-3850125.79</v>
      </c>
    </row>
    <row r="1291" spans="1:6" x14ac:dyDescent="0.2">
      <c r="A1291" s="91">
        <v>45615</v>
      </c>
      <c r="B1291" s="43">
        <v>219630</v>
      </c>
      <c r="C1291" s="20" t="s">
        <v>46</v>
      </c>
      <c r="D1291" s="18">
        <v>2680479.87</v>
      </c>
      <c r="E1291" s="19"/>
      <c r="F1291" s="15">
        <f t="shared" si="20"/>
        <v>-2680479.87</v>
      </c>
    </row>
    <row r="1292" spans="1:6" x14ac:dyDescent="0.2">
      <c r="A1292" s="91">
        <v>45615</v>
      </c>
      <c r="B1292" s="43">
        <v>219631</v>
      </c>
      <c r="C1292" s="20" t="s">
        <v>46</v>
      </c>
      <c r="D1292" s="18">
        <v>2701040.94</v>
      </c>
      <c r="E1292" s="19"/>
      <c r="F1292" s="15">
        <f t="shared" si="20"/>
        <v>-2701040.94</v>
      </c>
    </row>
    <row r="1293" spans="1:6" x14ac:dyDescent="0.2">
      <c r="A1293" s="91">
        <v>45615</v>
      </c>
      <c r="B1293" s="43">
        <v>219632</v>
      </c>
      <c r="C1293" s="20" t="s">
        <v>46</v>
      </c>
      <c r="D1293" s="18">
        <v>2771406.99</v>
      </c>
      <c r="E1293" s="19"/>
      <c r="F1293" s="15">
        <f t="shared" si="20"/>
        <v>-2771406.99</v>
      </c>
    </row>
    <row r="1294" spans="1:6" x14ac:dyDescent="0.2">
      <c r="A1294" s="91">
        <v>45615</v>
      </c>
      <c r="B1294" s="43">
        <v>294919</v>
      </c>
      <c r="C1294" s="20" t="s">
        <v>46</v>
      </c>
      <c r="D1294" s="18">
        <v>524608.44999999995</v>
      </c>
      <c r="E1294" s="19"/>
      <c r="F1294" s="15">
        <f t="shared" si="20"/>
        <v>-524608.44999999995</v>
      </c>
    </row>
    <row r="1295" spans="1:6" x14ac:dyDescent="0.2">
      <c r="A1295" s="91">
        <v>45642</v>
      </c>
      <c r="B1295" s="43">
        <v>122922</v>
      </c>
      <c r="C1295" s="20" t="s">
        <v>46</v>
      </c>
      <c r="D1295" s="18">
        <v>47846.239999999998</v>
      </c>
      <c r="E1295" s="19"/>
      <c r="F1295" s="15">
        <f t="shared" si="20"/>
        <v>-47846.239999999998</v>
      </c>
    </row>
    <row r="1296" spans="1:6" x14ac:dyDescent="0.2">
      <c r="A1296" s="91">
        <v>45642</v>
      </c>
      <c r="B1296" s="43">
        <v>122923</v>
      </c>
      <c r="C1296" s="20" t="s">
        <v>46</v>
      </c>
      <c r="D1296" s="18">
        <v>580130.26</v>
      </c>
      <c r="E1296" s="19"/>
      <c r="F1296" s="15">
        <f t="shared" si="20"/>
        <v>-580130.26</v>
      </c>
    </row>
    <row r="1297" spans="1:6" x14ac:dyDescent="0.2">
      <c r="A1297" s="91">
        <v>45642</v>
      </c>
      <c r="B1297" s="43">
        <v>172157</v>
      </c>
      <c r="C1297" s="20" t="s">
        <v>46</v>
      </c>
      <c r="D1297" s="18">
        <v>276415.25</v>
      </c>
      <c r="E1297" s="19"/>
      <c r="F1297" s="15">
        <f t="shared" si="20"/>
        <v>-276415.25</v>
      </c>
    </row>
    <row r="1298" spans="1:6" x14ac:dyDescent="0.2">
      <c r="A1298" s="91">
        <v>45642</v>
      </c>
      <c r="B1298" s="43">
        <v>261521</v>
      </c>
      <c r="C1298" s="20" t="s">
        <v>46</v>
      </c>
      <c r="D1298" s="18">
        <v>2051744.02</v>
      </c>
      <c r="E1298" s="19"/>
      <c r="F1298" s="15">
        <f t="shared" si="20"/>
        <v>-2051744.02</v>
      </c>
    </row>
    <row r="1299" spans="1:6" x14ac:dyDescent="0.2">
      <c r="A1299" s="91">
        <v>45642</v>
      </c>
      <c r="B1299" s="43">
        <v>261522</v>
      </c>
      <c r="C1299" s="20" t="s">
        <v>46</v>
      </c>
      <c r="D1299" s="18">
        <v>3850125.79</v>
      </c>
      <c r="E1299" s="19"/>
      <c r="F1299" s="15">
        <f t="shared" si="20"/>
        <v>-3850125.79</v>
      </c>
    </row>
    <row r="1300" spans="1:6" x14ac:dyDescent="0.2">
      <c r="A1300" s="91">
        <v>45642</v>
      </c>
      <c r="B1300" s="43">
        <v>261523</v>
      </c>
      <c r="C1300" s="20" t="s">
        <v>46</v>
      </c>
      <c r="D1300" s="18">
        <v>2680479.87</v>
      </c>
      <c r="E1300" s="19"/>
      <c r="F1300" s="15">
        <f t="shared" si="20"/>
        <v>-2680479.87</v>
      </c>
    </row>
    <row r="1301" spans="1:6" x14ac:dyDescent="0.2">
      <c r="A1301" s="91">
        <v>45642</v>
      </c>
      <c r="B1301" s="43">
        <v>261524</v>
      </c>
      <c r="C1301" s="20" t="s">
        <v>46</v>
      </c>
      <c r="D1301" s="18">
        <v>2701040.94</v>
      </c>
      <c r="E1301" s="19"/>
      <c r="F1301" s="15">
        <f t="shared" si="20"/>
        <v>-2701040.94</v>
      </c>
    </row>
    <row r="1302" spans="1:6" x14ac:dyDescent="0.2">
      <c r="A1302" s="91">
        <v>45642</v>
      </c>
      <c r="B1302" s="43">
        <v>261525</v>
      </c>
      <c r="C1302" s="20" t="s">
        <v>46</v>
      </c>
      <c r="D1302" s="18">
        <v>2771406.99</v>
      </c>
      <c r="E1302" s="19"/>
      <c r="F1302" s="15">
        <f t="shared" si="20"/>
        <v>-2771406.99</v>
      </c>
    </row>
    <row r="1303" spans="1:6" x14ac:dyDescent="0.2">
      <c r="A1303" s="91">
        <v>45642</v>
      </c>
      <c r="B1303" s="43">
        <v>261526</v>
      </c>
      <c r="C1303" s="20" t="s">
        <v>46</v>
      </c>
      <c r="D1303" s="18">
        <v>2971286.58</v>
      </c>
      <c r="E1303" s="19"/>
      <c r="F1303" s="15">
        <f t="shared" si="20"/>
        <v>-2971286.58</v>
      </c>
    </row>
    <row r="1304" spans="1:6" x14ac:dyDescent="0.2">
      <c r="A1304" s="91">
        <v>45642</v>
      </c>
      <c r="B1304" s="43">
        <v>328187</v>
      </c>
      <c r="C1304" s="20" t="s">
        <v>46</v>
      </c>
      <c r="D1304" s="18">
        <v>517354.04</v>
      </c>
      <c r="E1304" s="19"/>
      <c r="F1304" s="15">
        <f t="shared" si="20"/>
        <v>-517354.04</v>
      </c>
    </row>
    <row r="1305" spans="1:6" x14ac:dyDescent="0.2">
      <c r="A1305" s="91">
        <v>45673</v>
      </c>
      <c r="B1305" s="46">
        <v>93740</v>
      </c>
      <c r="C1305" s="9" t="s">
        <v>46</v>
      </c>
      <c r="D1305" s="48">
        <v>48384.92</v>
      </c>
      <c r="E1305" s="49"/>
      <c r="F1305" s="15">
        <f t="shared" si="20"/>
        <v>-48384.92</v>
      </c>
    </row>
    <row r="1306" spans="1:6" x14ac:dyDescent="0.2">
      <c r="A1306" s="91">
        <v>45673</v>
      </c>
      <c r="B1306" s="44">
        <v>93741</v>
      </c>
      <c r="C1306" s="28" t="s">
        <v>46</v>
      </c>
      <c r="D1306" s="23">
        <v>586661.63</v>
      </c>
      <c r="E1306" s="24"/>
      <c r="F1306" s="15">
        <f t="shared" si="20"/>
        <v>-586661.63</v>
      </c>
    </row>
    <row r="1307" spans="1:6" x14ac:dyDescent="0.2">
      <c r="A1307" s="91">
        <v>45673</v>
      </c>
      <c r="B1307" s="43">
        <v>142274</v>
      </c>
      <c r="C1307" s="20" t="s">
        <v>46</v>
      </c>
      <c r="D1307" s="18">
        <v>267992.7</v>
      </c>
      <c r="E1307" s="19"/>
      <c r="F1307" s="15">
        <f t="shared" si="20"/>
        <v>-267992.7</v>
      </c>
    </row>
    <row r="1308" spans="1:6" x14ac:dyDescent="0.2">
      <c r="A1308" s="91">
        <v>45673</v>
      </c>
      <c r="B1308" s="43">
        <v>227434</v>
      </c>
      <c r="C1308" s="20" t="s">
        <v>46</v>
      </c>
      <c r="D1308" s="18">
        <v>3850125.79</v>
      </c>
      <c r="E1308" s="19"/>
      <c r="F1308" s="15">
        <f t="shared" si="20"/>
        <v>-3850125.79</v>
      </c>
    </row>
    <row r="1309" spans="1:6" x14ac:dyDescent="0.2">
      <c r="A1309" s="91">
        <v>45673</v>
      </c>
      <c r="B1309" s="43">
        <v>291249</v>
      </c>
      <c r="C1309" s="20" t="s">
        <v>46</v>
      </c>
      <c r="D1309" s="18">
        <v>456340.62</v>
      </c>
      <c r="E1309" s="19"/>
      <c r="F1309" s="15">
        <f t="shared" si="20"/>
        <v>-456340.62</v>
      </c>
    </row>
    <row r="1310" spans="1:6" x14ac:dyDescent="0.2">
      <c r="A1310" s="91">
        <v>45673</v>
      </c>
      <c r="B1310" s="43">
        <v>227435</v>
      </c>
      <c r="C1310" s="20" t="s">
        <v>46</v>
      </c>
      <c r="D1310" s="18">
        <v>2680479.87</v>
      </c>
      <c r="E1310" s="19"/>
      <c r="F1310" s="15">
        <f t="shared" si="20"/>
        <v>-2680479.87</v>
      </c>
    </row>
    <row r="1311" spans="1:6" x14ac:dyDescent="0.2">
      <c r="A1311" s="91">
        <v>45673</v>
      </c>
      <c r="B1311" s="43">
        <v>227436</v>
      </c>
      <c r="C1311" s="20" t="s">
        <v>46</v>
      </c>
      <c r="D1311" s="18">
        <v>2701040.94</v>
      </c>
      <c r="E1311" s="19"/>
      <c r="F1311" s="15">
        <f t="shared" si="20"/>
        <v>-2701040.94</v>
      </c>
    </row>
    <row r="1312" spans="1:6" x14ac:dyDescent="0.2">
      <c r="A1312" s="91">
        <v>45673</v>
      </c>
      <c r="B1312" s="43">
        <v>227437</v>
      </c>
      <c r="C1312" s="20" t="s">
        <v>46</v>
      </c>
      <c r="D1312" s="18">
        <v>2771406.99</v>
      </c>
      <c r="E1312" s="19"/>
      <c r="F1312" s="15">
        <f t="shared" si="20"/>
        <v>-2771406.99</v>
      </c>
    </row>
    <row r="1313" spans="1:6" x14ac:dyDescent="0.2">
      <c r="A1313" s="91">
        <v>45673</v>
      </c>
      <c r="B1313" s="43">
        <v>227438</v>
      </c>
      <c r="C1313" s="20" t="s">
        <v>46</v>
      </c>
      <c r="D1313" s="18">
        <v>2971286.58</v>
      </c>
      <c r="E1313" s="19"/>
      <c r="F1313" s="15">
        <f t="shared" si="20"/>
        <v>-2971286.58</v>
      </c>
    </row>
    <row r="1314" spans="1:6" x14ac:dyDescent="0.2">
      <c r="A1314" s="91">
        <v>45684</v>
      </c>
      <c r="B1314" s="43">
        <v>52284</v>
      </c>
      <c r="C1314" s="20" t="s">
        <v>46</v>
      </c>
      <c r="D1314" s="18">
        <v>3144544.23</v>
      </c>
      <c r="E1314" s="19"/>
      <c r="F1314" s="15">
        <f t="shared" si="20"/>
        <v>-3144544.23</v>
      </c>
    </row>
    <row r="1315" spans="1:6" x14ac:dyDescent="0.2">
      <c r="A1315" s="91">
        <v>45705</v>
      </c>
      <c r="B1315" s="43">
        <v>109951</v>
      </c>
      <c r="C1315" s="20" t="s">
        <v>46</v>
      </c>
      <c r="D1315" s="18">
        <v>48824.41</v>
      </c>
      <c r="E1315" s="19"/>
      <c r="F1315" s="15">
        <f t="shared" si="20"/>
        <v>-48824.41</v>
      </c>
    </row>
    <row r="1316" spans="1:6" x14ac:dyDescent="0.2">
      <c r="A1316" s="91">
        <v>45705</v>
      </c>
      <c r="B1316" s="43">
        <v>109952</v>
      </c>
      <c r="C1316" s="20" t="s">
        <v>46</v>
      </c>
      <c r="D1316" s="18">
        <v>591990.4</v>
      </c>
      <c r="E1316" s="19"/>
      <c r="F1316" s="15">
        <f t="shared" si="20"/>
        <v>-591990.4</v>
      </c>
    </row>
    <row r="1317" spans="1:6" x14ac:dyDescent="0.2">
      <c r="A1317" s="91">
        <v>45705</v>
      </c>
      <c r="B1317" s="43">
        <v>157795</v>
      </c>
      <c r="C1317" s="20" t="s">
        <v>46</v>
      </c>
      <c r="D1317" s="18">
        <v>259570.14</v>
      </c>
      <c r="E1317" s="19"/>
      <c r="F1317" s="15">
        <f t="shared" si="20"/>
        <v>-259570.14</v>
      </c>
    </row>
    <row r="1318" spans="1:6" x14ac:dyDescent="0.2">
      <c r="A1318" s="91">
        <v>45705</v>
      </c>
      <c r="B1318" s="43">
        <v>240407</v>
      </c>
      <c r="C1318" s="20" t="s">
        <v>46</v>
      </c>
      <c r="D1318" s="18">
        <v>2680479.87</v>
      </c>
      <c r="E1318" s="19"/>
      <c r="F1318" s="15">
        <f t="shared" si="20"/>
        <v>-2680479.87</v>
      </c>
    </row>
    <row r="1319" spans="1:6" x14ac:dyDescent="0.2">
      <c r="A1319" s="91">
        <v>45705</v>
      </c>
      <c r="B1319" s="43">
        <v>240408</v>
      </c>
      <c r="C1319" s="20" t="s">
        <v>46</v>
      </c>
      <c r="D1319" s="18">
        <v>2701040.94</v>
      </c>
      <c r="E1319" s="19"/>
      <c r="F1319" s="15">
        <f t="shared" si="20"/>
        <v>-2701040.94</v>
      </c>
    </row>
    <row r="1320" spans="1:6" x14ac:dyDescent="0.2">
      <c r="A1320" s="91">
        <v>45705</v>
      </c>
      <c r="B1320" s="43">
        <v>240409</v>
      </c>
      <c r="C1320" s="20" t="s">
        <v>46</v>
      </c>
      <c r="D1320" s="18">
        <v>2771406.99</v>
      </c>
      <c r="E1320" s="19"/>
      <c r="F1320" s="15">
        <f t="shared" si="20"/>
        <v>-2771406.99</v>
      </c>
    </row>
    <row r="1321" spans="1:6" x14ac:dyDescent="0.2">
      <c r="A1321" s="91">
        <v>45705</v>
      </c>
      <c r="B1321" s="43">
        <v>240410</v>
      </c>
      <c r="C1321" s="20" t="s">
        <v>46</v>
      </c>
      <c r="D1321" s="18">
        <v>2971286.58</v>
      </c>
      <c r="E1321" s="19"/>
      <c r="F1321" s="15">
        <f t="shared" si="20"/>
        <v>-2971286.58</v>
      </c>
    </row>
    <row r="1322" spans="1:6" x14ac:dyDescent="0.2">
      <c r="A1322" s="91">
        <v>45705</v>
      </c>
      <c r="B1322" s="43">
        <v>240411</v>
      </c>
      <c r="C1322" s="20" t="s">
        <v>46</v>
      </c>
      <c r="D1322" s="18">
        <v>3068147.36</v>
      </c>
      <c r="E1322" s="19"/>
      <c r="F1322" s="15">
        <f t="shared" si="20"/>
        <v>-3068147.36</v>
      </c>
    </row>
    <row r="1323" spans="1:6" x14ac:dyDescent="0.2">
      <c r="A1323" s="91">
        <v>45705</v>
      </c>
      <c r="B1323" s="43">
        <v>240412</v>
      </c>
      <c r="C1323" s="20" t="s">
        <v>46</v>
      </c>
      <c r="D1323" s="18">
        <v>4730355.55</v>
      </c>
      <c r="E1323" s="19"/>
      <c r="F1323" s="15">
        <f t="shared" si="20"/>
        <v>-4730355.55</v>
      </c>
    </row>
    <row r="1324" spans="1:6" x14ac:dyDescent="0.2">
      <c r="A1324" s="91">
        <v>45705</v>
      </c>
      <c r="B1324" s="43">
        <v>301144</v>
      </c>
      <c r="C1324" s="20" t="s">
        <v>46</v>
      </c>
      <c r="D1324" s="18">
        <v>450308.01</v>
      </c>
      <c r="E1324" s="19"/>
      <c r="F1324" s="15">
        <f t="shared" si="20"/>
        <v>-450308.01</v>
      </c>
    </row>
    <row r="1325" spans="1:6" x14ac:dyDescent="0.2">
      <c r="A1325" s="91">
        <v>45733</v>
      </c>
      <c r="B1325" s="43">
        <v>178768</v>
      </c>
      <c r="C1325" s="20" t="s">
        <v>46</v>
      </c>
      <c r="D1325" s="18">
        <v>49263.9</v>
      </c>
      <c r="E1325" s="19"/>
      <c r="F1325" s="15">
        <f t="shared" si="20"/>
        <v>-49263.9</v>
      </c>
    </row>
    <row r="1326" spans="1:6" x14ac:dyDescent="0.2">
      <c r="A1326" s="91">
        <v>45733</v>
      </c>
      <c r="B1326" s="43">
        <v>178769</v>
      </c>
      <c r="C1326" s="20" t="s">
        <v>46</v>
      </c>
      <c r="D1326" s="18">
        <v>597319.16</v>
      </c>
      <c r="E1326" s="19"/>
      <c r="F1326" s="15">
        <f t="shared" si="20"/>
        <v>-597319.16</v>
      </c>
    </row>
    <row r="1327" spans="1:6" x14ac:dyDescent="0.2">
      <c r="A1327" s="91">
        <v>45733</v>
      </c>
      <c r="B1327" s="43">
        <v>225949</v>
      </c>
      <c r="C1327" s="20" t="s">
        <v>46</v>
      </c>
      <c r="D1327" s="18">
        <v>251147.04</v>
      </c>
      <c r="E1327" s="19"/>
      <c r="F1327" s="15">
        <f t="shared" si="20"/>
        <v>-251147.04</v>
      </c>
    </row>
    <row r="1328" spans="1:6" x14ac:dyDescent="0.2">
      <c r="A1328" s="91">
        <v>45733</v>
      </c>
      <c r="B1328" s="43">
        <v>365576</v>
      </c>
      <c r="C1328" s="20" t="s">
        <v>46</v>
      </c>
      <c r="D1328" s="18">
        <v>444275.39</v>
      </c>
      <c r="E1328" s="19"/>
      <c r="F1328" s="15">
        <f t="shared" si="20"/>
        <v>-444275.39</v>
      </c>
    </row>
    <row r="1329" spans="1:6" x14ac:dyDescent="0.2">
      <c r="A1329" s="91">
        <v>45742</v>
      </c>
      <c r="B1329" s="43">
        <v>52322</v>
      </c>
      <c r="C1329" s="20" t="s">
        <v>46</v>
      </c>
      <c r="D1329" s="18">
        <v>2737054.82</v>
      </c>
      <c r="E1329" s="19"/>
      <c r="F1329" s="15">
        <f t="shared" si="20"/>
        <v>-2737054.82</v>
      </c>
    </row>
    <row r="1330" spans="1:6" x14ac:dyDescent="0.2">
      <c r="A1330" s="91">
        <v>45742</v>
      </c>
      <c r="B1330" s="43">
        <v>52323</v>
      </c>
      <c r="C1330" s="20" t="s">
        <v>46</v>
      </c>
      <c r="D1330" s="18">
        <v>2808359.08</v>
      </c>
      <c r="E1330" s="19"/>
      <c r="F1330" s="15">
        <f t="shared" si="20"/>
        <v>-2808359.08</v>
      </c>
    </row>
    <row r="1331" spans="1:6" x14ac:dyDescent="0.2">
      <c r="A1331" s="91">
        <v>45742</v>
      </c>
      <c r="B1331" s="46">
        <v>52324</v>
      </c>
      <c r="C1331" s="9" t="s">
        <v>46</v>
      </c>
      <c r="D1331" s="48">
        <v>3010903.73</v>
      </c>
      <c r="E1331" s="49"/>
      <c r="F1331" s="15">
        <f t="shared" si="20"/>
        <v>-3010903.73</v>
      </c>
    </row>
    <row r="1332" spans="1:6" x14ac:dyDescent="0.2">
      <c r="A1332" s="91">
        <v>45742</v>
      </c>
      <c r="B1332" s="44">
        <v>52325</v>
      </c>
      <c r="C1332" s="28" t="s">
        <v>46</v>
      </c>
      <c r="D1332" s="23">
        <v>3109055.99</v>
      </c>
      <c r="E1332" s="24"/>
      <c r="F1332" s="15">
        <f t="shared" si="20"/>
        <v>-3109055.99</v>
      </c>
    </row>
    <row r="1333" spans="1:6" x14ac:dyDescent="0.2">
      <c r="A1333" s="91">
        <v>45742</v>
      </c>
      <c r="B1333" s="43">
        <v>52326</v>
      </c>
      <c r="C1333" s="20" t="s">
        <v>46</v>
      </c>
      <c r="D1333" s="18">
        <v>4793426.96</v>
      </c>
      <c r="E1333" s="19"/>
      <c r="F1333" s="15">
        <f t="shared" si="20"/>
        <v>-4793426.96</v>
      </c>
    </row>
    <row r="1334" spans="1:6" x14ac:dyDescent="0.2">
      <c r="A1334" s="91">
        <v>45742</v>
      </c>
      <c r="B1334" s="43">
        <v>52327</v>
      </c>
      <c r="C1334" s="20" t="s">
        <v>46</v>
      </c>
      <c r="D1334" s="18">
        <v>3165568.11</v>
      </c>
      <c r="E1334" s="19"/>
      <c r="F1334" s="15">
        <f t="shared" si="20"/>
        <v>-3165568.11</v>
      </c>
    </row>
    <row r="1335" spans="1:6" x14ac:dyDescent="0.2">
      <c r="A1335" s="91">
        <v>45763</v>
      </c>
      <c r="B1335" s="43">
        <v>94081</v>
      </c>
      <c r="C1335" s="20" t="s">
        <v>46</v>
      </c>
      <c r="D1335" s="18">
        <v>49703.39</v>
      </c>
      <c r="E1335" s="19"/>
      <c r="F1335" s="15">
        <f t="shared" si="20"/>
        <v>-49703.39</v>
      </c>
    </row>
    <row r="1336" spans="1:6" x14ac:dyDescent="0.2">
      <c r="A1336" s="91">
        <v>45763</v>
      </c>
      <c r="B1336" s="43">
        <v>94082</v>
      </c>
      <c r="C1336" s="20" t="s">
        <v>46</v>
      </c>
      <c r="D1336" s="18">
        <v>602647.92000000004</v>
      </c>
      <c r="E1336" s="19"/>
      <c r="F1336" s="15">
        <f t="shared" si="20"/>
        <v>-602647.92000000004</v>
      </c>
    </row>
    <row r="1337" spans="1:6" x14ac:dyDescent="0.2">
      <c r="A1337" s="91">
        <v>45763</v>
      </c>
      <c r="B1337" s="43">
        <v>206822</v>
      </c>
      <c r="C1337" s="20" t="s">
        <v>46</v>
      </c>
      <c r="D1337" s="18">
        <v>2771406.99</v>
      </c>
      <c r="E1337" s="19"/>
      <c r="F1337" s="15">
        <f t="shared" si="20"/>
        <v>-2771406.99</v>
      </c>
    </row>
    <row r="1338" spans="1:6" x14ac:dyDescent="0.2">
      <c r="A1338" s="91">
        <v>45763</v>
      </c>
      <c r="B1338" s="43">
        <v>206823</v>
      </c>
      <c r="C1338" s="20" t="s">
        <v>46</v>
      </c>
      <c r="D1338" s="18">
        <v>2971286.58</v>
      </c>
      <c r="E1338" s="19"/>
      <c r="F1338" s="15">
        <f t="shared" si="20"/>
        <v>-2971286.58</v>
      </c>
    </row>
    <row r="1339" spans="1:6" x14ac:dyDescent="0.2">
      <c r="A1339" s="91">
        <v>45763</v>
      </c>
      <c r="B1339" s="43">
        <v>206824</v>
      </c>
      <c r="C1339" s="20" t="s">
        <v>46</v>
      </c>
      <c r="D1339" s="18">
        <v>3068147.36</v>
      </c>
      <c r="E1339" s="19"/>
      <c r="F1339" s="15">
        <f t="shared" si="20"/>
        <v>-3068147.36</v>
      </c>
    </row>
    <row r="1340" spans="1:6" x14ac:dyDescent="0.2">
      <c r="A1340" s="91">
        <v>45763</v>
      </c>
      <c r="B1340" s="43">
        <v>206825</v>
      </c>
      <c r="C1340" s="20" t="s">
        <v>46</v>
      </c>
      <c r="D1340" s="18">
        <v>4730355.55</v>
      </c>
      <c r="E1340" s="19"/>
      <c r="F1340" s="15">
        <f t="shared" si="20"/>
        <v>-4730355.55</v>
      </c>
    </row>
    <row r="1341" spans="1:6" x14ac:dyDescent="0.2">
      <c r="A1341" s="91">
        <v>45763</v>
      </c>
      <c r="B1341" s="43">
        <v>206826</v>
      </c>
      <c r="C1341" s="20" t="s">
        <v>46</v>
      </c>
      <c r="D1341" s="18">
        <v>3123915.9</v>
      </c>
      <c r="E1341" s="19"/>
      <c r="F1341" s="15">
        <f t="shared" si="20"/>
        <v>-3123915.9</v>
      </c>
    </row>
    <row r="1342" spans="1:6" x14ac:dyDescent="0.2">
      <c r="A1342" s="91">
        <v>45763</v>
      </c>
      <c r="B1342" s="43">
        <v>206827</v>
      </c>
      <c r="C1342" s="20" t="s">
        <v>46</v>
      </c>
      <c r="D1342" s="18">
        <v>3107492.81</v>
      </c>
      <c r="E1342" s="19"/>
      <c r="F1342" s="15">
        <f t="shared" si="20"/>
        <v>-3107492.81</v>
      </c>
    </row>
    <row r="1343" spans="1:6" x14ac:dyDescent="0.2">
      <c r="A1343" s="91">
        <v>45763</v>
      </c>
      <c r="B1343" s="43">
        <v>265250</v>
      </c>
      <c r="C1343" s="20" t="s">
        <v>46</v>
      </c>
      <c r="D1343" s="18">
        <v>413195.97</v>
      </c>
      <c r="E1343" s="19"/>
      <c r="F1343" s="15">
        <f t="shared" si="20"/>
        <v>-413195.97</v>
      </c>
    </row>
    <row r="1344" spans="1:6" x14ac:dyDescent="0.2">
      <c r="A1344" s="91">
        <v>45793</v>
      </c>
      <c r="B1344" s="43">
        <v>87663</v>
      </c>
      <c r="C1344" s="20" t="s">
        <v>46</v>
      </c>
      <c r="D1344" s="18">
        <v>50142.79</v>
      </c>
      <c r="E1344" s="19"/>
      <c r="F1344" s="15">
        <f t="shared" si="20"/>
        <v>-50142.79</v>
      </c>
    </row>
    <row r="1345" spans="1:6" x14ac:dyDescent="0.2">
      <c r="A1345" s="91">
        <v>45793</v>
      </c>
      <c r="B1345" s="43">
        <v>87664</v>
      </c>
      <c r="C1345" s="20" t="s">
        <v>46</v>
      </c>
      <c r="D1345" s="18">
        <v>607976.68000000005</v>
      </c>
      <c r="E1345" s="19"/>
      <c r="F1345" s="15">
        <f t="shared" si="20"/>
        <v>-607976.68000000005</v>
      </c>
    </row>
    <row r="1346" spans="1:6" x14ac:dyDescent="0.2">
      <c r="A1346" s="91">
        <v>45793</v>
      </c>
      <c r="B1346" s="43">
        <v>194997</v>
      </c>
      <c r="C1346" s="20" t="s">
        <v>46</v>
      </c>
      <c r="D1346" s="18">
        <v>2971286.58</v>
      </c>
      <c r="E1346" s="19"/>
      <c r="F1346" s="15">
        <f t="shared" si="20"/>
        <v>-2971286.58</v>
      </c>
    </row>
    <row r="1347" spans="1:6" x14ac:dyDescent="0.2">
      <c r="A1347" s="91">
        <v>45793</v>
      </c>
      <c r="B1347" s="43">
        <v>194998</v>
      </c>
      <c r="C1347" s="20" t="s">
        <v>46</v>
      </c>
      <c r="D1347" s="18">
        <v>3068147.36</v>
      </c>
      <c r="E1347" s="19"/>
      <c r="F1347" s="15">
        <f t="shared" ref="F1347:F1410" si="21">+E1347-D1347</f>
        <v>-3068147.36</v>
      </c>
    </row>
    <row r="1348" spans="1:6" x14ac:dyDescent="0.2">
      <c r="A1348" s="91">
        <v>45793</v>
      </c>
      <c r="B1348" s="43">
        <v>194999</v>
      </c>
      <c r="C1348" s="20" t="s">
        <v>46</v>
      </c>
      <c r="D1348" s="18">
        <v>4730355.55</v>
      </c>
      <c r="E1348" s="19"/>
      <c r="F1348" s="15">
        <f t="shared" si="21"/>
        <v>-4730355.55</v>
      </c>
    </row>
    <row r="1349" spans="1:6" x14ac:dyDescent="0.2">
      <c r="A1349" s="91">
        <v>45793</v>
      </c>
      <c r="B1349" s="43">
        <v>195000</v>
      </c>
      <c r="C1349" s="20" t="s">
        <v>46</v>
      </c>
      <c r="D1349" s="18">
        <v>3123915.9</v>
      </c>
      <c r="E1349" s="19"/>
      <c r="F1349" s="15">
        <f t="shared" si="21"/>
        <v>-3123915.9</v>
      </c>
    </row>
    <row r="1350" spans="1:6" x14ac:dyDescent="0.2">
      <c r="A1350" s="91">
        <v>45793</v>
      </c>
      <c r="B1350" s="43">
        <v>195001</v>
      </c>
      <c r="C1350" s="20" t="s">
        <v>46</v>
      </c>
      <c r="D1350" s="18">
        <v>3107492.81</v>
      </c>
      <c r="E1350" s="19"/>
      <c r="F1350" s="15">
        <f t="shared" si="21"/>
        <v>-3107492.81</v>
      </c>
    </row>
    <row r="1351" spans="1:6" x14ac:dyDescent="0.2">
      <c r="A1351" s="91">
        <v>45793</v>
      </c>
      <c r="B1351" s="43">
        <v>252721</v>
      </c>
      <c r="C1351" s="20" t="s">
        <v>46</v>
      </c>
      <c r="D1351" s="18">
        <v>407774.25</v>
      </c>
      <c r="E1351" s="19"/>
      <c r="F1351" s="15">
        <f t="shared" si="21"/>
        <v>-407774.25</v>
      </c>
    </row>
    <row r="1352" spans="1:6" x14ac:dyDescent="0.2">
      <c r="A1352" s="91">
        <v>45825</v>
      </c>
      <c r="B1352" s="43">
        <v>149814</v>
      </c>
      <c r="C1352" s="20" t="s">
        <v>46</v>
      </c>
      <c r="D1352" s="18">
        <v>613305.44999999995</v>
      </c>
      <c r="E1352" s="19"/>
      <c r="F1352" s="15">
        <f t="shared" si="21"/>
        <v>-613305.44999999995</v>
      </c>
    </row>
    <row r="1353" spans="1:6" x14ac:dyDescent="0.2">
      <c r="A1353" s="91">
        <v>45825</v>
      </c>
      <c r="B1353" s="43">
        <v>258179</v>
      </c>
      <c r="C1353" s="20" t="s">
        <v>46</v>
      </c>
      <c r="D1353" s="18">
        <v>3068147.36</v>
      </c>
      <c r="E1353" s="19"/>
      <c r="F1353" s="15">
        <f t="shared" si="21"/>
        <v>-3068147.36</v>
      </c>
    </row>
    <row r="1354" spans="1:6" x14ac:dyDescent="0.2">
      <c r="A1354" s="91">
        <v>45825</v>
      </c>
      <c r="B1354" s="43">
        <v>258180</v>
      </c>
      <c r="C1354" s="20" t="s">
        <v>46</v>
      </c>
      <c r="D1354" s="18">
        <v>4730355.55</v>
      </c>
      <c r="E1354" s="19"/>
      <c r="F1354" s="15">
        <f t="shared" si="21"/>
        <v>-4730355.55</v>
      </c>
    </row>
    <row r="1355" spans="1:6" x14ac:dyDescent="0.2">
      <c r="A1355" s="91">
        <v>45825</v>
      </c>
      <c r="B1355" s="43">
        <v>258181</v>
      </c>
      <c r="C1355" s="20" t="s">
        <v>46</v>
      </c>
      <c r="D1355" s="18">
        <v>3123915.9</v>
      </c>
      <c r="E1355" s="19"/>
      <c r="F1355" s="15">
        <f t="shared" si="21"/>
        <v>-3123915.9</v>
      </c>
    </row>
    <row r="1356" spans="1:6" x14ac:dyDescent="0.2">
      <c r="A1356" s="91">
        <v>45825</v>
      </c>
      <c r="B1356" s="43">
        <v>258182</v>
      </c>
      <c r="C1356" s="20" t="s">
        <v>46</v>
      </c>
      <c r="D1356" s="18">
        <v>3107492.81</v>
      </c>
      <c r="E1356" s="19"/>
      <c r="F1356" s="15">
        <f t="shared" si="21"/>
        <v>-3107492.81</v>
      </c>
    </row>
    <row r="1357" spans="1:6" x14ac:dyDescent="0.2">
      <c r="A1357" s="91">
        <v>45825</v>
      </c>
      <c r="B1357" s="43">
        <v>316198</v>
      </c>
      <c r="C1357" s="20" t="s">
        <v>46</v>
      </c>
      <c r="D1357" s="18">
        <v>402352.53</v>
      </c>
      <c r="E1357" s="19"/>
      <c r="F1357" s="15">
        <f t="shared" si="21"/>
        <v>-402352.53</v>
      </c>
    </row>
    <row r="1358" spans="1:6" x14ac:dyDescent="0.2">
      <c r="A1358" s="91">
        <v>45825</v>
      </c>
      <c r="B1358" s="43">
        <v>340069</v>
      </c>
      <c r="C1358" s="20" t="s">
        <v>46</v>
      </c>
      <c r="D1358" s="18">
        <v>5502364.04</v>
      </c>
      <c r="E1358" s="19"/>
      <c r="F1358" s="15">
        <f t="shared" si="21"/>
        <v>-5502364.04</v>
      </c>
    </row>
    <row r="1359" spans="1:6" x14ac:dyDescent="0.2">
      <c r="A1359" s="91">
        <v>45825</v>
      </c>
      <c r="B1359" s="46">
        <v>258183</v>
      </c>
      <c r="C1359" s="9" t="s">
        <v>46</v>
      </c>
      <c r="D1359" s="48">
        <v>6836631.8899999997</v>
      </c>
      <c r="E1359" s="49"/>
      <c r="F1359" s="15">
        <f t="shared" si="21"/>
        <v>-6836631.8899999997</v>
      </c>
    </row>
    <row r="1360" spans="1:6" x14ac:dyDescent="0.2">
      <c r="A1360" s="91">
        <v>45854</v>
      </c>
      <c r="B1360" s="44">
        <v>67201</v>
      </c>
      <c r="C1360" s="28" t="s">
        <v>46</v>
      </c>
      <c r="D1360" s="23">
        <v>618634.22</v>
      </c>
      <c r="E1360" s="24"/>
      <c r="F1360" s="15">
        <f t="shared" si="21"/>
        <v>-618634.22</v>
      </c>
    </row>
    <row r="1361" spans="1:8" x14ac:dyDescent="0.2">
      <c r="A1361" s="91">
        <v>45854</v>
      </c>
      <c r="B1361" s="43">
        <v>241141</v>
      </c>
      <c r="C1361" s="20" t="s">
        <v>46</v>
      </c>
      <c r="D1361" s="18">
        <v>418694.05</v>
      </c>
      <c r="E1361" s="19"/>
      <c r="F1361" s="15">
        <f t="shared" si="21"/>
        <v>-418694.05</v>
      </c>
    </row>
    <row r="1362" spans="1:8" x14ac:dyDescent="0.2">
      <c r="A1362" s="91">
        <v>45895</v>
      </c>
      <c r="B1362" s="43">
        <v>59539</v>
      </c>
      <c r="C1362" s="20" t="s">
        <v>46</v>
      </c>
      <c r="D1362" s="18">
        <v>416482.69</v>
      </c>
      <c r="E1362" s="19"/>
      <c r="F1362" s="15">
        <f t="shared" si="21"/>
        <v>-416482.69</v>
      </c>
    </row>
    <row r="1363" spans="1:8" x14ac:dyDescent="0.2">
      <c r="A1363" s="91">
        <v>45895</v>
      </c>
      <c r="B1363" s="43">
        <v>31610</v>
      </c>
      <c r="C1363" s="20" t="s">
        <v>46</v>
      </c>
      <c r="D1363" s="18">
        <v>780172.04</v>
      </c>
      <c r="E1363" s="19"/>
      <c r="F1363" s="15">
        <f t="shared" si="21"/>
        <v>-780172.04</v>
      </c>
    </row>
    <row r="1364" spans="1:8" x14ac:dyDescent="0.2">
      <c r="A1364" s="91">
        <v>45681</v>
      </c>
      <c r="B1364" s="43">
        <v>18489575</v>
      </c>
      <c r="C1364" s="20" t="s">
        <v>273</v>
      </c>
      <c r="D1364" s="18">
        <v>22453.599999999999</v>
      </c>
      <c r="E1364" s="19"/>
      <c r="F1364" s="15">
        <f t="shared" si="21"/>
        <v>-22453.599999999999</v>
      </c>
    </row>
    <row r="1365" spans="1:8" x14ac:dyDescent="0.2">
      <c r="A1365" s="91">
        <v>45800</v>
      </c>
      <c r="B1365" s="43">
        <v>18042074</v>
      </c>
      <c r="C1365" s="20" t="s">
        <v>456</v>
      </c>
      <c r="D1365" s="18">
        <v>600000</v>
      </c>
      <c r="E1365" s="19"/>
      <c r="F1365" s="15">
        <f t="shared" si="21"/>
        <v>-600000</v>
      </c>
    </row>
    <row r="1366" spans="1:8" x14ac:dyDescent="0.2">
      <c r="A1366" s="91">
        <v>45716</v>
      </c>
      <c r="B1366" s="43">
        <v>16107070</v>
      </c>
      <c r="C1366" s="20" t="s">
        <v>325</v>
      </c>
      <c r="D1366" s="18">
        <v>1500000</v>
      </c>
      <c r="E1366" s="19"/>
      <c r="F1366" s="15">
        <f t="shared" si="21"/>
        <v>-1500000</v>
      </c>
    </row>
    <row r="1367" spans="1:8" x14ac:dyDescent="0.2">
      <c r="A1367" s="91">
        <v>45707</v>
      </c>
      <c r="B1367" s="43">
        <v>15134858</v>
      </c>
      <c r="C1367" s="20" t="s">
        <v>312</v>
      </c>
      <c r="D1367" s="18">
        <v>354497</v>
      </c>
      <c r="E1367" s="19"/>
      <c r="F1367" s="15">
        <f t="shared" si="21"/>
        <v>-354497</v>
      </c>
    </row>
    <row r="1368" spans="1:8" x14ac:dyDescent="0.2">
      <c r="A1368" s="91">
        <v>45742</v>
      </c>
      <c r="B1368" s="43">
        <v>17316256</v>
      </c>
      <c r="C1368" s="20" t="s">
        <v>363</v>
      </c>
      <c r="D1368" s="18">
        <v>484904</v>
      </c>
      <c r="E1368" s="19"/>
      <c r="F1368" s="15">
        <f t="shared" si="21"/>
        <v>-484904</v>
      </c>
    </row>
    <row r="1369" spans="1:8" x14ac:dyDescent="0.2">
      <c r="A1369" s="91">
        <v>45841</v>
      </c>
      <c r="B1369" s="43">
        <v>11240531</v>
      </c>
      <c r="C1369" s="20" t="s">
        <v>519</v>
      </c>
      <c r="D1369" s="18">
        <v>278300</v>
      </c>
      <c r="E1369" s="19"/>
      <c r="F1369" s="15">
        <f t="shared" si="21"/>
        <v>-278300</v>
      </c>
    </row>
    <row r="1370" spans="1:8" x14ac:dyDescent="0.2">
      <c r="A1370" s="91">
        <v>45845</v>
      </c>
      <c r="B1370" s="43">
        <v>18190568</v>
      </c>
      <c r="C1370" s="20" t="s">
        <v>525</v>
      </c>
      <c r="D1370" s="18">
        <v>220003</v>
      </c>
      <c r="E1370" s="19"/>
      <c r="F1370" s="15">
        <f t="shared" si="21"/>
        <v>-220003</v>
      </c>
    </row>
    <row r="1371" spans="1:8" x14ac:dyDescent="0.2">
      <c r="A1371" s="91">
        <v>45772</v>
      </c>
      <c r="B1371" s="43">
        <v>15044643</v>
      </c>
      <c r="C1371" s="20" t="s">
        <v>408</v>
      </c>
      <c r="D1371" s="18">
        <v>250000</v>
      </c>
      <c r="E1371" s="19"/>
      <c r="F1371" s="15">
        <f t="shared" si="21"/>
        <v>-250000</v>
      </c>
    </row>
    <row r="1372" spans="1:8" x14ac:dyDescent="0.2">
      <c r="A1372" s="91">
        <v>45772</v>
      </c>
      <c r="B1372" s="43">
        <v>15019699</v>
      </c>
      <c r="C1372" s="20" t="s">
        <v>408</v>
      </c>
      <c r="D1372" s="18">
        <v>250000</v>
      </c>
      <c r="E1372" s="19"/>
      <c r="F1372" s="15">
        <f t="shared" si="21"/>
        <v>-250000</v>
      </c>
    </row>
    <row r="1373" spans="1:8" x14ac:dyDescent="0.2">
      <c r="A1373" s="91">
        <v>45544</v>
      </c>
      <c r="B1373" s="16">
        <v>15369532</v>
      </c>
      <c r="C1373" s="20" t="s">
        <v>32</v>
      </c>
      <c r="D1373" s="18">
        <v>68500</v>
      </c>
      <c r="E1373" s="19"/>
      <c r="F1373" s="15">
        <f t="shared" si="21"/>
        <v>-68500</v>
      </c>
      <c r="H1373" s="10"/>
    </row>
    <row r="1374" spans="1:8" x14ac:dyDescent="0.2">
      <c r="A1374" s="91">
        <v>45681</v>
      </c>
      <c r="B1374" s="66">
        <v>18413333</v>
      </c>
      <c r="C1374" s="83" t="s">
        <v>274</v>
      </c>
      <c r="D1374" s="64">
        <v>87120</v>
      </c>
      <c r="E1374" s="35"/>
      <c r="F1374" s="15">
        <f t="shared" si="21"/>
        <v>-87120</v>
      </c>
    </row>
    <row r="1375" spans="1:8" x14ac:dyDescent="0.2">
      <c r="A1375" s="92">
        <v>45583</v>
      </c>
      <c r="B1375" s="70">
        <v>12067530</v>
      </c>
      <c r="C1375" s="9" t="s">
        <v>124</v>
      </c>
      <c r="D1375" s="63">
        <v>63000.01</v>
      </c>
      <c r="E1375" s="49"/>
      <c r="F1375" s="15">
        <f t="shared" si="21"/>
        <v>-63000.01</v>
      </c>
    </row>
    <row r="1376" spans="1:8" x14ac:dyDescent="0.2">
      <c r="A1376" s="92">
        <v>45852</v>
      </c>
      <c r="B1376" s="70">
        <v>16357216</v>
      </c>
      <c r="C1376" s="9" t="s">
        <v>532</v>
      </c>
      <c r="D1376" s="63">
        <v>300000</v>
      </c>
      <c r="E1376" s="49"/>
      <c r="F1376" s="15">
        <f t="shared" si="21"/>
        <v>-300000</v>
      </c>
    </row>
    <row r="1377" spans="1:6" x14ac:dyDescent="0.2">
      <c r="A1377" s="92">
        <v>45698</v>
      </c>
      <c r="B1377" s="70">
        <v>18326432</v>
      </c>
      <c r="C1377" s="9" t="s">
        <v>295</v>
      </c>
      <c r="D1377" s="63">
        <v>850000</v>
      </c>
      <c r="E1377" s="49"/>
      <c r="F1377" s="15">
        <f t="shared" si="21"/>
        <v>-850000</v>
      </c>
    </row>
    <row r="1378" spans="1:6" x14ac:dyDescent="0.2">
      <c r="A1378" s="91">
        <v>45796</v>
      </c>
      <c r="B1378" s="72">
        <v>17132695</v>
      </c>
      <c r="C1378" s="84" t="s">
        <v>448</v>
      </c>
      <c r="D1378" s="8">
        <v>275000</v>
      </c>
      <c r="E1378" s="7"/>
      <c r="F1378" s="15">
        <f t="shared" si="21"/>
        <v>-275000</v>
      </c>
    </row>
    <row r="1379" spans="1:6" x14ac:dyDescent="0.2">
      <c r="A1379" s="91">
        <v>45744</v>
      </c>
      <c r="B1379" s="60">
        <v>17117252</v>
      </c>
      <c r="C1379" s="12" t="s">
        <v>370</v>
      </c>
      <c r="D1379" s="13">
        <v>72600</v>
      </c>
      <c r="E1379" s="14"/>
      <c r="F1379" s="15">
        <f t="shared" si="21"/>
        <v>-72600</v>
      </c>
    </row>
    <row r="1380" spans="1:6" x14ac:dyDescent="0.2">
      <c r="A1380" s="91">
        <v>45833</v>
      </c>
      <c r="B1380" s="43">
        <v>11562685</v>
      </c>
      <c r="C1380" s="20" t="s">
        <v>370</v>
      </c>
      <c r="D1380" s="18">
        <v>163350</v>
      </c>
      <c r="E1380" s="19"/>
      <c r="F1380" s="15">
        <f t="shared" si="21"/>
        <v>-163350</v>
      </c>
    </row>
    <row r="1381" spans="1:6" x14ac:dyDescent="0.2">
      <c r="A1381" s="91">
        <v>45660</v>
      </c>
      <c r="B1381" s="43">
        <v>18115674</v>
      </c>
      <c r="C1381" s="20" t="s">
        <v>231</v>
      </c>
      <c r="D1381" s="18">
        <v>1377475.15</v>
      </c>
      <c r="E1381" s="19"/>
      <c r="F1381" s="15">
        <f t="shared" si="21"/>
        <v>-1377475.15</v>
      </c>
    </row>
    <row r="1382" spans="1:6" x14ac:dyDescent="0.2">
      <c r="A1382" s="91">
        <v>45670</v>
      </c>
      <c r="B1382" s="43">
        <v>16392451</v>
      </c>
      <c r="C1382" s="20" t="s">
        <v>243</v>
      </c>
      <c r="D1382" s="18">
        <v>205700</v>
      </c>
      <c r="E1382" s="19"/>
      <c r="F1382" s="15">
        <f t="shared" si="21"/>
        <v>-205700</v>
      </c>
    </row>
    <row r="1383" spans="1:6" x14ac:dyDescent="0.2">
      <c r="A1383" s="91">
        <v>45825</v>
      </c>
      <c r="B1383" s="43">
        <v>11260547</v>
      </c>
      <c r="C1383" s="20" t="s">
        <v>243</v>
      </c>
      <c r="D1383" s="18">
        <v>416240</v>
      </c>
      <c r="E1383" s="19"/>
      <c r="F1383" s="15">
        <f t="shared" si="21"/>
        <v>-416240</v>
      </c>
    </row>
    <row r="1384" spans="1:6" x14ac:dyDescent="0.2">
      <c r="A1384" s="91">
        <v>45811</v>
      </c>
      <c r="B1384" s="43">
        <v>10290032</v>
      </c>
      <c r="C1384" s="20" t="s">
        <v>470</v>
      </c>
      <c r="D1384" s="18">
        <v>250000</v>
      </c>
      <c r="E1384" s="19"/>
      <c r="F1384" s="15">
        <f t="shared" si="21"/>
        <v>-250000</v>
      </c>
    </row>
    <row r="1385" spans="1:6" x14ac:dyDescent="0.2">
      <c r="A1385" s="91">
        <v>45834</v>
      </c>
      <c r="B1385" s="43">
        <v>16102438</v>
      </c>
      <c r="C1385" s="20" t="s">
        <v>470</v>
      </c>
      <c r="D1385" s="18">
        <v>270000</v>
      </c>
      <c r="E1385" s="19"/>
      <c r="F1385" s="15">
        <f t="shared" si="21"/>
        <v>-270000</v>
      </c>
    </row>
    <row r="1386" spans="1:6" x14ac:dyDescent="0.2">
      <c r="A1386" s="91">
        <v>45834</v>
      </c>
      <c r="B1386" s="43">
        <v>16102784</v>
      </c>
      <c r="C1386" s="20" t="s">
        <v>470</v>
      </c>
      <c r="D1386" s="18">
        <v>270000</v>
      </c>
      <c r="E1386" s="19"/>
      <c r="F1386" s="15">
        <f t="shared" si="21"/>
        <v>-270000</v>
      </c>
    </row>
    <row r="1387" spans="1:6" x14ac:dyDescent="0.2">
      <c r="A1387" s="91">
        <v>45834</v>
      </c>
      <c r="B1387" s="43">
        <v>16197172</v>
      </c>
      <c r="C1387" s="20" t="s">
        <v>470</v>
      </c>
      <c r="D1387" s="18">
        <v>270000</v>
      </c>
      <c r="E1387" s="19"/>
      <c r="F1387" s="15">
        <f t="shared" si="21"/>
        <v>-270000</v>
      </c>
    </row>
    <row r="1388" spans="1:6" x14ac:dyDescent="0.2">
      <c r="A1388" s="91">
        <v>45889</v>
      </c>
      <c r="B1388" s="43">
        <v>16339863</v>
      </c>
      <c r="C1388" s="20" t="s">
        <v>470</v>
      </c>
      <c r="D1388" s="18">
        <v>290000</v>
      </c>
      <c r="E1388" s="19"/>
      <c r="F1388" s="15">
        <f t="shared" si="21"/>
        <v>-290000</v>
      </c>
    </row>
    <row r="1389" spans="1:6" x14ac:dyDescent="0.2">
      <c r="A1389" s="91">
        <v>45639</v>
      </c>
      <c r="B1389" s="43">
        <v>15105223</v>
      </c>
      <c r="C1389" s="20" t="s">
        <v>212</v>
      </c>
      <c r="D1389" s="18">
        <v>584396</v>
      </c>
      <c r="E1389" s="19"/>
      <c r="F1389" s="15">
        <f t="shared" si="21"/>
        <v>-584396</v>
      </c>
    </row>
    <row r="1390" spans="1:6" x14ac:dyDescent="0.2">
      <c r="A1390" s="91">
        <v>45772</v>
      </c>
      <c r="B1390" s="43">
        <v>15021043</v>
      </c>
      <c r="C1390" s="20" t="s">
        <v>409</v>
      </c>
      <c r="D1390" s="18">
        <v>177249</v>
      </c>
      <c r="E1390" s="19"/>
      <c r="F1390" s="15">
        <f t="shared" si="21"/>
        <v>-177249</v>
      </c>
    </row>
    <row r="1391" spans="1:6" x14ac:dyDescent="0.2">
      <c r="A1391" s="91">
        <v>45678</v>
      </c>
      <c r="B1391" s="43">
        <v>15242583</v>
      </c>
      <c r="C1391" s="20" t="s">
        <v>266</v>
      </c>
      <c r="D1391" s="18">
        <v>751296</v>
      </c>
      <c r="E1391" s="19"/>
      <c r="F1391" s="15">
        <f t="shared" si="21"/>
        <v>-751296</v>
      </c>
    </row>
    <row r="1392" spans="1:6" x14ac:dyDescent="0.2">
      <c r="A1392" s="91">
        <v>45663</v>
      </c>
      <c r="B1392" s="43">
        <v>17309918</v>
      </c>
      <c r="C1392" s="20" t="s">
        <v>236</v>
      </c>
      <c r="D1392" s="18">
        <v>2000000</v>
      </c>
      <c r="E1392" s="18"/>
      <c r="F1392" s="15">
        <f t="shared" si="21"/>
        <v>-2000000</v>
      </c>
    </row>
    <row r="1393" spans="1:8" x14ac:dyDescent="0.2">
      <c r="A1393" s="91">
        <v>45672</v>
      </c>
      <c r="B1393" s="43">
        <v>16197584</v>
      </c>
      <c r="C1393" s="20" t="s">
        <v>236</v>
      </c>
      <c r="D1393" s="18">
        <v>2500000</v>
      </c>
      <c r="E1393" s="19"/>
      <c r="F1393" s="15">
        <f t="shared" si="21"/>
        <v>-2500000</v>
      </c>
    </row>
    <row r="1394" spans="1:8" x14ac:dyDescent="0.2">
      <c r="A1394" s="91">
        <v>45678</v>
      </c>
      <c r="B1394" s="43">
        <v>14358212</v>
      </c>
      <c r="C1394" s="20" t="s">
        <v>236</v>
      </c>
      <c r="D1394" s="18">
        <v>2500000</v>
      </c>
      <c r="E1394" s="19"/>
      <c r="F1394" s="15">
        <f t="shared" si="21"/>
        <v>-2500000</v>
      </c>
    </row>
    <row r="1395" spans="1:8" x14ac:dyDescent="0.2">
      <c r="A1395" s="91">
        <v>45687</v>
      </c>
      <c r="B1395" s="43">
        <v>7068269</v>
      </c>
      <c r="C1395" s="20" t="s">
        <v>236</v>
      </c>
      <c r="D1395" s="18">
        <v>2500000</v>
      </c>
      <c r="E1395" s="19"/>
      <c r="F1395" s="15">
        <f t="shared" si="21"/>
        <v>-2500000</v>
      </c>
    </row>
    <row r="1396" spans="1:8" x14ac:dyDescent="0.2">
      <c r="A1396" s="91">
        <v>45775</v>
      </c>
      <c r="B1396" s="43">
        <v>16134918</v>
      </c>
      <c r="C1396" s="20" t="s">
        <v>413</v>
      </c>
      <c r="D1396" s="18">
        <v>2000000</v>
      </c>
      <c r="E1396" s="19"/>
      <c r="F1396" s="15">
        <f t="shared" si="21"/>
        <v>-2000000</v>
      </c>
    </row>
    <row r="1397" spans="1:8" x14ac:dyDescent="0.2">
      <c r="A1397" s="91">
        <v>45558</v>
      </c>
      <c r="B1397" s="16">
        <v>14394495</v>
      </c>
      <c r="C1397" s="20" t="s">
        <v>80</v>
      </c>
      <c r="D1397" s="18">
        <v>9400</v>
      </c>
      <c r="E1397" s="19"/>
      <c r="F1397" s="15">
        <f t="shared" si="21"/>
        <v>-9400</v>
      </c>
      <c r="H1397" s="10"/>
    </row>
    <row r="1398" spans="1:8" x14ac:dyDescent="0.2">
      <c r="A1398" s="91">
        <v>45702</v>
      </c>
      <c r="B1398" s="46">
        <v>11181346</v>
      </c>
      <c r="C1398" s="9" t="s">
        <v>305</v>
      </c>
      <c r="D1398" s="48">
        <v>344300</v>
      </c>
      <c r="E1398" s="49"/>
      <c r="F1398" s="15">
        <f t="shared" si="21"/>
        <v>-344300</v>
      </c>
    </row>
    <row r="1399" spans="1:8" x14ac:dyDescent="0.2">
      <c r="A1399" s="91">
        <v>45663</v>
      </c>
      <c r="B1399" s="44">
        <v>15464258</v>
      </c>
      <c r="C1399" s="28" t="s">
        <v>235</v>
      </c>
      <c r="D1399" s="23">
        <v>2000000</v>
      </c>
      <c r="E1399" s="31"/>
      <c r="F1399" s="15">
        <f t="shared" si="21"/>
        <v>-2000000</v>
      </c>
    </row>
    <row r="1400" spans="1:8" x14ac:dyDescent="0.2">
      <c r="A1400" s="91">
        <v>45673</v>
      </c>
      <c r="B1400" s="43">
        <v>14106760</v>
      </c>
      <c r="C1400" s="20" t="s">
        <v>235</v>
      </c>
      <c r="D1400" s="18">
        <v>2000000</v>
      </c>
      <c r="E1400" s="19"/>
      <c r="F1400" s="15">
        <f t="shared" si="21"/>
        <v>-2000000</v>
      </c>
    </row>
    <row r="1401" spans="1:8" x14ac:dyDescent="0.2">
      <c r="A1401" s="91">
        <v>45678</v>
      </c>
      <c r="B1401" s="43">
        <v>14488427</v>
      </c>
      <c r="C1401" s="20" t="s">
        <v>235</v>
      </c>
      <c r="D1401" s="18">
        <v>2000000</v>
      </c>
      <c r="E1401" s="19"/>
      <c r="F1401" s="15">
        <f t="shared" si="21"/>
        <v>-2000000</v>
      </c>
    </row>
    <row r="1402" spans="1:8" x14ac:dyDescent="0.2">
      <c r="A1402" s="91">
        <v>45687</v>
      </c>
      <c r="B1402" s="43">
        <v>7063362</v>
      </c>
      <c r="C1402" s="20" t="s">
        <v>235</v>
      </c>
      <c r="D1402" s="18">
        <v>2000000</v>
      </c>
      <c r="E1402" s="19"/>
      <c r="F1402" s="15">
        <f t="shared" si="21"/>
        <v>-2000000</v>
      </c>
    </row>
    <row r="1403" spans="1:8" x14ac:dyDescent="0.2">
      <c r="A1403" s="91">
        <v>45758</v>
      </c>
      <c r="B1403" s="43">
        <v>9249501</v>
      </c>
      <c r="C1403" s="20" t="s">
        <v>388</v>
      </c>
      <c r="D1403" s="18">
        <v>500000</v>
      </c>
      <c r="E1403" s="19"/>
      <c r="F1403" s="15">
        <f t="shared" si="21"/>
        <v>-500000</v>
      </c>
    </row>
    <row r="1404" spans="1:8" x14ac:dyDescent="0.2">
      <c r="A1404" s="91">
        <v>45761</v>
      </c>
      <c r="B1404" s="43">
        <v>18281025</v>
      </c>
      <c r="C1404" s="20" t="s">
        <v>388</v>
      </c>
      <c r="D1404" s="18">
        <v>500000</v>
      </c>
      <c r="E1404" s="19"/>
      <c r="F1404" s="15">
        <f t="shared" si="21"/>
        <v>-500000</v>
      </c>
    </row>
    <row r="1405" spans="1:8" x14ac:dyDescent="0.2">
      <c r="A1405" s="91">
        <v>45762</v>
      </c>
      <c r="B1405" s="43">
        <v>23284045</v>
      </c>
      <c r="C1405" s="20" t="s">
        <v>388</v>
      </c>
      <c r="D1405" s="18">
        <v>1000000</v>
      </c>
      <c r="E1405" s="19"/>
      <c r="F1405" s="15">
        <f t="shared" si="21"/>
        <v>-1000000</v>
      </c>
    </row>
    <row r="1406" spans="1:8" x14ac:dyDescent="0.2">
      <c r="A1406" s="91">
        <v>45769</v>
      </c>
      <c r="B1406" s="43">
        <v>19160837</v>
      </c>
      <c r="C1406" s="20" t="s">
        <v>388</v>
      </c>
      <c r="D1406" s="18">
        <v>2000000</v>
      </c>
      <c r="E1406" s="19"/>
      <c r="F1406" s="15">
        <f t="shared" si="21"/>
        <v>-2000000</v>
      </c>
    </row>
    <row r="1407" spans="1:8" x14ac:dyDescent="0.2">
      <c r="A1407" s="91">
        <v>45771</v>
      </c>
      <c r="B1407" s="43">
        <v>19394698</v>
      </c>
      <c r="C1407" s="20" t="s">
        <v>388</v>
      </c>
      <c r="D1407" s="18">
        <v>1400000</v>
      </c>
      <c r="E1407" s="19"/>
      <c r="F1407" s="15">
        <f t="shared" si="21"/>
        <v>-1400000</v>
      </c>
    </row>
    <row r="1408" spans="1:8" x14ac:dyDescent="0.2">
      <c r="A1408" s="91">
        <v>45623</v>
      </c>
      <c r="B1408" s="43">
        <v>97364192</v>
      </c>
      <c r="C1408" s="20" t="s">
        <v>192</v>
      </c>
      <c r="D1408" s="18">
        <v>7600</v>
      </c>
      <c r="E1408" s="19"/>
      <c r="F1408" s="15">
        <f t="shared" si="21"/>
        <v>-7600</v>
      </c>
    </row>
    <row r="1409" spans="1:8" x14ac:dyDescent="0.2">
      <c r="A1409" s="91">
        <v>45873</v>
      </c>
      <c r="B1409" s="43">
        <v>99758455</v>
      </c>
      <c r="C1409" s="20" t="s">
        <v>565</v>
      </c>
      <c r="D1409" s="18">
        <v>500000</v>
      </c>
      <c r="E1409" s="19"/>
      <c r="F1409" s="15">
        <f t="shared" si="21"/>
        <v>-500000</v>
      </c>
    </row>
    <row r="1410" spans="1:8" x14ac:dyDescent="0.2">
      <c r="A1410" s="91">
        <v>45889</v>
      </c>
      <c r="B1410" s="43">
        <v>67085070</v>
      </c>
      <c r="C1410" s="20" t="s">
        <v>565</v>
      </c>
      <c r="D1410" s="18">
        <v>500000</v>
      </c>
      <c r="E1410" s="19"/>
      <c r="F1410" s="15">
        <f t="shared" si="21"/>
        <v>-500000</v>
      </c>
    </row>
    <row r="1411" spans="1:8" x14ac:dyDescent="0.2">
      <c r="A1411" s="91">
        <v>45873</v>
      </c>
      <c r="B1411" s="43">
        <v>99758438</v>
      </c>
      <c r="C1411" s="20" t="s">
        <v>564</v>
      </c>
      <c r="D1411" s="18">
        <v>4240033.5999999996</v>
      </c>
      <c r="E1411" s="19"/>
      <c r="F1411" s="15">
        <f t="shared" ref="F1411:F1474" si="22">+E1411-D1411</f>
        <v>-4240033.5999999996</v>
      </c>
    </row>
    <row r="1412" spans="1:8" x14ac:dyDescent="0.2">
      <c r="A1412" s="91">
        <v>45548</v>
      </c>
      <c r="B1412" s="16">
        <v>89444520</v>
      </c>
      <c r="C1412" s="20" t="s">
        <v>44</v>
      </c>
      <c r="D1412" s="18">
        <v>900000</v>
      </c>
      <c r="E1412" s="19"/>
      <c r="F1412" s="15">
        <f t="shared" si="22"/>
        <v>-900000</v>
      </c>
      <c r="H1412" s="10"/>
    </row>
    <row r="1413" spans="1:8" x14ac:dyDescent="0.2">
      <c r="A1413" s="91">
        <v>45562</v>
      </c>
      <c r="B1413" s="16">
        <v>98187721</v>
      </c>
      <c r="C1413" s="20" t="s">
        <v>44</v>
      </c>
      <c r="D1413" s="18">
        <v>600000</v>
      </c>
      <c r="E1413" s="19"/>
      <c r="F1413" s="15">
        <f t="shared" si="22"/>
        <v>-600000</v>
      </c>
      <c r="H1413" s="10"/>
    </row>
    <row r="1414" spans="1:8" x14ac:dyDescent="0.2">
      <c r="A1414" s="91">
        <v>45586</v>
      </c>
      <c r="B1414" s="43">
        <v>70949374</v>
      </c>
      <c r="C1414" s="20" t="s">
        <v>44</v>
      </c>
      <c r="D1414" s="18">
        <v>380000</v>
      </c>
      <c r="E1414" s="19"/>
      <c r="F1414" s="15">
        <f t="shared" si="22"/>
        <v>-380000</v>
      </c>
    </row>
    <row r="1415" spans="1:8" x14ac:dyDescent="0.2">
      <c r="A1415" s="91">
        <v>45611</v>
      </c>
      <c r="B1415" s="43">
        <v>89796731</v>
      </c>
      <c r="C1415" s="20" t="s">
        <v>44</v>
      </c>
      <c r="D1415" s="18">
        <v>900000</v>
      </c>
      <c r="E1415" s="19"/>
      <c r="F1415" s="15">
        <f t="shared" si="22"/>
        <v>-900000</v>
      </c>
    </row>
    <row r="1416" spans="1:8" x14ac:dyDescent="0.2">
      <c r="A1416" s="91">
        <v>45635</v>
      </c>
      <c r="B1416" s="43">
        <v>62674627</v>
      </c>
      <c r="C1416" s="20" t="s">
        <v>44</v>
      </c>
      <c r="D1416" s="18">
        <v>500000</v>
      </c>
      <c r="E1416" s="19"/>
      <c r="F1416" s="15">
        <f t="shared" si="22"/>
        <v>-500000</v>
      </c>
    </row>
    <row r="1417" spans="1:8" x14ac:dyDescent="0.2">
      <c r="A1417" s="91">
        <v>45639</v>
      </c>
      <c r="B1417" s="43">
        <v>66192317</v>
      </c>
      <c r="C1417" s="20" t="s">
        <v>44</v>
      </c>
      <c r="D1417" s="18">
        <v>950000</v>
      </c>
      <c r="E1417" s="19"/>
      <c r="F1417" s="15">
        <f t="shared" si="22"/>
        <v>-950000</v>
      </c>
    </row>
    <row r="1418" spans="1:8" x14ac:dyDescent="0.2">
      <c r="A1418" s="91">
        <v>45672</v>
      </c>
      <c r="B1418" s="43">
        <v>90729116</v>
      </c>
      <c r="C1418" s="20" t="s">
        <v>44</v>
      </c>
      <c r="D1418" s="18">
        <v>950000</v>
      </c>
      <c r="E1418" s="19"/>
      <c r="F1418" s="15">
        <f t="shared" si="22"/>
        <v>-950000</v>
      </c>
    </row>
    <row r="1419" spans="1:8" x14ac:dyDescent="0.2">
      <c r="A1419" s="91">
        <v>45673</v>
      </c>
      <c r="B1419" s="43">
        <v>91544533</v>
      </c>
      <c r="C1419" s="20" t="s">
        <v>44</v>
      </c>
      <c r="D1419" s="18">
        <v>350000</v>
      </c>
      <c r="E1419" s="19"/>
      <c r="F1419" s="15">
        <f t="shared" si="22"/>
        <v>-350000</v>
      </c>
    </row>
    <row r="1420" spans="1:8" x14ac:dyDescent="0.2">
      <c r="A1420" s="91">
        <v>45674</v>
      </c>
      <c r="B1420" s="43">
        <v>92205916</v>
      </c>
      <c r="C1420" s="20" t="s">
        <v>44</v>
      </c>
      <c r="D1420" s="18">
        <v>300000</v>
      </c>
      <c r="E1420" s="19"/>
      <c r="F1420" s="15">
        <f t="shared" si="22"/>
        <v>-300000</v>
      </c>
    </row>
    <row r="1421" spans="1:8" x14ac:dyDescent="0.2">
      <c r="A1421" s="91">
        <v>45674</v>
      </c>
      <c r="B1421" s="43">
        <v>92234728</v>
      </c>
      <c r="C1421" s="20" t="s">
        <v>44</v>
      </c>
      <c r="D1421" s="18">
        <v>100000</v>
      </c>
      <c r="E1421" s="19"/>
      <c r="F1421" s="15">
        <f t="shared" si="22"/>
        <v>-100000</v>
      </c>
    </row>
    <row r="1422" spans="1:8" x14ac:dyDescent="0.2">
      <c r="A1422" s="91">
        <v>45687</v>
      </c>
      <c r="B1422" s="43">
        <v>55284385</v>
      </c>
      <c r="C1422" s="20" t="s">
        <v>44</v>
      </c>
      <c r="D1422" s="18">
        <v>350000</v>
      </c>
      <c r="E1422" s="19"/>
      <c r="F1422" s="15">
        <f t="shared" si="22"/>
        <v>-350000</v>
      </c>
    </row>
    <row r="1423" spans="1:8" x14ac:dyDescent="0.2">
      <c r="A1423" s="91">
        <v>45729</v>
      </c>
      <c r="B1423" s="43">
        <v>86817162</v>
      </c>
      <c r="C1423" s="20" t="s">
        <v>44</v>
      </c>
      <c r="D1423" s="18">
        <v>500000</v>
      </c>
      <c r="E1423" s="19"/>
      <c r="F1423" s="15">
        <f t="shared" si="22"/>
        <v>-500000</v>
      </c>
    </row>
    <row r="1424" spans="1:8" x14ac:dyDescent="0.2">
      <c r="A1424" s="91">
        <v>45856</v>
      </c>
      <c r="B1424" s="43">
        <v>89067115</v>
      </c>
      <c r="C1424" s="20" t="s">
        <v>543</v>
      </c>
      <c r="D1424" s="18">
        <v>624360</v>
      </c>
      <c r="E1424" s="19"/>
      <c r="F1424" s="15">
        <f t="shared" si="22"/>
        <v>-624360</v>
      </c>
    </row>
    <row r="1425" spans="1:8" x14ac:dyDescent="0.2">
      <c r="A1425" s="91">
        <v>45540</v>
      </c>
      <c r="B1425" s="16">
        <v>926109</v>
      </c>
      <c r="C1425" s="20" t="s">
        <v>26</v>
      </c>
      <c r="D1425" s="18">
        <v>5000000</v>
      </c>
      <c r="E1425" s="19"/>
      <c r="F1425" s="15">
        <f t="shared" si="22"/>
        <v>-5000000</v>
      </c>
      <c r="H1425" s="10"/>
    </row>
    <row r="1426" spans="1:8" x14ac:dyDescent="0.2">
      <c r="A1426" s="91">
        <v>45569</v>
      </c>
      <c r="B1426" s="43">
        <v>206550</v>
      </c>
      <c r="C1426" s="20" t="s">
        <v>26</v>
      </c>
      <c r="D1426" s="18">
        <v>6000000</v>
      </c>
      <c r="E1426" s="19"/>
      <c r="F1426" s="15">
        <f t="shared" si="22"/>
        <v>-6000000</v>
      </c>
    </row>
    <row r="1427" spans="1:8" x14ac:dyDescent="0.2">
      <c r="A1427" s="91">
        <v>45607</v>
      </c>
      <c r="B1427" s="43">
        <v>70022</v>
      </c>
      <c r="C1427" s="20" t="s">
        <v>26</v>
      </c>
      <c r="D1427" s="18">
        <v>4000000</v>
      </c>
      <c r="E1427" s="19"/>
      <c r="F1427" s="15">
        <f t="shared" si="22"/>
        <v>-4000000</v>
      </c>
    </row>
    <row r="1428" spans="1:8" x14ac:dyDescent="0.2">
      <c r="A1428" s="91">
        <v>45609</v>
      </c>
      <c r="B1428" s="43">
        <v>726024</v>
      </c>
      <c r="C1428" s="20" t="s">
        <v>26</v>
      </c>
      <c r="D1428" s="18">
        <v>2000000</v>
      </c>
      <c r="E1428" s="19"/>
      <c r="F1428" s="15">
        <f t="shared" si="22"/>
        <v>-2000000</v>
      </c>
    </row>
    <row r="1429" spans="1:8" x14ac:dyDescent="0.2">
      <c r="A1429" s="91">
        <v>45610</v>
      </c>
      <c r="B1429" s="43">
        <v>526410</v>
      </c>
      <c r="C1429" s="20" t="s">
        <v>26</v>
      </c>
      <c r="D1429" s="18">
        <v>1000000</v>
      </c>
      <c r="E1429" s="19"/>
      <c r="F1429" s="15">
        <f t="shared" si="22"/>
        <v>-1000000</v>
      </c>
    </row>
    <row r="1430" spans="1:8" x14ac:dyDescent="0.2">
      <c r="A1430" s="91">
        <v>45603</v>
      </c>
      <c r="B1430" s="43">
        <v>20000007</v>
      </c>
      <c r="C1430" s="17" t="s">
        <v>150</v>
      </c>
      <c r="D1430" s="19"/>
      <c r="E1430" s="18">
        <v>73029</v>
      </c>
      <c r="F1430" s="15">
        <f t="shared" si="22"/>
        <v>73029</v>
      </c>
    </row>
    <row r="1431" spans="1:8" x14ac:dyDescent="0.2">
      <c r="A1431" s="91">
        <v>45714</v>
      </c>
      <c r="B1431" s="43">
        <v>5000006</v>
      </c>
      <c r="C1431" s="17" t="s">
        <v>150</v>
      </c>
      <c r="D1431" s="19"/>
      <c r="E1431" s="18">
        <v>81178.8</v>
      </c>
      <c r="F1431" s="15">
        <f t="shared" si="22"/>
        <v>81178.8</v>
      </c>
    </row>
    <row r="1432" spans="1:8" x14ac:dyDescent="0.2">
      <c r="A1432" s="91">
        <v>45771</v>
      </c>
      <c r="B1432" s="43">
        <v>8905</v>
      </c>
      <c r="C1432" s="17" t="s">
        <v>150</v>
      </c>
      <c r="D1432" s="19"/>
      <c r="E1432" s="18">
        <v>114662.39999999999</v>
      </c>
      <c r="F1432" s="15">
        <f t="shared" si="22"/>
        <v>114662.39999999999</v>
      </c>
    </row>
    <row r="1433" spans="1:8" x14ac:dyDescent="0.2">
      <c r="A1433" s="91">
        <v>45785</v>
      </c>
      <c r="B1433" s="43">
        <v>4073</v>
      </c>
      <c r="C1433" s="17" t="s">
        <v>150</v>
      </c>
      <c r="D1433" s="19"/>
      <c r="E1433" s="18">
        <v>248245.34</v>
      </c>
      <c r="F1433" s="15">
        <f t="shared" si="22"/>
        <v>248245.34</v>
      </c>
    </row>
    <row r="1434" spans="1:8" x14ac:dyDescent="0.2">
      <c r="A1434" s="91">
        <v>45811</v>
      </c>
      <c r="B1434" s="43">
        <v>5385</v>
      </c>
      <c r="C1434" s="17" t="s">
        <v>150</v>
      </c>
      <c r="D1434" s="19"/>
      <c r="E1434" s="18">
        <v>272600</v>
      </c>
      <c r="F1434" s="15">
        <f t="shared" si="22"/>
        <v>272600</v>
      </c>
    </row>
    <row r="1435" spans="1:8" x14ac:dyDescent="0.2">
      <c r="A1435" s="91">
        <v>45831</v>
      </c>
      <c r="B1435" s="46">
        <v>20000005</v>
      </c>
      <c r="C1435" s="47" t="s">
        <v>150</v>
      </c>
      <c r="D1435" s="62"/>
      <c r="E1435" s="63">
        <v>827702.4</v>
      </c>
      <c r="F1435" s="15">
        <f t="shared" si="22"/>
        <v>827702.4</v>
      </c>
    </row>
    <row r="1436" spans="1:8" x14ac:dyDescent="0.2">
      <c r="A1436" s="91">
        <v>45539</v>
      </c>
      <c r="B1436" s="21">
        <v>30000012</v>
      </c>
      <c r="C1436" s="22" t="s">
        <v>24</v>
      </c>
      <c r="D1436" s="30"/>
      <c r="E1436" s="31">
        <v>159701.06</v>
      </c>
      <c r="F1436" s="15">
        <f t="shared" si="22"/>
        <v>159701.06</v>
      </c>
      <c r="H1436" s="10"/>
    </row>
    <row r="1437" spans="1:8" x14ac:dyDescent="0.2">
      <c r="A1437" s="91">
        <v>45551</v>
      </c>
      <c r="B1437" s="16">
        <v>30000014</v>
      </c>
      <c r="C1437" s="17" t="s">
        <v>24</v>
      </c>
      <c r="D1437" s="19"/>
      <c r="E1437" s="18">
        <v>79966.399999999994</v>
      </c>
      <c r="F1437" s="15">
        <f t="shared" si="22"/>
        <v>79966.399999999994</v>
      </c>
      <c r="H1437" s="10"/>
    </row>
    <row r="1438" spans="1:8" x14ac:dyDescent="0.2">
      <c r="A1438" s="91">
        <v>45569</v>
      </c>
      <c r="B1438" s="43">
        <v>8189</v>
      </c>
      <c r="C1438" s="17" t="s">
        <v>24</v>
      </c>
      <c r="D1438" s="19"/>
      <c r="E1438" s="18">
        <v>48140.800000000003</v>
      </c>
      <c r="F1438" s="15">
        <f t="shared" si="22"/>
        <v>48140.800000000003</v>
      </c>
    </row>
    <row r="1439" spans="1:8" x14ac:dyDescent="0.2">
      <c r="A1439" s="91">
        <v>45582</v>
      </c>
      <c r="B1439" s="43">
        <v>38000004</v>
      </c>
      <c r="C1439" s="17" t="s">
        <v>24</v>
      </c>
      <c r="D1439" s="19"/>
      <c r="E1439" s="18">
        <v>873887.2</v>
      </c>
      <c r="F1439" s="15">
        <f t="shared" si="22"/>
        <v>873887.2</v>
      </c>
    </row>
    <row r="1440" spans="1:8" x14ac:dyDescent="0.2">
      <c r="A1440" s="91">
        <v>45596</v>
      </c>
      <c r="B1440" s="43">
        <v>5000006</v>
      </c>
      <c r="C1440" s="17" t="s">
        <v>24</v>
      </c>
      <c r="D1440" s="19"/>
      <c r="E1440" s="18">
        <v>260491.13</v>
      </c>
      <c r="F1440" s="15">
        <f t="shared" si="22"/>
        <v>260491.13</v>
      </c>
    </row>
    <row r="1441" spans="1:6" x14ac:dyDescent="0.2">
      <c r="A1441" s="91">
        <v>45604</v>
      </c>
      <c r="B1441" s="43">
        <v>20000007</v>
      </c>
      <c r="C1441" s="17" t="s">
        <v>24</v>
      </c>
      <c r="D1441" s="19"/>
      <c r="E1441" s="18">
        <v>27680</v>
      </c>
      <c r="F1441" s="15">
        <f t="shared" si="22"/>
        <v>27680</v>
      </c>
    </row>
    <row r="1442" spans="1:6" x14ac:dyDescent="0.2">
      <c r="A1442" s="91">
        <v>45616</v>
      </c>
      <c r="B1442" s="43">
        <v>20000006</v>
      </c>
      <c r="C1442" s="17" t="s">
        <v>24</v>
      </c>
      <c r="D1442" s="19"/>
      <c r="E1442" s="18">
        <v>15978.3</v>
      </c>
      <c r="F1442" s="15">
        <f t="shared" si="22"/>
        <v>15978.3</v>
      </c>
    </row>
    <row r="1443" spans="1:6" x14ac:dyDescent="0.2">
      <c r="A1443" s="91">
        <v>45628</v>
      </c>
      <c r="B1443" s="43">
        <v>20000007</v>
      </c>
      <c r="C1443" s="17" t="s">
        <v>24</v>
      </c>
      <c r="D1443" s="19"/>
      <c r="E1443" s="18">
        <v>152481.72</v>
      </c>
      <c r="F1443" s="15">
        <f t="shared" si="22"/>
        <v>152481.72</v>
      </c>
    </row>
    <row r="1444" spans="1:6" x14ac:dyDescent="0.2">
      <c r="A1444" s="91">
        <v>45635</v>
      </c>
      <c r="B1444" s="43">
        <v>5000005</v>
      </c>
      <c r="C1444" s="17" t="s">
        <v>24</v>
      </c>
      <c r="D1444" s="19"/>
      <c r="E1444" s="18">
        <v>82250</v>
      </c>
      <c r="F1444" s="15">
        <f t="shared" si="22"/>
        <v>82250</v>
      </c>
    </row>
    <row r="1445" spans="1:6" x14ac:dyDescent="0.2">
      <c r="A1445" s="91">
        <v>45639</v>
      </c>
      <c r="B1445" s="43">
        <v>18000006</v>
      </c>
      <c r="C1445" s="17" t="s">
        <v>24</v>
      </c>
      <c r="D1445" s="19"/>
      <c r="E1445" s="18">
        <v>79489.2</v>
      </c>
      <c r="F1445" s="15">
        <f t="shared" si="22"/>
        <v>79489.2</v>
      </c>
    </row>
    <row r="1446" spans="1:6" x14ac:dyDescent="0.2">
      <c r="A1446" s="91">
        <v>45664</v>
      </c>
      <c r="B1446" s="43">
        <v>20000016</v>
      </c>
      <c r="C1446" s="17" t="s">
        <v>24</v>
      </c>
      <c r="D1446" s="19"/>
      <c r="E1446" s="18">
        <v>233965.83</v>
      </c>
      <c r="F1446" s="15">
        <f t="shared" si="22"/>
        <v>233965.83</v>
      </c>
    </row>
    <row r="1447" spans="1:6" x14ac:dyDescent="0.2">
      <c r="A1447" s="91">
        <v>45700</v>
      </c>
      <c r="B1447" s="43">
        <v>20000008</v>
      </c>
      <c r="C1447" s="17" t="s">
        <v>24</v>
      </c>
      <c r="D1447" s="19"/>
      <c r="E1447" s="18">
        <v>177905.31</v>
      </c>
      <c r="F1447" s="15">
        <f t="shared" si="22"/>
        <v>177905.31</v>
      </c>
    </row>
    <row r="1448" spans="1:6" x14ac:dyDescent="0.2">
      <c r="A1448" s="91">
        <v>45715</v>
      </c>
      <c r="B1448" s="43">
        <v>5000006</v>
      </c>
      <c r="C1448" s="17" t="s">
        <v>24</v>
      </c>
      <c r="D1448" s="19"/>
      <c r="E1448" s="18">
        <v>164642.70000000001</v>
      </c>
      <c r="F1448" s="15">
        <f t="shared" si="22"/>
        <v>164642.70000000001</v>
      </c>
    </row>
    <row r="1449" spans="1:6" x14ac:dyDescent="0.2">
      <c r="A1449" s="91">
        <v>45768</v>
      </c>
      <c r="B1449" s="43">
        <v>20000009</v>
      </c>
      <c r="C1449" s="17" t="s">
        <v>24</v>
      </c>
      <c r="D1449" s="19"/>
      <c r="E1449" s="18">
        <v>42401.1</v>
      </c>
      <c r="F1449" s="15">
        <f t="shared" si="22"/>
        <v>42401.1</v>
      </c>
    </row>
    <row r="1450" spans="1:6" x14ac:dyDescent="0.2">
      <c r="A1450" s="91">
        <v>45772</v>
      </c>
      <c r="B1450" s="43">
        <v>8905</v>
      </c>
      <c r="C1450" s="17" t="s">
        <v>24</v>
      </c>
      <c r="D1450" s="25"/>
      <c r="E1450" s="25">
        <v>1028437.49</v>
      </c>
      <c r="F1450" s="15">
        <f t="shared" si="22"/>
        <v>1028437.49</v>
      </c>
    </row>
    <row r="1451" spans="1:6" x14ac:dyDescent="0.2">
      <c r="A1451" s="91">
        <v>45786</v>
      </c>
      <c r="B1451" s="43">
        <v>4073</v>
      </c>
      <c r="C1451" s="17" t="s">
        <v>24</v>
      </c>
      <c r="D1451" s="19"/>
      <c r="E1451" s="18">
        <v>50000</v>
      </c>
      <c r="F1451" s="15">
        <f t="shared" si="22"/>
        <v>50000</v>
      </c>
    </row>
    <row r="1452" spans="1:6" x14ac:dyDescent="0.2">
      <c r="A1452" s="91">
        <v>45812</v>
      </c>
      <c r="B1452" s="43">
        <v>5385</v>
      </c>
      <c r="C1452" s="17" t="s">
        <v>24</v>
      </c>
      <c r="D1452" s="19"/>
      <c r="E1452" s="18">
        <v>49742.6</v>
      </c>
      <c r="F1452" s="15">
        <f t="shared" si="22"/>
        <v>49742.6</v>
      </c>
    </row>
    <row r="1453" spans="1:6" x14ac:dyDescent="0.2">
      <c r="A1453" s="91">
        <v>45832</v>
      </c>
      <c r="B1453" s="43">
        <v>20000005</v>
      </c>
      <c r="C1453" s="17" t="s">
        <v>24</v>
      </c>
      <c r="D1453" s="19"/>
      <c r="E1453" s="18">
        <v>352514.39</v>
      </c>
      <c r="F1453" s="15">
        <f t="shared" si="22"/>
        <v>352514.39</v>
      </c>
    </row>
    <row r="1454" spans="1:6" x14ac:dyDescent="0.2">
      <c r="A1454" s="91">
        <v>45846</v>
      </c>
      <c r="B1454" s="43">
        <v>1084</v>
      </c>
      <c r="C1454" s="17" t="s">
        <v>24</v>
      </c>
      <c r="D1454" s="19"/>
      <c r="E1454" s="18">
        <v>124071.9</v>
      </c>
      <c r="F1454" s="15">
        <f t="shared" si="22"/>
        <v>124071.9</v>
      </c>
    </row>
    <row r="1455" spans="1:6" x14ac:dyDescent="0.2">
      <c r="A1455" s="91">
        <v>45860</v>
      </c>
      <c r="B1455" s="43">
        <v>4227</v>
      </c>
      <c r="C1455" s="17" t="s">
        <v>24</v>
      </c>
      <c r="D1455" s="19"/>
      <c r="E1455" s="18">
        <v>46689.5</v>
      </c>
      <c r="F1455" s="15">
        <f t="shared" si="22"/>
        <v>46689.5</v>
      </c>
    </row>
    <row r="1456" spans="1:6" x14ac:dyDescent="0.2">
      <c r="A1456" s="91">
        <v>45890</v>
      </c>
      <c r="B1456" s="43">
        <v>1307</v>
      </c>
      <c r="C1456" s="17" t="s">
        <v>24</v>
      </c>
      <c r="D1456" s="19"/>
      <c r="E1456" s="18">
        <v>33742.6</v>
      </c>
      <c r="F1456" s="15">
        <f t="shared" si="22"/>
        <v>33742.6</v>
      </c>
    </row>
    <row r="1457" spans="1:8" x14ac:dyDescent="0.2">
      <c r="A1457" s="91">
        <v>45754</v>
      </c>
      <c r="B1457" s="43">
        <v>31926</v>
      </c>
      <c r="C1457" s="17" t="s">
        <v>381</v>
      </c>
      <c r="D1457" s="19"/>
      <c r="E1457" s="18">
        <v>25000</v>
      </c>
      <c r="F1457" s="15">
        <f t="shared" si="22"/>
        <v>25000</v>
      </c>
    </row>
    <row r="1458" spans="1:8" x14ac:dyDescent="0.2">
      <c r="A1458" s="91">
        <v>45747</v>
      </c>
      <c r="B1458" s="43">
        <v>6352235</v>
      </c>
      <c r="C1458" s="20" t="s">
        <v>373</v>
      </c>
      <c r="D1458" s="18">
        <v>28613939.800000001</v>
      </c>
      <c r="E1458" s="19"/>
      <c r="F1458" s="15">
        <f t="shared" si="22"/>
        <v>-28613939.800000001</v>
      </c>
    </row>
    <row r="1459" spans="1:8" x14ac:dyDescent="0.2">
      <c r="A1459" s="91">
        <v>45545</v>
      </c>
      <c r="B1459" s="26"/>
      <c r="C1459" s="17" t="s">
        <v>36</v>
      </c>
      <c r="D1459" s="18">
        <v>60</v>
      </c>
      <c r="E1459" s="19"/>
      <c r="F1459" s="15">
        <f t="shared" si="22"/>
        <v>-60</v>
      </c>
      <c r="H1459" s="10"/>
    </row>
    <row r="1460" spans="1:8" x14ac:dyDescent="0.2">
      <c r="A1460" s="91">
        <v>45562</v>
      </c>
      <c r="B1460" s="26"/>
      <c r="C1460" s="17" t="s">
        <v>36</v>
      </c>
      <c r="D1460" s="18">
        <v>499.5</v>
      </c>
      <c r="E1460" s="19"/>
      <c r="F1460" s="15">
        <f t="shared" si="22"/>
        <v>-499.5</v>
      </c>
      <c r="H1460" s="10"/>
    </row>
    <row r="1461" spans="1:8" x14ac:dyDescent="0.2">
      <c r="A1461" s="91">
        <v>45562</v>
      </c>
      <c r="B1461" s="74"/>
      <c r="C1461" s="47" t="s">
        <v>36</v>
      </c>
      <c r="D1461" s="48">
        <v>510.3</v>
      </c>
      <c r="E1461" s="49"/>
      <c r="F1461" s="15">
        <f t="shared" si="22"/>
        <v>-510.3</v>
      </c>
      <c r="H1461" s="10"/>
    </row>
    <row r="1462" spans="1:8" x14ac:dyDescent="0.2">
      <c r="A1462" s="91">
        <v>45568</v>
      </c>
      <c r="B1462" s="50"/>
      <c r="C1462" s="22" t="s">
        <v>36</v>
      </c>
      <c r="D1462" s="23">
        <v>60</v>
      </c>
      <c r="E1462" s="24"/>
      <c r="F1462" s="15">
        <f t="shared" si="22"/>
        <v>-60</v>
      </c>
    </row>
    <row r="1463" spans="1:8" x14ac:dyDescent="0.2">
      <c r="A1463" s="91">
        <v>45595</v>
      </c>
      <c r="B1463" s="45"/>
      <c r="C1463" s="17" t="s">
        <v>36</v>
      </c>
      <c r="D1463" s="18">
        <v>499.5</v>
      </c>
      <c r="E1463" s="19"/>
      <c r="F1463" s="15">
        <f t="shared" si="22"/>
        <v>-499.5</v>
      </c>
    </row>
    <row r="1464" spans="1:8" x14ac:dyDescent="0.2">
      <c r="A1464" s="91">
        <v>45595</v>
      </c>
      <c r="B1464" s="45"/>
      <c r="C1464" s="17" t="s">
        <v>36</v>
      </c>
      <c r="D1464" s="18">
        <v>633.15</v>
      </c>
      <c r="E1464" s="19"/>
      <c r="F1464" s="15">
        <f t="shared" si="22"/>
        <v>-633.15</v>
      </c>
    </row>
    <row r="1465" spans="1:8" x14ac:dyDescent="0.2">
      <c r="A1465" s="91">
        <v>45596</v>
      </c>
      <c r="B1465" s="45"/>
      <c r="C1465" s="17" t="s">
        <v>36</v>
      </c>
      <c r="D1465" s="25">
        <v>60</v>
      </c>
      <c r="E1465" s="19"/>
      <c r="F1465" s="15">
        <f t="shared" si="22"/>
        <v>-60</v>
      </c>
    </row>
    <row r="1466" spans="1:8" x14ac:dyDescent="0.2">
      <c r="A1466" s="91">
        <v>45604</v>
      </c>
      <c r="B1466" s="45"/>
      <c r="C1466" s="17" t="s">
        <v>36</v>
      </c>
      <c r="D1466" s="18">
        <v>555.59</v>
      </c>
      <c r="E1466" s="19"/>
      <c r="F1466" s="15">
        <f t="shared" si="22"/>
        <v>-555.59</v>
      </c>
    </row>
    <row r="1467" spans="1:8" x14ac:dyDescent="0.2">
      <c r="A1467" s="91">
        <v>45616</v>
      </c>
      <c r="B1467" s="45"/>
      <c r="C1467" s="17" t="s">
        <v>36</v>
      </c>
      <c r="D1467" s="18">
        <v>60</v>
      </c>
      <c r="E1467" s="19"/>
      <c r="F1467" s="15">
        <f t="shared" si="22"/>
        <v>-60</v>
      </c>
    </row>
    <row r="1468" spans="1:8" x14ac:dyDescent="0.2">
      <c r="A1468" s="91">
        <v>45624</v>
      </c>
      <c r="B1468" s="45"/>
      <c r="C1468" s="17" t="s">
        <v>36</v>
      </c>
      <c r="D1468" s="18">
        <v>666</v>
      </c>
      <c r="E1468" s="19"/>
      <c r="F1468" s="15">
        <f t="shared" si="22"/>
        <v>-666</v>
      </c>
    </row>
    <row r="1469" spans="1:8" x14ac:dyDescent="0.2">
      <c r="A1469" s="91">
        <v>45624</v>
      </c>
      <c r="B1469" s="45"/>
      <c r="C1469" s="17" t="s">
        <v>36</v>
      </c>
      <c r="D1469" s="18">
        <v>664.2</v>
      </c>
      <c r="E1469" s="19"/>
      <c r="F1469" s="15">
        <f t="shared" si="22"/>
        <v>-664.2</v>
      </c>
    </row>
    <row r="1470" spans="1:8" x14ac:dyDescent="0.2">
      <c r="A1470" s="91">
        <v>45625</v>
      </c>
      <c r="B1470" s="45"/>
      <c r="C1470" s="17" t="s">
        <v>36</v>
      </c>
      <c r="D1470" s="18">
        <v>75</v>
      </c>
      <c r="E1470" s="19"/>
      <c r="F1470" s="15">
        <f t="shared" si="22"/>
        <v>-75</v>
      </c>
    </row>
    <row r="1471" spans="1:8" x14ac:dyDescent="0.2">
      <c r="A1471" s="91">
        <v>45656</v>
      </c>
      <c r="B1471" s="45"/>
      <c r="C1471" s="17" t="s">
        <v>36</v>
      </c>
      <c r="D1471" s="18">
        <v>60</v>
      </c>
      <c r="E1471" s="19"/>
      <c r="F1471" s="15">
        <f t="shared" si="22"/>
        <v>-60</v>
      </c>
    </row>
    <row r="1472" spans="1:8" x14ac:dyDescent="0.2">
      <c r="A1472" s="91">
        <v>45656</v>
      </c>
      <c r="B1472" s="45"/>
      <c r="C1472" s="17" t="s">
        <v>36</v>
      </c>
      <c r="D1472" s="25">
        <v>666</v>
      </c>
      <c r="E1472" s="19"/>
      <c r="F1472" s="15">
        <f t="shared" si="22"/>
        <v>-666</v>
      </c>
    </row>
    <row r="1473" spans="1:6" x14ac:dyDescent="0.2">
      <c r="A1473" s="91">
        <v>45656</v>
      </c>
      <c r="B1473" s="45"/>
      <c r="C1473" s="17" t="s">
        <v>36</v>
      </c>
      <c r="D1473" s="25">
        <v>688.8</v>
      </c>
      <c r="E1473" s="19"/>
      <c r="F1473" s="15">
        <f t="shared" si="22"/>
        <v>-688.8</v>
      </c>
    </row>
    <row r="1474" spans="1:6" x14ac:dyDescent="0.2">
      <c r="A1474" s="91">
        <v>45679</v>
      </c>
      <c r="B1474" s="45"/>
      <c r="C1474" s="17" t="s">
        <v>36</v>
      </c>
      <c r="D1474" s="18">
        <v>60</v>
      </c>
      <c r="E1474" s="19"/>
      <c r="F1474" s="15">
        <f t="shared" si="22"/>
        <v>-60</v>
      </c>
    </row>
    <row r="1475" spans="1:6" x14ac:dyDescent="0.2">
      <c r="A1475" s="91">
        <v>45681</v>
      </c>
      <c r="B1475" s="45"/>
      <c r="C1475" s="17" t="s">
        <v>36</v>
      </c>
      <c r="D1475" s="18">
        <v>60</v>
      </c>
      <c r="E1475" s="19"/>
      <c r="F1475" s="15">
        <f t="shared" ref="F1475:F1538" si="23">+E1475-D1475</f>
        <v>-60</v>
      </c>
    </row>
    <row r="1476" spans="1:6" x14ac:dyDescent="0.2">
      <c r="A1476" s="91">
        <v>45687</v>
      </c>
      <c r="B1476" s="45"/>
      <c r="C1476" s="17" t="s">
        <v>36</v>
      </c>
      <c r="D1476" s="18">
        <v>615</v>
      </c>
      <c r="E1476" s="19"/>
      <c r="F1476" s="15">
        <f t="shared" si="23"/>
        <v>-615</v>
      </c>
    </row>
    <row r="1477" spans="1:6" x14ac:dyDescent="0.2">
      <c r="A1477" s="91">
        <v>45687</v>
      </c>
      <c r="B1477" s="45"/>
      <c r="C1477" s="17" t="s">
        <v>36</v>
      </c>
      <c r="D1477" s="18">
        <v>666</v>
      </c>
      <c r="E1477" s="19"/>
      <c r="F1477" s="15">
        <f t="shared" si="23"/>
        <v>-666</v>
      </c>
    </row>
    <row r="1478" spans="1:6" x14ac:dyDescent="0.2">
      <c r="A1478" s="91">
        <v>45694</v>
      </c>
      <c r="B1478" s="45"/>
      <c r="C1478" s="17" t="s">
        <v>36</v>
      </c>
      <c r="D1478" s="18">
        <v>167.93</v>
      </c>
      <c r="E1478" s="19"/>
      <c r="F1478" s="15">
        <f t="shared" si="23"/>
        <v>-167.93</v>
      </c>
    </row>
    <row r="1479" spans="1:6" x14ac:dyDescent="0.2">
      <c r="A1479" s="91">
        <v>45701</v>
      </c>
      <c r="B1479" s="45"/>
      <c r="C1479" s="17" t="s">
        <v>36</v>
      </c>
      <c r="D1479" s="18">
        <v>60</v>
      </c>
      <c r="E1479" s="19"/>
      <c r="F1479" s="15">
        <f t="shared" si="23"/>
        <v>-60</v>
      </c>
    </row>
    <row r="1480" spans="1:6" x14ac:dyDescent="0.2">
      <c r="A1480" s="91">
        <v>45707</v>
      </c>
      <c r="B1480" s="45"/>
      <c r="C1480" s="17" t="s">
        <v>36</v>
      </c>
      <c r="D1480" s="18">
        <v>60</v>
      </c>
      <c r="E1480" s="19"/>
      <c r="F1480" s="15">
        <f t="shared" si="23"/>
        <v>-60</v>
      </c>
    </row>
    <row r="1481" spans="1:6" x14ac:dyDescent="0.2">
      <c r="A1481" s="91">
        <v>45708</v>
      </c>
      <c r="B1481" s="45"/>
      <c r="C1481" s="17" t="s">
        <v>36</v>
      </c>
      <c r="D1481" s="18">
        <v>60</v>
      </c>
      <c r="E1481" s="19"/>
      <c r="F1481" s="15">
        <f t="shared" si="23"/>
        <v>-60</v>
      </c>
    </row>
    <row r="1482" spans="1:6" x14ac:dyDescent="0.2">
      <c r="A1482" s="91">
        <v>45715</v>
      </c>
      <c r="B1482" s="45"/>
      <c r="C1482" s="17" t="s">
        <v>36</v>
      </c>
      <c r="D1482" s="18">
        <v>666</v>
      </c>
      <c r="E1482" s="19"/>
      <c r="F1482" s="15">
        <f t="shared" si="23"/>
        <v>-666</v>
      </c>
    </row>
    <row r="1483" spans="1:6" x14ac:dyDescent="0.2">
      <c r="A1483" s="91">
        <v>45715</v>
      </c>
      <c r="B1483" s="45"/>
      <c r="C1483" s="17" t="s">
        <v>36</v>
      </c>
      <c r="D1483" s="18">
        <v>504.3</v>
      </c>
      <c r="E1483" s="19"/>
      <c r="F1483" s="15">
        <f t="shared" si="23"/>
        <v>-504.3</v>
      </c>
    </row>
    <row r="1484" spans="1:6" x14ac:dyDescent="0.2">
      <c r="A1484" s="91">
        <v>45722</v>
      </c>
      <c r="B1484" s="45"/>
      <c r="C1484" s="17" t="s">
        <v>36</v>
      </c>
      <c r="D1484" s="18">
        <v>351.73</v>
      </c>
      <c r="E1484" s="19"/>
      <c r="F1484" s="15">
        <f t="shared" si="23"/>
        <v>-351.73</v>
      </c>
    </row>
    <row r="1485" spans="1:6" x14ac:dyDescent="0.2">
      <c r="A1485" s="91">
        <v>45727</v>
      </c>
      <c r="B1485" s="51"/>
      <c r="C1485" s="47" t="s">
        <v>36</v>
      </c>
      <c r="D1485" s="48">
        <v>360</v>
      </c>
      <c r="E1485" s="49"/>
      <c r="F1485" s="15">
        <f t="shared" si="23"/>
        <v>-360</v>
      </c>
    </row>
    <row r="1486" spans="1:6" x14ac:dyDescent="0.2">
      <c r="A1486" s="91">
        <v>45736</v>
      </c>
      <c r="B1486" s="50"/>
      <c r="C1486" s="22" t="s">
        <v>36</v>
      </c>
      <c r="D1486" s="23">
        <v>60</v>
      </c>
      <c r="E1486" s="24"/>
      <c r="F1486" s="15">
        <f t="shared" si="23"/>
        <v>-60</v>
      </c>
    </row>
    <row r="1487" spans="1:6" x14ac:dyDescent="0.2">
      <c r="A1487" s="91">
        <v>45737</v>
      </c>
      <c r="B1487" s="45"/>
      <c r="C1487" s="17" t="s">
        <v>36</v>
      </c>
      <c r="D1487" s="18">
        <v>60</v>
      </c>
      <c r="E1487" s="19"/>
      <c r="F1487" s="15">
        <f t="shared" si="23"/>
        <v>-60</v>
      </c>
    </row>
    <row r="1488" spans="1:6" x14ac:dyDescent="0.2">
      <c r="A1488" s="91">
        <v>45743</v>
      </c>
      <c r="B1488" s="45"/>
      <c r="C1488" s="17" t="s">
        <v>36</v>
      </c>
      <c r="D1488" s="18">
        <v>60</v>
      </c>
      <c r="E1488" s="19"/>
      <c r="F1488" s="15">
        <f t="shared" si="23"/>
        <v>-60</v>
      </c>
    </row>
    <row r="1489" spans="1:6" x14ac:dyDescent="0.2">
      <c r="A1489" s="91">
        <v>45744</v>
      </c>
      <c r="B1489" s="45"/>
      <c r="C1489" s="17" t="s">
        <v>36</v>
      </c>
      <c r="D1489" s="18">
        <v>315</v>
      </c>
      <c r="E1489" s="19"/>
      <c r="F1489" s="15">
        <f t="shared" si="23"/>
        <v>-315</v>
      </c>
    </row>
    <row r="1490" spans="1:6" x14ac:dyDescent="0.2">
      <c r="A1490" s="91">
        <v>45744</v>
      </c>
      <c r="B1490" s="45"/>
      <c r="C1490" s="17" t="s">
        <v>36</v>
      </c>
      <c r="D1490" s="18">
        <v>799.5</v>
      </c>
      <c r="E1490" s="19"/>
      <c r="F1490" s="15">
        <f t="shared" si="23"/>
        <v>-799.5</v>
      </c>
    </row>
    <row r="1491" spans="1:6" x14ac:dyDescent="0.2">
      <c r="A1491" s="91">
        <v>45744</v>
      </c>
      <c r="B1491" s="45"/>
      <c r="C1491" s="17" t="s">
        <v>36</v>
      </c>
      <c r="D1491" s="18">
        <v>842.18</v>
      </c>
      <c r="E1491" s="19"/>
      <c r="F1491" s="15">
        <f t="shared" si="23"/>
        <v>-842.18</v>
      </c>
    </row>
    <row r="1492" spans="1:6" x14ac:dyDescent="0.2">
      <c r="A1492" s="91">
        <v>45747</v>
      </c>
      <c r="B1492" s="45"/>
      <c r="C1492" s="17" t="s">
        <v>36</v>
      </c>
      <c r="D1492" s="18">
        <v>6077.97</v>
      </c>
      <c r="E1492" s="19"/>
      <c r="F1492" s="15">
        <f t="shared" si="23"/>
        <v>-6077.97</v>
      </c>
    </row>
    <row r="1493" spans="1:6" x14ac:dyDescent="0.2">
      <c r="A1493" s="91">
        <v>45769</v>
      </c>
      <c r="B1493" s="45"/>
      <c r="C1493" s="17" t="s">
        <v>36</v>
      </c>
      <c r="D1493" s="18">
        <v>60</v>
      </c>
      <c r="E1493" s="19"/>
      <c r="F1493" s="15">
        <f t="shared" si="23"/>
        <v>-60</v>
      </c>
    </row>
    <row r="1494" spans="1:6" x14ac:dyDescent="0.2">
      <c r="A1494" s="91">
        <v>45771</v>
      </c>
      <c r="B1494" s="45"/>
      <c r="C1494" s="17" t="s">
        <v>36</v>
      </c>
      <c r="D1494" s="18">
        <v>60</v>
      </c>
      <c r="E1494" s="19"/>
      <c r="F1494" s="15">
        <f t="shared" si="23"/>
        <v>-60</v>
      </c>
    </row>
    <row r="1495" spans="1:6" x14ac:dyDescent="0.2">
      <c r="A1495" s="91">
        <v>45776</v>
      </c>
      <c r="B1495" s="45"/>
      <c r="C1495" s="17" t="s">
        <v>36</v>
      </c>
      <c r="D1495" s="18">
        <v>799.5</v>
      </c>
      <c r="E1495" s="19"/>
      <c r="F1495" s="15">
        <f t="shared" si="23"/>
        <v>-799.5</v>
      </c>
    </row>
    <row r="1496" spans="1:6" x14ac:dyDescent="0.2">
      <c r="A1496" s="91">
        <v>45776</v>
      </c>
      <c r="B1496" s="45"/>
      <c r="C1496" s="17" t="s">
        <v>36</v>
      </c>
      <c r="D1496" s="18">
        <v>916.05</v>
      </c>
      <c r="E1496" s="19"/>
      <c r="F1496" s="15">
        <f t="shared" si="23"/>
        <v>-916.05</v>
      </c>
    </row>
    <row r="1497" spans="1:6" x14ac:dyDescent="0.2">
      <c r="A1497" s="91">
        <v>45783</v>
      </c>
      <c r="B1497" s="45"/>
      <c r="C1497" s="17" t="s">
        <v>36</v>
      </c>
      <c r="D1497" s="18">
        <v>360</v>
      </c>
      <c r="E1497" s="19"/>
      <c r="F1497" s="15">
        <f t="shared" si="23"/>
        <v>-360</v>
      </c>
    </row>
    <row r="1498" spans="1:6" x14ac:dyDescent="0.2">
      <c r="A1498" s="91">
        <v>45786</v>
      </c>
      <c r="B1498" s="45"/>
      <c r="C1498" s="17" t="s">
        <v>36</v>
      </c>
      <c r="D1498" s="18">
        <v>280.66000000000003</v>
      </c>
      <c r="E1498" s="19"/>
      <c r="F1498" s="15">
        <f t="shared" si="23"/>
        <v>-280.66000000000003</v>
      </c>
    </row>
    <row r="1499" spans="1:6" x14ac:dyDescent="0.2">
      <c r="A1499" s="91">
        <v>45792</v>
      </c>
      <c r="B1499" s="45"/>
      <c r="C1499" s="17" t="s">
        <v>36</v>
      </c>
      <c r="D1499" s="18">
        <v>60</v>
      </c>
      <c r="E1499" s="19"/>
      <c r="F1499" s="15">
        <f t="shared" si="23"/>
        <v>-60</v>
      </c>
    </row>
    <row r="1500" spans="1:6" x14ac:dyDescent="0.2">
      <c r="A1500" s="91">
        <v>45806</v>
      </c>
      <c r="B1500" s="45"/>
      <c r="C1500" s="17" t="s">
        <v>36</v>
      </c>
      <c r="D1500" s="18">
        <v>799.5</v>
      </c>
      <c r="E1500" s="19"/>
      <c r="F1500" s="15">
        <f t="shared" si="23"/>
        <v>-799.5</v>
      </c>
    </row>
    <row r="1501" spans="1:6" x14ac:dyDescent="0.2">
      <c r="A1501" s="91">
        <v>45806</v>
      </c>
      <c r="B1501" s="45"/>
      <c r="C1501" s="17" t="s">
        <v>36</v>
      </c>
      <c r="D1501" s="18">
        <v>871.73</v>
      </c>
      <c r="E1501" s="19"/>
      <c r="F1501" s="15">
        <f t="shared" si="23"/>
        <v>-871.73</v>
      </c>
    </row>
    <row r="1502" spans="1:6" x14ac:dyDescent="0.2">
      <c r="A1502" s="91">
        <v>45812</v>
      </c>
      <c r="B1502" s="45"/>
      <c r="C1502" s="17" t="s">
        <v>36</v>
      </c>
      <c r="D1502" s="18">
        <v>360</v>
      </c>
      <c r="E1502" s="19"/>
      <c r="F1502" s="15">
        <f t="shared" si="23"/>
        <v>-360</v>
      </c>
    </row>
    <row r="1503" spans="1:6" x14ac:dyDescent="0.2">
      <c r="A1503" s="91">
        <v>45813</v>
      </c>
      <c r="B1503" s="45"/>
      <c r="C1503" s="17" t="s">
        <v>36</v>
      </c>
      <c r="D1503" s="18">
        <v>54.53</v>
      </c>
      <c r="E1503" s="19"/>
      <c r="F1503" s="15">
        <f t="shared" si="23"/>
        <v>-54.53</v>
      </c>
    </row>
    <row r="1504" spans="1:6" x14ac:dyDescent="0.2">
      <c r="A1504" s="91">
        <v>45817</v>
      </c>
      <c r="B1504" s="45"/>
      <c r="C1504" s="17" t="s">
        <v>36</v>
      </c>
      <c r="D1504" s="18">
        <v>255.76</v>
      </c>
      <c r="E1504" s="19"/>
      <c r="F1504" s="15">
        <f t="shared" si="23"/>
        <v>-255.76</v>
      </c>
    </row>
    <row r="1505" spans="1:6" x14ac:dyDescent="0.2">
      <c r="A1505" s="91">
        <v>45820</v>
      </c>
      <c r="B1505" s="45"/>
      <c r="C1505" s="17" t="s">
        <v>36</v>
      </c>
      <c r="D1505" s="18">
        <v>271.56</v>
      </c>
      <c r="E1505" s="19"/>
      <c r="F1505" s="15">
        <f t="shared" si="23"/>
        <v>-271.56</v>
      </c>
    </row>
    <row r="1506" spans="1:6" x14ac:dyDescent="0.2">
      <c r="A1506" s="91">
        <v>45825</v>
      </c>
      <c r="B1506" s="45"/>
      <c r="C1506" s="17" t="s">
        <v>36</v>
      </c>
      <c r="D1506" s="18">
        <v>360</v>
      </c>
      <c r="E1506" s="19"/>
      <c r="F1506" s="15">
        <f t="shared" si="23"/>
        <v>-360</v>
      </c>
    </row>
    <row r="1507" spans="1:6" x14ac:dyDescent="0.2">
      <c r="A1507" s="91">
        <v>45835</v>
      </c>
      <c r="B1507" s="45"/>
      <c r="C1507" s="17" t="s">
        <v>36</v>
      </c>
      <c r="D1507" s="18">
        <v>799.5</v>
      </c>
      <c r="E1507" s="19"/>
      <c r="F1507" s="15">
        <f t="shared" si="23"/>
        <v>-799.5</v>
      </c>
    </row>
    <row r="1508" spans="1:6" x14ac:dyDescent="0.2">
      <c r="A1508" s="91">
        <v>45835</v>
      </c>
      <c r="B1508" s="45"/>
      <c r="C1508" s="17" t="s">
        <v>36</v>
      </c>
      <c r="D1508" s="18">
        <v>871.73</v>
      </c>
      <c r="E1508" s="19"/>
      <c r="F1508" s="15">
        <f t="shared" si="23"/>
        <v>-871.73</v>
      </c>
    </row>
    <row r="1509" spans="1:6" x14ac:dyDescent="0.2">
      <c r="A1509" s="91">
        <v>45841</v>
      </c>
      <c r="B1509" s="45"/>
      <c r="C1509" s="17" t="s">
        <v>36</v>
      </c>
      <c r="D1509" s="18">
        <v>6445.95</v>
      </c>
      <c r="E1509" s="19"/>
      <c r="F1509" s="15">
        <f t="shared" si="23"/>
        <v>-6445.95</v>
      </c>
    </row>
    <row r="1510" spans="1:6" x14ac:dyDescent="0.2">
      <c r="A1510" s="91">
        <v>45842</v>
      </c>
      <c r="B1510" s="51"/>
      <c r="C1510" s="47" t="s">
        <v>36</v>
      </c>
      <c r="D1510" s="48">
        <v>128.35</v>
      </c>
      <c r="E1510" s="49"/>
      <c r="F1510" s="15">
        <f t="shared" si="23"/>
        <v>-128.35</v>
      </c>
    </row>
    <row r="1511" spans="1:6" x14ac:dyDescent="0.2">
      <c r="A1511" s="91">
        <v>45845</v>
      </c>
      <c r="B1511" s="50"/>
      <c r="C1511" s="22" t="s">
        <v>36</v>
      </c>
      <c r="D1511" s="23">
        <v>60</v>
      </c>
      <c r="E1511" s="24"/>
      <c r="F1511" s="15">
        <f t="shared" si="23"/>
        <v>-60</v>
      </c>
    </row>
    <row r="1512" spans="1:6" x14ac:dyDescent="0.2">
      <c r="A1512" s="91">
        <v>45846</v>
      </c>
      <c r="B1512" s="45"/>
      <c r="C1512" s="17" t="s">
        <v>36</v>
      </c>
      <c r="D1512" s="18">
        <v>150.97</v>
      </c>
      <c r="E1512" s="19"/>
      <c r="F1512" s="15">
        <f t="shared" si="23"/>
        <v>-150.97</v>
      </c>
    </row>
    <row r="1513" spans="1:6" x14ac:dyDescent="0.2">
      <c r="A1513" s="91">
        <v>45846</v>
      </c>
      <c r="B1513" s="45"/>
      <c r="C1513" s="17" t="s">
        <v>36</v>
      </c>
      <c r="D1513" s="18">
        <v>60</v>
      </c>
      <c r="E1513" s="19"/>
      <c r="F1513" s="15">
        <f t="shared" si="23"/>
        <v>-60</v>
      </c>
    </row>
    <row r="1514" spans="1:6" x14ac:dyDescent="0.2">
      <c r="A1514" s="91">
        <v>45868</v>
      </c>
      <c r="B1514" s="45"/>
      <c r="C1514" s="17" t="s">
        <v>36</v>
      </c>
      <c r="D1514" s="18">
        <v>799.5</v>
      </c>
      <c r="E1514" s="19"/>
      <c r="F1514" s="15">
        <f t="shared" si="23"/>
        <v>-799.5</v>
      </c>
    </row>
    <row r="1515" spans="1:6" x14ac:dyDescent="0.2">
      <c r="A1515" s="91">
        <v>45868</v>
      </c>
      <c r="B1515" s="45"/>
      <c r="C1515" s="17" t="s">
        <v>36</v>
      </c>
      <c r="D1515" s="18">
        <v>975.15</v>
      </c>
      <c r="E1515" s="19"/>
      <c r="F1515" s="15">
        <f t="shared" si="23"/>
        <v>-975.15</v>
      </c>
    </row>
    <row r="1516" spans="1:6" x14ac:dyDescent="0.2">
      <c r="A1516" s="91">
        <v>45870</v>
      </c>
      <c r="B1516" s="45"/>
      <c r="C1516" s="17" t="s">
        <v>36</v>
      </c>
      <c r="D1516" s="18">
        <v>263.62</v>
      </c>
      <c r="E1516" s="19"/>
      <c r="F1516" s="15">
        <f t="shared" si="23"/>
        <v>-263.62</v>
      </c>
    </row>
    <row r="1517" spans="1:6" x14ac:dyDescent="0.2">
      <c r="A1517" s="91">
        <v>45876</v>
      </c>
      <c r="B1517" s="45"/>
      <c r="C1517" s="17" t="s">
        <v>36</v>
      </c>
      <c r="D1517" s="18">
        <v>2039.31</v>
      </c>
      <c r="E1517" s="19"/>
      <c r="F1517" s="15">
        <f t="shared" si="23"/>
        <v>-2039.31</v>
      </c>
    </row>
    <row r="1518" spans="1:6" x14ac:dyDescent="0.2">
      <c r="A1518" s="91">
        <v>45880</v>
      </c>
      <c r="B1518" s="45"/>
      <c r="C1518" s="17" t="s">
        <v>36</v>
      </c>
      <c r="D1518" s="18">
        <v>191.13</v>
      </c>
      <c r="E1518" s="19"/>
      <c r="F1518" s="15">
        <f t="shared" si="23"/>
        <v>-191.13</v>
      </c>
    </row>
    <row r="1519" spans="1:6" x14ac:dyDescent="0.2">
      <c r="A1519" s="91">
        <v>45897</v>
      </c>
      <c r="B1519" s="45"/>
      <c r="C1519" s="17" t="s">
        <v>36</v>
      </c>
      <c r="D1519" s="18">
        <v>799.5</v>
      </c>
      <c r="E1519" s="19"/>
      <c r="F1519" s="15">
        <f t="shared" si="23"/>
        <v>-799.5</v>
      </c>
    </row>
    <row r="1520" spans="1:6" x14ac:dyDescent="0.2">
      <c r="A1520" s="91">
        <v>45897</v>
      </c>
      <c r="B1520" s="45"/>
      <c r="C1520" s="17" t="s">
        <v>36</v>
      </c>
      <c r="D1520" s="18">
        <v>605.78</v>
      </c>
      <c r="E1520" s="19"/>
      <c r="F1520" s="15">
        <f t="shared" si="23"/>
        <v>-605.78</v>
      </c>
    </row>
    <row r="1521" spans="1:8" x14ac:dyDescent="0.2">
      <c r="A1521" s="91">
        <v>45898</v>
      </c>
      <c r="B1521" s="45"/>
      <c r="C1521" s="17" t="s">
        <v>36</v>
      </c>
      <c r="D1521" s="18">
        <v>83.7</v>
      </c>
      <c r="E1521" s="19"/>
      <c r="F1521" s="15">
        <f t="shared" si="23"/>
        <v>-83.7</v>
      </c>
    </row>
    <row r="1522" spans="1:8" x14ac:dyDescent="0.2">
      <c r="A1522" s="91">
        <v>45544</v>
      </c>
      <c r="B1522" s="26"/>
      <c r="C1522" s="17" t="s">
        <v>34</v>
      </c>
      <c r="D1522" s="18">
        <v>2400</v>
      </c>
      <c r="E1522" s="19"/>
      <c r="F1522" s="15">
        <f t="shared" si="23"/>
        <v>-2400</v>
      </c>
      <c r="H1522" s="10"/>
    </row>
    <row r="1523" spans="1:8" x14ac:dyDescent="0.2">
      <c r="A1523" s="91">
        <v>45566</v>
      </c>
      <c r="B1523" s="45"/>
      <c r="C1523" s="17" t="s">
        <v>34</v>
      </c>
      <c r="D1523" s="18">
        <v>1200</v>
      </c>
      <c r="E1523" s="19"/>
      <c r="F1523" s="15">
        <f t="shared" si="23"/>
        <v>-1200</v>
      </c>
    </row>
    <row r="1524" spans="1:8" x14ac:dyDescent="0.2">
      <c r="A1524" s="91">
        <v>45567</v>
      </c>
      <c r="B1524" s="45"/>
      <c r="C1524" s="17" t="s">
        <v>34</v>
      </c>
      <c r="D1524" s="18">
        <v>2400</v>
      </c>
      <c r="E1524" s="19"/>
      <c r="F1524" s="15">
        <f t="shared" si="23"/>
        <v>-2400</v>
      </c>
    </row>
    <row r="1525" spans="1:8" x14ac:dyDescent="0.2">
      <c r="A1525" s="91">
        <v>45595</v>
      </c>
      <c r="B1525" s="45"/>
      <c r="C1525" s="17" t="s">
        <v>34</v>
      </c>
      <c r="D1525" s="18">
        <v>2400</v>
      </c>
      <c r="E1525" s="19"/>
      <c r="F1525" s="15">
        <f t="shared" si="23"/>
        <v>-2400</v>
      </c>
    </row>
    <row r="1526" spans="1:8" x14ac:dyDescent="0.2">
      <c r="A1526" s="91">
        <v>45611</v>
      </c>
      <c r="B1526" s="45"/>
      <c r="C1526" s="17" t="s">
        <v>34</v>
      </c>
      <c r="D1526" s="18">
        <v>1800</v>
      </c>
      <c r="E1526" s="19"/>
      <c r="F1526" s="15">
        <f t="shared" si="23"/>
        <v>-1800</v>
      </c>
    </row>
    <row r="1527" spans="1:8" x14ac:dyDescent="0.2">
      <c r="A1527" s="91">
        <v>45615</v>
      </c>
      <c r="B1527" s="45"/>
      <c r="C1527" s="17" t="s">
        <v>34</v>
      </c>
      <c r="D1527" s="18">
        <v>2400</v>
      </c>
      <c r="E1527" s="19"/>
      <c r="F1527" s="15">
        <f t="shared" si="23"/>
        <v>-2400</v>
      </c>
    </row>
    <row r="1528" spans="1:8" x14ac:dyDescent="0.2">
      <c r="A1528" s="91">
        <v>45621</v>
      </c>
      <c r="B1528" s="45"/>
      <c r="C1528" s="17" t="s">
        <v>34</v>
      </c>
      <c r="D1528" s="18">
        <v>1200</v>
      </c>
      <c r="E1528" s="19"/>
      <c r="F1528" s="15">
        <f t="shared" si="23"/>
        <v>-1200</v>
      </c>
    </row>
    <row r="1529" spans="1:8" x14ac:dyDescent="0.2">
      <c r="A1529" s="91">
        <v>45624</v>
      </c>
      <c r="B1529" s="45"/>
      <c r="C1529" s="17" t="s">
        <v>34</v>
      </c>
      <c r="D1529" s="18">
        <v>3000</v>
      </c>
      <c r="E1529" s="19"/>
      <c r="F1529" s="15">
        <f t="shared" si="23"/>
        <v>-3000</v>
      </c>
    </row>
    <row r="1530" spans="1:8" x14ac:dyDescent="0.2">
      <c r="A1530" s="91">
        <v>45625</v>
      </c>
      <c r="B1530" s="45"/>
      <c r="C1530" s="17" t="s">
        <v>34</v>
      </c>
      <c r="D1530" s="25">
        <v>1200</v>
      </c>
      <c r="E1530" s="19"/>
      <c r="F1530" s="15">
        <f t="shared" si="23"/>
        <v>-1200</v>
      </c>
    </row>
    <row r="1531" spans="1:8" x14ac:dyDescent="0.2">
      <c r="A1531" s="91">
        <v>45632</v>
      </c>
      <c r="B1531" s="45"/>
      <c r="C1531" s="17" t="s">
        <v>34</v>
      </c>
      <c r="D1531" s="18">
        <v>600</v>
      </c>
      <c r="E1531" s="19"/>
      <c r="F1531" s="15">
        <f t="shared" si="23"/>
        <v>-600</v>
      </c>
    </row>
    <row r="1532" spans="1:8" x14ac:dyDescent="0.2">
      <c r="A1532" s="91">
        <v>45635</v>
      </c>
      <c r="B1532" s="45"/>
      <c r="C1532" s="17" t="s">
        <v>34</v>
      </c>
      <c r="D1532" s="18">
        <v>600</v>
      </c>
      <c r="E1532" s="19"/>
      <c r="F1532" s="15">
        <f t="shared" si="23"/>
        <v>-600</v>
      </c>
    </row>
    <row r="1533" spans="1:8" x14ac:dyDescent="0.2">
      <c r="A1533" s="91">
        <v>45644</v>
      </c>
      <c r="B1533" s="45"/>
      <c r="C1533" s="17" t="s">
        <v>34</v>
      </c>
      <c r="D1533" s="18">
        <v>1200</v>
      </c>
      <c r="E1533" s="19"/>
      <c r="F1533" s="15">
        <f t="shared" si="23"/>
        <v>-1200</v>
      </c>
    </row>
    <row r="1534" spans="1:8" x14ac:dyDescent="0.2">
      <c r="A1534" s="91">
        <v>45652</v>
      </c>
      <c r="B1534" s="51"/>
      <c r="C1534" s="47" t="s">
        <v>34</v>
      </c>
      <c r="D1534" s="48">
        <v>1200</v>
      </c>
      <c r="E1534" s="49"/>
      <c r="F1534" s="15">
        <f t="shared" si="23"/>
        <v>-1200</v>
      </c>
    </row>
    <row r="1535" spans="1:8" x14ac:dyDescent="0.2">
      <c r="A1535" s="91">
        <v>45653</v>
      </c>
      <c r="B1535" s="50"/>
      <c r="C1535" s="22" t="s">
        <v>34</v>
      </c>
      <c r="D1535" s="23">
        <v>2400</v>
      </c>
      <c r="E1535" s="24"/>
      <c r="F1535" s="15">
        <f t="shared" si="23"/>
        <v>-2400</v>
      </c>
    </row>
    <row r="1536" spans="1:8" x14ac:dyDescent="0.2">
      <c r="A1536" s="91">
        <v>45656</v>
      </c>
      <c r="B1536" s="45"/>
      <c r="C1536" s="17" t="s">
        <v>34</v>
      </c>
      <c r="D1536" s="25">
        <v>600</v>
      </c>
      <c r="E1536" s="19"/>
      <c r="F1536" s="15">
        <f t="shared" si="23"/>
        <v>-600</v>
      </c>
    </row>
    <row r="1537" spans="1:6" x14ac:dyDescent="0.2">
      <c r="A1537" s="91">
        <v>45666</v>
      </c>
      <c r="B1537" s="45"/>
      <c r="C1537" s="17" t="s">
        <v>34</v>
      </c>
      <c r="D1537" s="18">
        <v>600</v>
      </c>
      <c r="E1537" s="19"/>
      <c r="F1537" s="15">
        <f t="shared" si="23"/>
        <v>-600</v>
      </c>
    </row>
    <row r="1538" spans="1:6" x14ac:dyDescent="0.2">
      <c r="A1538" s="91">
        <v>45671</v>
      </c>
      <c r="B1538" s="45"/>
      <c r="C1538" s="17" t="s">
        <v>34</v>
      </c>
      <c r="D1538" s="18">
        <v>504</v>
      </c>
      <c r="E1538" s="19"/>
      <c r="F1538" s="15">
        <f t="shared" si="23"/>
        <v>-504</v>
      </c>
    </row>
    <row r="1539" spans="1:6" x14ac:dyDescent="0.2">
      <c r="A1539" s="91">
        <v>45678</v>
      </c>
      <c r="B1539" s="45"/>
      <c r="C1539" s="17" t="s">
        <v>34</v>
      </c>
      <c r="D1539" s="18">
        <v>2400</v>
      </c>
      <c r="E1539" s="19"/>
      <c r="F1539" s="15">
        <f t="shared" ref="F1539:F1602" si="24">+E1539-D1539</f>
        <v>-2400</v>
      </c>
    </row>
    <row r="1540" spans="1:6" x14ac:dyDescent="0.2">
      <c r="A1540" s="91">
        <v>45679</v>
      </c>
      <c r="B1540" s="45"/>
      <c r="C1540" s="17" t="s">
        <v>34</v>
      </c>
      <c r="D1540" s="18">
        <v>1800</v>
      </c>
      <c r="E1540" s="19"/>
      <c r="F1540" s="15">
        <f t="shared" si="24"/>
        <v>-1800</v>
      </c>
    </row>
    <row r="1541" spans="1:6" x14ac:dyDescent="0.2">
      <c r="A1541" s="91">
        <v>45680</v>
      </c>
      <c r="B1541" s="45"/>
      <c r="C1541" s="17" t="s">
        <v>34</v>
      </c>
      <c r="D1541" s="18">
        <v>2400</v>
      </c>
      <c r="E1541" s="19"/>
      <c r="F1541" s="15">
        <f t="shared" si="24"/>
        <v>-2400</v>
      </c>
    </row>
    <row r="1542" spans="1:6" x14ac:dyDescent="0.2">
      <c r="A1542" s="91">
        <v>45681</v>
      </c>
      <c r="B1542" s="45"/>
      <c r="C1542" s="17" t="s">
        <v>34</v>
      </c>
      <c r="D1542" s="18">
        <v>1200</v>
      </c>
      <c r="E1542" s="19"/>
      <c r="F1542" s="15">
        <f t="shared" si="24"/>
        <v>-1200</v>
      </c>
    </row>
    <row r="1543" spans="1:6" x14ac:dyDescent="0.2">
      <c r="A1543" s="91">
        <v>45699</v>
      </c>
      <c r="B1543" s="45"/>
      <c r="C1543" s="17" t="s">
        <v>34</v>
      </c>
      <c r="D1543" s="18">
        <v>600</v>
      </c>
      <c r="E1543" s="19"/>
      <c r="F1543" s="15">
        <f t="shared" si="24"/>
        <v>-600</v>
      </c>
    </row>
    <row r="1544" spans="1:6" x14ac:dyDescent="0.2">
      <c r="A1544" s="91">
        <v>45700</v>
      </c>
      <c r="B1544" s="45"/>
      <c r="C1544" s="17" t="s">
        <v>34</v>
      </c>
      <c r="D1544" s="18">
        <v>2400</v>
      </c>
      <c r="E1544" s="19"/>
      <c r="F1544" s="15">
        <f t="shared" si="24"/>
        <v>-2400</v>
      </c>
    </row>
    <row r="1545" spans="1:6" x14ac:dyDescent="0.2">
      <c r="A1545" s="91">
        <v>45706</v>
      </c>
      <c r="B1545" s="45"/>
      <c r="C1545" s="17" t="s">
        <v>34</v>
      </c>
      <c r="D1545" s="18">
        <v>2400</v>
      </c>
      <c r="E1545" s="19"/>
      <c r="F1545" s="15">
        <f t="shared" si="24"/>
        <v>-2400</v>
      </c>
    </row>
    <row r="1546" spans="1:6" x14ac:dyDescent="0.2">
      <c r="A1546" s="91">
        <v>45707</v>
      </c>
      <c r="B1546" s="45"/>
      <c r="C1546" s="17" t="s">
        <v>34</v>
      </c>
      <c r="D1546" s="18">
        <v>2400</v>
      </c>
      <c r="E1546" s="19"/>
      <c r="F1546" s="15">
        <f t="shared" si="24"/>
        <v>-2400</v>
      </c>
    </row>
    <row r="1547" spans="1:6" x14ac:dyDescent="0.2">
      <c r="A1547" s="91">
        <v>45708</v>
      </c>
      <c r="B1547" s="45"/>
      <c r="C1547" s="17" t="s">
        <v>34</v>
      </c>
      <c r="D1547" s="18">
        <v>1080</v>
      </c>
      <c r="E1547" s="19"/>
      <c r="F1547" s="15">
        <f t="shared" si="24"/>
        <v>-1080</v>
      </c>
    </row>
    <row r="1548" spans="1:6" x14ac:dyDescent="0.2">
      <c r="A1548" s="91">
        <v>45730</v>
      </c>
      <c r="B1548" s="45"/>
      <c r="C1548" s="17" t="s">
        <v>34</v>
      </c>
      <c r="D1548" s="18">
        <v>600</v>
      </c>
      <c r="E1548" s="19"/>
      <c r="F1548" s="15">
        <f t="shared" si="24"/>
        <v>-600</v>
      </c>
    </row>
    <row r="1549" spans="1:6" x14ac:dyDescent="0.2">
      <c r="A1549" s="91">
        <v>45733</v>
      </c>
      <c r="B1549" s="45"/>
      <c r="C1549" s="17" t="s">
        <v>34</v>
      </c>
      <c r="D1549" s="18">
        <v>600</v>
      </c>
      <c r="E1549" s="19"/>
      <c r="F1549" s="15">
        <f t="shared" si="24"/>
        <v>-600</v>
      </c>
    </row>
    <row r="1550" spans="1:6" x14ac:dyDescent="0.2">
      <c r="A1550" s="91">
        <v>45735</v>
      </c>
      <c r="B1550" s="45"/>
      <c r="C1550" s="17" t="s">
        <v>34</v>
      </c>
      <c r="D1550" s="18">
        <v>2400</v>
      </c>
      <c r="E1550" s="19"/>
      <c r="F1550" s="15">
        <f t="shared" si="24"/>
        <v>-2400</v>
      </c>
    </row>
    <row r="1551" spans="1:6" x14ac:dyDescent="0.2">
      <c r="A1551" s="91">
        <v>45736</v>
      </c>
      <c r="B1551" s="45"/>
      <c r="C1551" s="17" t="s">
        <v>34</v>
      </c>
      <c r="D1551" s="18">
        <v>2400</v>
      </c>
      <c r="E1551" s="19"/>
      <c r="F1551" s="15">
        <f t="shared" si="24"/>
        <v>-2400</v>
      </c>
    </row>
    <row r="1552" spans="1:6" x14ac:dyDescent="0.2">
      <c r="A1552" s="91">
        <v>45742</v>
      </c>
      <c r="B1552" s="45"/>
      <c r="C1552" s="17" t="s">
        <v>34</v>
      </c>
      <c r="D1552" s="18">
        <v>2400</v>
      </c>
      <c r="E1552" s="19"/>
      <c r="F1552" s="15">
        <f t="shared" si="24"/>
        <v>-2400</v>
      </c>
    </row>
    <row r="1553" spans="1:6" x14ac:dyDescent="0.2">
      <c r="A1553" s="91">
        <v>45743</v>
      </c>
      <c r="B1553" s="45"/>
      <c r="C1553" s="17" t="s">
        <v>34</v>
      </c>
      <c r="D1553" s="18">
        <v>12600</v>
      </c>
      <c r="E1553" s="19"/>
      <c r="F1553" s="15">
        <f t="shared" si="24"/>
        <v>-12600</v>
      </c>
    </row>
    <row r="1554" spans="1:6" x14ac:dyDescent="0.2">
      <c r="A1554" s="91">
        <v>45762</v>
      </c>
      <c r="B1554" s="45"/>
      <c r="C1554" s="17" t="s">
        <v>34</v>
      </c>
      <c r="D1554" s="18">
        <v>600</v>
      </c>
      <c r="E1554" s="19"/>
      <c r="F1554" s="15">
        <f t="shared" si="24"/>
        <v>-600</v>
      </c>
    </row>
    <row r="1555" spans="1:6" x14ac:dyDescent="0.2">
      <c r="A1555" s="91">
        <v>45763</v>
      </c>
      <c r="B1555" s="45"/>
      <c r="C1555" s="17" t="s">
        <v>34</v>
      </c>
      <c r="D1555" s="18">
        <v>600</v>
      </c>
      <c r="E1555" s="19"/>
      <c r="F1555" s="15">
        <f t="shared" si="24"/>
        <v>-600</v>
      </c>
    </row>
    <row r="1556" spans="1:6" x14ac:dyDescent="0.2">
      <c r="A1556" s="91">
        <v>45768</v>
      </c>
      <c r="B1556" s="45"/>
      <c r="C1556" s="17" t="s">
        <v>34</v>
      </c>
      <c r="D1556" s="18">
        <v>2400</v>
      </c>
      <c r="E1556" s="19"/>
      <c r="F1556" s="15">
        <f t="shared" si="24"/>
        <v>-2400</v>
      </c>
    </row>
    <row r="1557" spans="1:6" x14ac:dyDescent="0.2">
      <c r="A1557" s="91">
        <v>45770</v>
      </c>
      <c r="B1557" s="45"/>
      <c r="C1557" s="17" t="s">
        <v>34</v>
      </c>
      <c r="D1557" s="18">
        <v>2400</v>
      </c>
      <c r="E1557" s="19"/>
      <c r="F1557" s="15">
        <f t="shared" si="24"/>
        <v>-2400</v>
      </c>
    </row>
    <row r="1558" spans="1:6" x14ac:dyDescent="0.2">
      <c r="A1558" s="91">
        <v>45771</v>
      </c>
      <c r="B1558" s="45"/>
      <c r="C1558" s="17" t="s">
        <v>34</v>
      </c>
      <c r="D1558" s="18">
        <v>600</v>
      </c>
      <c r="E1558" s="19"/>
      <c r="F1558" s="15">
        <f t="shared" si="24"/>
        <v>-600</v>
      </c>
    </row>
    <row r="1559" spans="1:6" x14ac:dyDescent="0.2">
      <c r="A1559" s="91">
        <v>45791</v>
      </c>
      <c r="B1559" s="45"/>
      <c r="C1559" s="17" t="s">
        <v>34</v>
      </c>
      <c r="D1559" s="18">
        <v>2400</v>
      </c>
      <c r="E1559" s="19"/>
      <c r="F1559" s="15">
        <f t="shared" si="24"/>
        <v>-2400</v>
      </c>
    </row>
    <row r="1560" spans="1:6" x14ac:dyDescent="0.2">
      <c r="A1560" s="91">
        <v>45798</v>
      </c>
      <c r="B1560" s="51"/>
      <c r="C1560" s="47" t="s">
        <v>34</v>
      </c>
      <c r="D1560" s="48">
        <v>600</v>
      </c>
      <c r="E1560" s="49"/>
      <c r="F1560" s="15">
        <f t="shared" si="24"/>
        <v>-600</v>
      </c>
    </row>
    <row r="1561" spans="1:6" x14ac:dyDescent="0.2">
      <c r="A1561" s="91">
        <v>45799</v>
      </c>
      <c r="B1561" s="50"/>
      <c r="C1561" s="22" t="s">
        <v>34</v>
      </c>
      <c r="D1561" s="23">
        <v>480</v>
      </c>
      <c r="E1561" s="24"/>
      <c r="F1561" s="15">
        <f t="shared" si="24"/>
        <v>-480</v>
      </c>
    </row>
    <row r="1562" spans="1:6" x14ac:dyDescent="0.2">
      <c r="A1562" s="91">
        <v>45827</v>
      </c>
      <c r="B1562" s="45"/>
      <c r="C1562" s="17" t="s">
        <v>34</v>
      </c>
      <c r="D1562" s="18">
        <v>600</v>
      </c>
      <c r="E1562" s="19"/>
      <c r="F1562" s="15">
        <f t="shared" si="24"/>
        <v>-600</v>
      </c>
    </row>
    <row r="1563" spans="1:6" x14ac:dyDescent="0.2">
      <c r="A1563" s="91">
        <v>45831</v>
      </c>
      <c r="B1563" s="45"/>
      <c r="C1563" s="17" t="s">
        <v>34</v>
      </c>
      <c r="D1563" s="18">
        <v>600</v>
      </c>
      <c r="E1563" s="19"/>
      <c r="F1563" s="15">
        <f t="shared" si="24"/>
        <v>-600</v>
      </c>
    </row>
    <row r="1564" spans="1:6" x14ac:dyDescent="0.2">
      <c r="A1564" s="91">
        <v>45842</v>
      </c>
      <c r="B1564" s="45"/>
      <c r="C1564" s="17" t="s">
        <v>34</v>
      </c>
      <c r="D1564" s="18">
        <v>2400</v>
      </c>
      <c r="E1564" s="19"/>
      <c r="F1564" s="15">
        <f t="shared" si="24"/>
        <v>-2400</v>
      </c>
    </row>
    <row r="1565" spans="1:6" x14ac:dyDescent="0.2">
      <c r="A1565" s="91">
        <v>45845</v>
      </c>
      <c r="B1565" s="45"/>
      <c r="C1565" s="17" t="s">
        <v>34</v>
      </c>
      <c r="D1565" s="18">
        <v>2400</v>
      </c>
      <c r="E1565" s="19"/>
      <c r="F1565" s="15">
        <f t="shared" si="24"/>
        <v>-2400</v>
      </c>
    </row>
    <row r="1566" spans="1:6" x14ac:dyDescent="0.2">
      <c r="A1566" s="91">
        <v>45846</v>
      </c>
      <c r="B1566" s="45"/>
      <c r="C1566" s="17" t="s">
        <v>34</v>
      </c>
      <c r="D1566" s="18">
        <v>600</v>
      </c>
      <c r="E1566" s="19"/>
      <c r="F1566" s="15">
        <f t="shared" si="24"/>
        <v>-600</v>
      </c>
    </row>
    <row r="1567" spans="1:6" x14ac:dyDescent="0.2">
      <c r="A1567" s="91">
        <v>45853</v>
      </c>
      <c r="B1567" s="45"/>
      <c r="C1567" s="17" t="s">
        <v>34</v>
      </c>
      <c r="D1567" s="18">
        <v>600</v>
      </c>
      <c r="E1567" s="19"/>
      <c r="F1567" s="15">
        <f t="shared" si="24"/>
        <v>-600</v>
      </c>
    </row>
    <row r="1568" spans="1:6" x14ac:dyDescent="0.2">
      <c r="A1568" s="91">
        <v>45889</v>
      </c>
      <c r="B1568" s="45"/>
      <c r="C1568" s="17" t="s">
        <v>34</v>
      </c>
      <c r="D1568" s="18">
        <v>600</v>
      </c>
      <c r="E1568" s="19"/>
      <c r="F1568" s="15">
        <f t="shared" si="24"/>
        <v>-600</v>
      </c>
    </row>
    <row r="1569" spans="1:8" x14ac:dyDescent="0.2">
      <c r="A1569" s="91">
        <v>45890</v>
      </c>
      <c r="B1569" s="45"/>
      <c r="C1569" s="17" t="s">
        <v>34</v>
      </c>
      <c r="D1569" s="18">
        <v>600</v>
      </c>
      <c r="E1569" s="19"/>
      <c r="F1569" s="15">
        <f t="shared" si="24"/>
        <v>-600</v>
      </c>
    </row>
    <row r="1570" spans="1:8" x14ac:dyDescent="0.2">
      <c r="A1570" s="91">
        <v>45891</v>
      </c>
      <c r="B1570" s="45"/>
      <c r="C1570" s="17" t="s">
        <v>34</v>
      </c>
      <c r="D1570" s="18">
        <v>600</v>
      </c>
      <c r="E1570" s="19"/>
      <c r="F1570" s="15">
        <f t="shared" si="24"/>
        <v>-600</v>
      </c>
    </row>
    <row r="1571" spans="1:8" x14ac:dyDescent="0.2">
      <c r="A1571" s="91">
        <v>45895</v>
      </c>
      <c r="B1571" s="45"/>
      <c r="C1571" s="17" t="s">
        <v>34</v>
      </c>
      <c r="D1571" s="18">
        <v>600</v>
      </c>
      <c r="E1571" s="19"/>
      <c r="F1571" s="15">
        <f t="shared" si="24"/>
        <v>-600</v>
      </c>
    </row>
    <row r="1572" spans="1:8" x14ac:dyDescent="0.2">
      <c r="A1572" s="91">
        <v>45897</v>
      </c>
      <c r="B1572" s="45"/>
      <c r="C1572" s="17" t="s">
        <v>34</v>
      </c>
      <c r="D1572" s="18">
        <v>600</v>
      </c>
      <c r="E1572" s="19"/>
      <c r="F1572" s="15">
        <f t="shared" si="24"/>
        <v>-600</v>
      </c>
    </row>
    <row r="1573" spans="1:8" x14ac:dyDescent="0.2">
      <c r="A1573" s="91">
        <v>45604</v>
      </c>
      <c r="B1573" s="45"/>
      <c r="C1573" s="17" t="s">
        <v>154</v>
      </c>
      <c r="D1573" s="18">
        <v>467.87</v>
      </c>
      <c r="E1573" s="19"/>
      <c r="F1573" s="15">
        <f t="shared" si="24"/>
        <v>-467.87</v>
      </c>
    </row>
    <row r="1574" spans="1:8" x14ac:dyDescent="0.2">
      <c r="A1574" s="91">
        <v>45723</v>
      </c>
      <c r="B1574" s="45"/>
      <c r="C1574" s="17" t="s">
        <v>154</v>
      </c>
      <c r="D1574" s="18">
        <v>4.72</v>
      </c>
      <c r="E1574" s="19"/>
      <c r="F1574" s="15">
        <f t="shared" si="24"/>
        <v>-4.72</v>
      </c>
    </row>
    <row r="1575" spans="1:8" x14ac:dyDescent="0.2">
      <c r="A1575" s="91">
        <v>45817</v>
      </c>
      <c r="B1575" s="45"/>
      <c r="C1575" s="17" t="s">
        <v>154</v>
      </c>
      <c r="D1575" s="18">
        <v>240.72</v>
      </c>
      <c r="E1575" s="19"/>
      <c r="F1575" s="15">
        <f t="shared" si="24"/>
        <v>-240.72</v>
      </c>
    </row>
    <row r="1576" spans="1:8" x14ac:dyDescent="0.2">
      <c r="A1576" s="91">
        <v>45846</v>
      </c>
      <c r="B1576" s="45"/>
      <c r="C1576" s="17" t="s">
        <v>154</v>
      </c>
      <c r="D1576" s="18">
        <v>142.09</v>
      </c>
      <c r="E1576" s="19"/>
      <c r="F1576" s="15">
        <f t="shared" si="24"/>
        <v>-142.09</v>
      </c>
    </row>
    <row r="1577" spans="1:8" x14ac:dyDescent="0.2">
      <c r="A1577" s="91">
        <v>45876</v>
      </c>
      <c r="B1577" s="45"/>
      <c r="C1577" s="17" t="s">
        <v>154</v>
      </c>
      <c r="D1577" s="18">
        <v>1919.35</v>
      </c>
      <c r="E1577" s="19"/>
      <c r="F1577" s="15">
        <f t="shared" si="24"/>
        <v>-1919.35</v>
      </c>
    </row>
    <row r="1578" spans="1:8" x14ac:dyDescent="0.2">
      <c r="A1578" s="91">
        <v>45538</v>
      </c>
      <c r="B1578" s="26"/>
      <c r="C1578" s="17" t="s">
        <v>22</v>
      </c>
      <c r="D1578" s="18">
        <v>651.02</v>
      </c>
      <c r="E1578" s="19"/>
      <c r="F1578" s="15">
        <f t="shared" si="24"/>
        <v>-651.02</v>
      </c>
      <c r="H1578" s="10"/>
    </row>
    <row r="1579" spans="1:8" x14ac:dyDescent="0.2">
      <c r="A1579" s="91">
        <v>45539</v>
      </c>
      <c r="B1579" s="26"/>
      <c r="C1579" s="17" t="s">
        <v>22</v>
      </c>
      <c r="D1579" s="18">
        <v>958.21</v>
      </c>
      <c r="E1579" s="19"/>
      <c r="F1579" s="15">
        <f t="shared" si="24"/>
        <v>-958.21</v>
      </c>
      <c r="H1579" s="10"/>
    </row>
    <row r="1580" spans="1:8" x14ac:dyDescent="0.2">
      <c r="A1580" s="91">
        <v>45546</v>
      </c>
      <c r="B1580" s="26"/>
      <c r="C1580" s="17" t="s">
        <v>22</v>
      </c>
      <c r="D1580" s="18">
        <v>183.55</v>
      </c>
      <c r="E1580" s="19"/>
      <c r="F1580" s="15">
        <f t="shared" si="24"/>
        <v>-183.55</v>
      </c>
      <c r="H1580" s="10"/>
    </row>
    <row r="1581" spans="1:8" x14ac:dyDescent="0.2">
      <c r="A1581" s="91">
        <v>45547</v>
      </c>
      <c r="B1581" s="26"/>
      <c r="C1581" s="17" t="s">
        <v>22</v>
      </c>
      <c r="D1581" s="18">
        <v>454.52</v>
      </c>
      <c r="E1581" s="19"/>
      <c r="F1581" s="15">
        <f t="shared" si="24"/>
        <v>-454.52</v>
      </c>
      <c r="H1581" s="10"/>
    </row>
    <row r="1582" spans="1:8" x14ac:dyDescent="0.2">
      <c r="A1582" s="91">
        <v>45548</v>
      </c>
      <c r="B1582" s="26"/>
      <c r="C1582" s="17" t="s">
        <v>22</v>
      </c>
      <c r="D1582" s="18">
        <v>45</v>
      </c>
      <c r="E1582" s="19"/>
      <c r="F1582" s="15">
        <f t="shared" si="24"/>
        <v>-45</v>
      </c>
      <c r="H1582" s="10"/>
    </row>
    <row r="1583" spans="1:8" x14ac:dyDescent="0.2">
      <c r="A1583" s="91">
        <v>45551</v>
      </c>
      <c r="B1583" s="26"/>
      <c r="C1583" s="17" t="s">
        <v>22</v>
      </c>
      <c r="D1583" s="18">
        <v>479.8</v>
      </c>
      <c r="E1583" s="19"/>
      <c r="F1583" s="15">
        <f t="shared" si="24"/>
        <v>-479.8</v>
      </c>
      <c r="H1583" s="10"/>
    </row>
    <row r="1584" spans="1:8" x14ac:dyDescent="0.2">
      <c r="A1584" s="91">
        <v>45552</v>
      </c>
      <c r="B1584" s="26"/>
      <c r="C1584" s="17" t="s">
        <v>22</v>
      </c>
      <c r="D1584" s="18">
        <v>69.959999999999994</v>
      </c>
      <c r="E1584" s="19"/>
      <c r="F1584" s="15">
        <f t="shared" si="24"/>
        <v>-69.959999999999994</v>
      </c>
      <c r="H1584" s="10"/>
    </row>
    <row r="1585" spans="1:8" x14ac:dyDescent="0.2">
      <c r="A1585" s="91">
        <v>45554</v>
      </c>
      <c r="B1585" s="26"/>
      <c r="C1585" s="17" t="s">
        <v>22</v>
      </c>
      <c r="D1585" s="18">
        <v>710.24</v>
      </c>
      <c r="E1585" s="19"/>
      <c r="F1585" s="15">
        <f t="shared" si="24"/>
        <v>-710.24</v>
      </c>
      <c r="H1585" s="10"/>
    </row>
    <row r="1586" spans="1:8" x14ac:dyDescent="0.2">
      <c r="A1586" s="91">
        <v>45555</v>
      </c>
      <c r="B1586" s="26"/>
      <c r="C1586" s="17" t="s">
        <v>22</v>
      </c>
      <c r="D1586" s="18">
        <v>117.24</v>
      </c>
      <c r="E1586" s="19"/>
      <c r="F1586" s="15">
        <f t="shared" si="24"/>
        <v>-117.24</v>
      </c>
      <c r="H1586" s="10"/>
    </row>
    <row r="1587" spans="1:8" x14ac:dyDescent="0.2">
      <c r="A1587" s="91">
        <v>45559</v>
      </c>
      <c r="B1587" s="74"/>
      <c r="C1587" s="47" t="s">
        <v>22</v>
      </c>
      <c r="D1587" s="48">
        <v>817.78</v>
      </c>
      <c r="E1587" s="49"/>
      <c r="F1587" s="15">
        <f t="shared" si="24"/>
        <v>-817.78</v>
      </c>
      <c r="H1587" s="10"/>
    </row>
    <row r="1588" spans="1:8" x14ac:dyDescent="0.2">
      <c r="A1588" s="91">
        <v>45561</v>
      </c>
      <c r="B1588" s="27"/>
      <c r="C1588" s="22" t="s">
        <v>22</v>
      </c>
      <c r="D1588" s="23">
        <v>104093.95</v>
      </c>
      <c r="E1588" s="24"/>
      <c r="F1588" s="15">
        <f t="shared" si="24"/>
        <v>-104093.95</v>
      </c>
      <c r="H1588" s="10"/>
    </row>
    <row r="1589" spans="1:8" x14ac:dyDescent="0.2">
      <c r="A1589" s="91">
        <v>45565</v>
      </c>
      <c r="B1589" s="26"/>
      <c r="C1589" s="17" t="s">
        <v>22</v>
      </c>
      <c r="D1589" s="25">
        <v>2839.91</v>
      </c>
      <c r="E1589" s="19"/>
      <c r="F1589" s="15">
        <f t="shared" si="24"/>
        <v>-2839.91</v>
      </c>
      <c r="H1589" s="10"/>
    </row>
    <row r="1590" spans="1:8" x14ac:dyDescent="0.2">
      <c r="A1590" s="91">
        <v>45569</v>
      </c>
      <c r="B1590" s="45"/>
      <c r="C1590" s="17" t="s">
        <v>22</v>
      </c>
      <c r="D1590" s="18">
        <v>653.26</v>
      </c>
      <c r="E1590" s="19"/>
      <c r="F1590" s="15">
        <f t="shared" si="24"/>
        <v>-653.26</v>
      </c>
    </row>
    <row r="1591" spans="1:8" x14ac:dyDescent="0.2">
      <c r="A1591" s="91">
        <v>45572</v>
      </c>
      <c r="B1591" s="45"/>
      <c r="C1591" s="17" t="s">
        <v>22</v>
      </c>
      <c r="D1591" s="18">
        <v>432.13</v>
      </c>
      <c r="E1591" s="19"/>
      <c r="F1591" s="15">
        <f t="shared" si="24"/>
        <v>-432.13</v>
      </c>
    </row>
    <row r="1592" spans="1:8" x14ac:dyDescent="0.2">
      <c r="A1592" s="91">
        <v>45573</v>
      </c>
      <c r="B1592" s="45"/>
      <c r="C1592" s="17" t="s">
        <v>22</v>
      </c>
      <c r="D1592" s="18">
        <v>105.39</v>
      </c>
      <c r="E1592" s="19"/>
      <c r="F1592" s="15">
        <f t="shared" si="24"/>
        <v>-105.39</v>
      </c>
    </row>
    <row r="1593" spans="1:8" x14ac:dyDescent="0.2">
      <c r="A1593" s="91">
        <v>45574</v>
      </c>
      <c r="B1593" s="45"/>
      <c r="C1593" s="17" t="s">
        <v>22</v>
      </c>
      <c r="D1593" s="18">
        <v>82.2</v>
      </c>
      <c r="E1593" s="19"/>
      <c r="F1593" s="15">
        <f t="shared" si="24"/>
        <v>-82.2</v>
      </c>
    </row>
    <row r="1594" spans="1:8" x14ac:dyDescent="0.2">
      <c r="A1594" s="91">
        <v>45580</v>
      </c>
      <c r="B1594" s="45"/>
      <c r="C1594" s="17" t="s">
        <v>22</v>
      </c>
      <c r="D1594" s="18">
        <v>418.83</v>
      </c>
      <c r="E1594" s="19"/>
      <c r="F1594" s="15">
        <f t="shared" si="24"/>
        <v>-418.83</v>
      </c>
    </row>
    <row r="1595" spans="1:8" x14ac:dyDescent="0.2">
      <c r="A1595" s="91">
        <v>45582</v>
      </c>
      <c r="B1595" s="45"/>
      <c r="C1595" s="17" t="s">
        <v>22</v>
      </c>
      <c r="D1595" s="18">
        <v>12036.6</v>
      </c>
      <c r="E1595" s="19"/>
      <c r="F1595" s="15">
        <f t="shared" si="24"/>
        <v>-12036.6</v>
      </c>
    </row>
    <row r="1596" spans="1:8" x14ac:dyDescent="0.2">
      <c r="A1596" s="91">
        <v>45583</v>
      </c>
      <c r="B1596" s="45"/>
      <c r="C1596" s="17" t="s">
        <v>22</v>
      </c>
      <c r="D1596" s="18">
        <v>241.64</v>
      </c>
      <c r="E1596" s="19"/>
      <c r="F1596" s="15">
        <f t="shared" si="24"/>
        <v>-241.64</v>
      </c>
    </row>
    <row r="1597" spans="1:8" x14ac:dyDescent="0.2">
      <c r="A1597" s="91">
        <v>45589</v>
      </c>
      <c r="B1597" s="45"/>
      <c r="C1597" s="17" t="s">
        <v>22</v>
      </c>
      <c r="D1597" s="18">
        <v>1473.27</v>
      </c>
      <c r="E1597" s="19"/>
      <c r="F1597" s="15">
        <f t="shared" si="24"/>
        <v>-1473.27</v>
      </c>
    </row>
    <row r="1598" spans="1:8" x14ac:dyDescent="0.2">
      <c r="A1598" s="91">
        <v>45594</v>
      </c>
      <c r="B1598" s="45"/>
      <c r="C1598" s="17" t="s">
        <v>22</v>
      </c>
      <c r="D1598" s="18">
        <v>120.25</v>
      </c>
      <c r="E1598" s="19"/>
      <c r="F1598" s="15">
        <f t="shared" si="24"/>
        <v>-120.25</v>
      </c>
    </row>
    <row r="1599" spans="1:8" x14ac:dyDescent="0.2">
      <c r="A1599" s="91">
        <v>45595</v>
      </c>
      <c r="B1599" s="45"/>
      <c r="C1599" s="17" t="s">
        <v>22</v>
      </c>
      <c r="D1599" s="18">
        <v>20593.71</v>
      </c>
      <c r="E1599" s="19"/>
      <c r="F1599" s="15">
        <f t="shared" si="24"/>
        <v>-20593.71</v>
      </c>
    </row>
    <row r="1600" spans="1:8" x14ac:dyDescent="0.2">
      <c r="A1600" s="91">
        <v>45596</v>
      </c>
      <c r="B1600" s="45"/>
      <c r="C1600" s="17" t="s">
        <v>22</v>
      </c>
      <c r="D1600" s="25">
        <v>1634.79</v>
      </c>
      <c r="E1600" s="19"/>
      <c r="F1600" s="15">
        <f t="shared" si="24"/>
        <v>-1634.79</v>
      </c>
    </row>
    <row r="1601" spans="1:6" x14ac:dyDescent="0.2">
      <c r="A1601" s="91">
        <v>45601</v>
      </c>
      <c r="B1601" s="45"/>
      <c r="C1601" s="17" t="s">
        <v>22</v>
      </c>
      <c r="D1601" s="18">
        <v>24</v>
      </c>
      <c r="E1601" s="19"/>
      <c r="F1601" s="15">
        <f t="shared" si="24"/>
        <v>-24</v>
      </c>
    </row>
    <row r="1602" spans="1:6" x14ac:dyDescent="0.2">
      <c r="A1602" s="91">
        <v>45603</v>
      </c>
      <c r="B1602" s="45"/>
      <c r="C1602" s="17" t="s">
        <v>22</v>
      </c>
      <c r="D1602" s="18">
        <v>1250.8800000000001</v>
      </c>
      <c r="E1602" s="19"/>
      <c r="F1602" s="15">
        <f t="shared" si="24"/>
        <v>-1250.8800000000001</v>
      </c>
    </row>
    <row r="1603" spans="1:6" x14ac:dyDescent="0.2">
      <c r="A1603" s="91">
        <v>45604</v>
      </c>
      <c r="B1603" s="45"/>
      <c r="C1603" s="17" t="s">
        <v>22</v>
      </c>
      <c r="D1603" s="18">
        <v>166.08</v>
      </c>
      <c r="E1603" s="19"/>
      <c r="F1603" s="15">
        <f t="shared" ref="F1603:F1666" si="25">+E1603-D1603</f>
        <v>-166.08</v>
      </c>
    </row>
    <row r="1604" spans="1:6" x14ac:dyDescent="0.2">
      <c r="A1604" s="91">
        <v>45610</v>
      </c>
      <c r="B1604" s="45"/>
      <c r="C1604" s="17" t="s">
        <v>22</v>
      </c>
      <c r="D1604" s="18">
        <v>2010.98</v>
      </c>
      <c r="E1604" s="19"/>
      <c r="F1604" s="15">
        <f t="shared" si="25"/>
        <v>-2010.98</v>
      </c>
    </row>
    <row r="1605" spans="1:6" x14ac:dyDescent="0.2">
      <c r="A1605" s="91">
        <v>45611</v>
      </c>
      <c r="B1605" s="45"/>
      <c r="C1605" s="17" t="s">
        <v>22</v>
      </c>
      <c r="D1605" s="18">
        <v>839.46</v>
      </c>
      <c r="E1605" s="19"/>
      <c r="F1605" s="15">
        <f t="shared" si="25"/>
        <v>-839.46</v>
      </c>
    </row>
    <row r="1606" spans="1:6" x14ac:dyDescent="0.2">
      <c r="A1606" s="91">
        <v>45616</v>
      </c>
      <c r="B1606" s="45"/>
      <c r="C1606" s="17" t="s">
        <v>22</v>
      </c>
      <c r="D1606" s="18">
        <v>95.87</v>
      </c>
      <c r="E1606" s="19"/>
      <c r="F1606" s="15">
        <f t="shared" si="25"/>
        <v>-95.87</v>
      </c>
    </row>
    <row r="1607" spans="1:6" x14ac:dyDescent="0.2">
      <c r="A1607" s="91">
        <v>45617</v>
      </c>
      <c r="B1607" s="45"/>
      <c r="C1607" s="17" t="s">
        <v>22</v>
      </c>
      <c r="D1607" s="18">
        <v>1163.06</v>
      </c>
      <c r="E1607" s="19"/>
      <c r="F1607" s="15">
        <f t="shared" si="25"/>
        <v>-1163.06</v>
      </c>
    </row>
    <row r="1608" spans="1:6" x14ac:dyDescent="0.2">
      <c r="A1608" s="91">
        <v>45618</v>
      </c>
      <c r="B1608" s="45"/>
      <c r="C1608" s="17" t="s">
        <v>22</v>
      </c>
      <c r="D1608" s="18">
        <v>252.41</v>
      </c>
      <c r="E1608" s="19"/>
      <c r="F1608" s="15">
        <f t="shared" si="25"/>
        <v>-252.41</v>
      </c>
    </row>
    <row r="1609" spans="1:6" x14ac:dyDescent="0.2">
      <c r="A1609" s="91">
        <v>45624</v>
      </c>
      <c r="B1609" s="45"/>
      <c r="C1609" s="17" t="s">
        <v>22</v>
      </c>
      <c r="D1609" s="18">
        <v>20807.13</v>
      </c>
      <c r="E1609" s="19"/>
      <c r="F1609" s="15">
        <f t="shared" si="25"/>
        <v>-20807.13</v>
      </c>
    </row>
    <row r="1610" spans="1:6" x14ac:dyDescent="0.2">
      <c r="A1610" s="91">
        <v>45625</v>
      </c>
      <c r="B1610" s="51"/>
      <c r="C1610" s="47" t="s">
        <v>22</v>
      </c>
      <c r="D1610" s="52">
        <v>3659.55</v>
      </c>
      <c r="E1610" s="49"/>
      <c r="F1610" s="15">
        <f t="shared" si="25"/>
        <v>-3659.55</v>
      </c>
    </row>
    <row r="1611" spans="1:6" x14ac:dyDescent="0.2">
      <c r="A1611" s="91">
        <v>45628</v>
      </c>
      <c r="B1611" s="50"/>
      <c r="C1611" s="22" t="s">
        <v>22</v>
      </c>
      <c r="D1611" s="23">
        <v>914.89</v>
      </c>
      <c r="E1611" s="24"/>
      <c r="F1611" s="15">
        <f t="shared" si="25"/>
        <v>-914.89</v>
      </c>
    </row>
    <row r="1612" spans="1:6" x14ac:dyDescent="0.2">
      <c r="A1612" s="91">
        <v>45629</v>
      </c>
      <c r="B1612" s="45"/>
      <c r="C1612" s="17" t="s">
        <v>22</v>
      </c>
      <c r="D1612" s="18">
        <v>84</v>
      </c>
      <c r="E1612" s="19"/>
      <c r="F1612" s="15">
        <f t="shared" si="25"/>
        <v>-84</v>
      </c>
    </row>
    <row r="1613" spans="1:6" x14ac:dyDescent="0.2">
      <c r="A1613" s="91">
        <v>45630</v>
      </c>
      <c r="B1613" s="45"/>
      <c r="C1613" s="17" t="s">
        <v>22</v>
      </c>
      <c r="D1613" s="18">
        <v>72</v>
      </c>
      <c r="E1613" s="19"/>
      <c r="F1613" s="15">
        <f t="shared" si="25"/>
        <v>-72</v>
      </c>
    </row>
    <row r="1614" spans="1:6" x14ac:dyDescent="0.2">
      <c r="A1614" s="91">
        <v>45631</v>
      </c>
      <c r="B1614" s="45"/>
      <c r="C1614" s="17" t="s">
        <v>22</v>
      </c>
      <c r="D1614" s="18">
        <v>102.27</v>
      </c>
      <c r="E1614" s="19"/>
      <c r="F1614" s="15">
        <f t="shared" si="25"/>
        <v>-102.27</v>
      </c>
    </row>
    <row r="1615" spans="1:6" x14ac:dyDescent="0.2">
      <c r="A1615" s="91">
        <v>45632</v>
      </c>
      <c r="B1615" s="45"/>
      <c r="C1615" s="17" t="s">
        <v>22</v>
      </c>
      <c r="D1615" s="18">
        <v>637.63</v>
      </c>
      <c r="E1615" s="19"/>
      <c r="F1615" s="15">
        <f t="shared" si="25"/>
        <v>-637.63</v>
      </c>
    </row>
    <row r="1616" spans="1:6" x14ac:dyDescent="0.2">
      <c r="A1616" s="91">
        <v>45635</v>
      </c>
      <c r="B1616" s="45"/>
      <c r="C1616" s="17" t="s">
        <v>22</v>
      </c>
      <c r="D1616" s="18">
        <v>493.5</v>
      </c>
      <c r="E1616" s="19"/>
      <c r="F1616" s="15">
        <f t="shared" si="25"/>
        <v>-493.5</v>
      </c>
    </row>
    <row r="1617" spans="1:6" x14ac:dyDescent="0.2">
      <c r="A1617" s="91">
        <v>45636</v>
      </c>
      <c r="B1617" s="45"/>
      <c r="C1617" s="17" t="s">
        <v>22</v>
      </c>
      <c r="D1617" s="18">
        <v>433.16</v>
      </c>
      <c r="E1617" s="19"/>
      <c r="F1617" s="15">
        <f t="shared" si="25"/>
        <v>-433.16</v>
      </c>
    </row>
    <row r="1618" spans="1:6" x14ac:dyDescent="0.2">
      <c r="A1618" s="91">
        <v>45638</v>
      </c>
      <c r="B1618" s="45"/>
      <c r="C1618" s="17" t="s">
        <v>22</v>
      </c>
      <c r="D1618" s="18">
        <v>1751.29</v>
      </c>
      <c r="E1618" s="19"/>
      <c r="F1618" s="15">
        <f t="shared" si="25"/>
        <v>-1751.29</v>
      </c>
    </row>
    <row r="1619" spans="1:6" x14ac:dyDescent="0.2">
      <c r="A1619" s="91">
        <v>45639</v>
      </c>
      <c r="B1619" s="45"/>
      <c r="C1619" s="17" t="s">
        <v>22</v>
      </c>
      <c r="D1619" s="18">
        <v>476.94</v>
      </c>
      <c r="E1619" s="19"/>
      <c r="F1619" s="15">
        <f t="shared" si="25"/>
        <v>-476.94</v>
      </c>
    </row>
    <row r="1620" spans="1:6" x14ac:dyDescent="0.2">
      <c r="A1620" s="91">
        <v>45642</v>
      </c>
      <c r="B1620" s="45"/>
      <c r="C1620" s="17" t="s">
        <v>22</v>
      </c>
      <c r="D1620" s="18">
        <v>131.44</v>
      </c>
      <c r="E1620" s="19"/>
      <c r="F1620" s="15">
        <f t="shared" si="25"/>
        <v>-131.44</v>
      </c>
    </row>
    <row r="1621" spans="1:6" x14ac:dyDescent="0.2">
      <c r="A1621" s="91">
        <v>45643</v>
      </c>
      <c r="B1621" s="45"/>
      <c r="C1621" s="17" t="s">
        <v>22</v>
      </c>
      <c r="D1621" s="18">
        <v>4551.68</v>
      </c>
      <c r="E1621" s="19"/>
      <c r="F1621" s="15">
        <f t="shared" si="25"/>
        <v>-4551.68</v>
      </c>
    </row>
    <row r="1622" spans="1:6" x14ac:dyDescent="0.2">
      <c r="A1622" s="91">
        <v>45649</v>
      </c>
      <c r="B1622" s="45"/>
      <c r="C1622" s="17" t="s">
        <v>22</v>
      </c>
      <c r="D1622" s="18">
        <v>91.67</v>
      </c>
      <c r="E1622" s="19"/>
      <c r="F1622" s="15">
        <f t="shared" si="25"/>
        <v>-91.67</v>
      </c>
    </row>
    <row r="1623" spans="1:6" x14ac:dyDescent="0.2">
      <c r="A1623" s="91">
        <v>45652</v>
      </c>
      <c r="B1623" s="45"/>
      <c r="C1623" s="17" t="s">
        <v>22</v>
      </c>
      <c r="D1623" s="18">
        <v>17096.25</v>
      </c>
      <c r="E1623" s="19"/>
      <c r="F1623" s="15">
        <f t="shared" si="25"/>
        <v>-17096.25</v>
      </c>
    </row>
    <row r="1624" spans="1:6" x14ac:dyDescent="0.2">
      <c r="A1624" s="91">
        <v>45653</v>
      </c>
      <c r="B1624" s="45"/>
      <c r="C1624" s="17" t="s">
        <v>22</v>
      </c>
      <c r="D1624" s="18">
        <v>7171.58</v>
      </c>
      <c r="E1624" s="19"/>
      <c r="F1624" s="15">
        <f t="shared" si="25"/>
        <v>-7171.58</v>
      </c>
    </row>
    <row r="1625" spans="1:6" x14ac:dyDescent="0.2">
      <c r="A1625" s="91">
        <v>45660</v>
      </c>
      <c r="B1625" s="45"/>
      <c r="C1625" s="17" t="s">
        <v>22</v>
      </c>
      <c r="D1625" s="18">
        <v>517</v>
      </c>
      <c r="E1625" s="19"/>
      <c r="F1625" s="15">
        <f t="shared" si="25"/>
        <v>-517</v>
      </c>
    </row>
    <row r="1626" spans="1:6" x14ac:dyDescent="0.2">
      <c r="A1626" s="91">
        <v>45663</v>
      </c>
      <c r="B1626" s="45"/>
      <c r="C1626" s="17" t="s">
        <v>22</v>
      </c>
      <c r="D1626" s="18">
        <v>60000</v>
      </c>
      <c r="E1626" s="19"/>
      <c r="F1626" s="15">
        <f t="shared" si="25"/>
        <v>-60000</v>
      </c>
    </row>
    <row r="1627" spans="1:6" x14ac:dyDescent="0.2">
      <c r="A1627" s="91">
        <v>45664</v>
      </c>
      <c r="B1627" s="45"/>
      <c r="C1627" s="17" t="s">
        <v>22</v>
      </c>
      <c r="D1627" s="18">
        <v>1403.79</v>
      </c>
      <c r="E1627" s="19"/>
      <c r="F1627" s="15">
        <f t="shared" si="25"/>
        <v>-1403.79</v>
      </c>
    </row>
    <row r="1628" spans="1:6" x14ac:dyDescent="0.2">
      <c r="A1628" s="91">
        <v>45666</v>
      </c>
      <c r="B1628" s="45"/>
      <c r="C1628" s="17" t="s">
        <v>22</v>
      </c>
      <c r="D1628" s="18">
        <v>102</v>
      </c>
      <c r="E1628" s="19"/>
      <c r="F1628" s="15">
        <f t="shared" si="25"/>
        <v>-102</v>
      </c>
    </row>
    <row r="1629" spans="1:6" x14ac:dyDescent="0.2">
      <c r="A1629" s="91">
        <v>45671</v>
      </c>
      <c r="B1629" s="45"/>
      <c r="C1629" s="17" t="s">
        <v>22</v>
      </c>
      <c r="D1629" s="18">
        <v>1909.85</v>
      </c>
      <c r="E1629" s="19"/>
      <c r="F1629" s="15">
        <f t="shared" si="25"/>
        <v>-1909.85</v>
      </c>
    </row>
    <row r="1630" spans="1:6" x14ac:dyDescent="0.2">
      <c r="A1630" s="91">
        <v>45672</v>
      </c>
      <c r="B1630" s="45"/>
      <c r="C1630" s="17" t="s">
        <v>22</v>
      </c>
      <c r="D1630" s="18">
        <v>326.88</v>
      </c>
      <c r="E1630" s="19"/>
      <c r="F1630" s="15">
        <f t="shared" si="25"/>
        <v>-326.88</v>
      </c>
    </row>
    <row r="1631" spans="1:6" x14ac:dyDescent="0.2">
      <c r="A1631" s="91">
        <v>45673</v>
      </c>
      <c r="B1631" s="45"/>
      <c r="C1631" s="17" t="s">
        <v>22</v>
      </c>
      <c r="D1631" s="18">
        <v>1683.64</v>
      </c>
      <c r="E1631" s="19"/>
      <c r="F1631" s="15">
        <f t="shared" si="25"/>
        <v>-1683.64</v>
      </c>
    </row>
    <row r="1632" spans="1:6" x14ac:dyDescent="0.2">
      <c r="A1632" s="91">
        <v>45674</v>
      </c>
      <c r="B1632" s="45"/>
      <c r="C1632" s="17" t="s">
        <v>22</v>
      </c>
      <c r="D1632" s="18">
        <v>360.07</v>
      </c>
      <c r="E1632" s="19"/>
      <c r="F1632" s="15">
        <f t="shared" si="25"/>
        <v>-360.07</v>
      </c>
    </row>
    <row r="1633" spans="1:6" x14ac:dyDescent="0.2">
      <c r="A1633" s="91">
        <v>45677</v>
      </c>
      <c r="B1633" s="51"/>
      <c r="C1633" s="47" t="s">
        <v>22</v>
      </c>
      <c r="D1633" s="48">
        <v>165</v>
      </c>
      <c r="E1633" s="49"/>
      <c r="F1633" s="15">
        <f t="shared" si="25"/>
        <v>-165</v>
      </c>
    </row>
    <row r="1634" spans="1:6" x14ac:dyDescent="0.2">
      <c r="A1634" s="91">
        <v>45679</v>
      </c>
      <c r="B1634" s="50"/>
      <c r="C1634" s="22" t="s">
        <v>22</v>
      </c>
      <c r="D1634" s="23">
        <v>1761.21</v>
      </c>
      <c r="E1634" s="24"/>
      <c r="F1634" s="15">
        <f t="shared" si="25"/>
        <v>-1761.21</v>
      </c>
    </row>
    <row r="1635" spans="1:6" x14ac:dyDescent="0.2">
      <c r="A1635" s="91">
        <v>45680</v>
      </c>
      <c r="B1635" s="45"/>
      <c r="C1635" s="17" t="s">
        <v>22</v>
      </c>
      <c r="D1635" s="18">
        <v>210.3</v>
      </c>
      <c r="E1635" s="19"/>
      <c r="F1635" s="15">
        <f t="shared" si="25"/>
        <v>-210.3</v>
      </c>
    </row>
    <row r="1636" spans="1:6" x14ac:dyDescent="0.2">
      <c r="A1636" s="91">
        <v>45684</v>
      </c>
      <c r="B1636" s="45"/>
      <c r="C1636" s="17" t="s">
        <v>22</v>
      </c>
      <c r="D1636" s="18">
        <v>182.66</v>
      </c>
      <c r="E1636" s="19"/>
      <c r="F1636" s="15">
        <f t="shared" si="25"/>
        <v>-182.66</v>
      </c>
    </row>
    <row r="1637" spans="1:6" x14ac:dyDescent="0.2">
      <c r="A1637" s="91">
        <v>45685</v>
      </c>
      <c r="B1637" s="45"/>
      <c r="C1637" s="17" t="s">
        <v>22</v>
      </c>
      <c r="D1637" s="18">
        <v>2897.34</v>
      </c>
      <c r="E1637" s="19"/>
      <c r="F1637" s="15">
        <f t="shared" si="25"/>
        <v>-2897.34</v>
      </c>
    </row>
    <row r="1638" spans="1:6" x14ac:dyDescent="0.2">
      <c r="A1638" s="91">
        <v>45687</v>
      </c>
      <c r="B1638" s="45"/>
      <c r="C1638" s="17" t="s">
        <v>22</v>
      </c>
      <c r="D1638" s="18">
        <v>21686.39</v>
      </c>
      <c r="E1638" s="19"/>
      <c r="F1638" s="15">
        <f t="shared" si="25"/>
        <v>-21686.39</v>
      </c>
    </row>
    <row r="1639" spans="1:6" x14ac:dyDescent="0.2">
      <c r="A1639" s="91">
        <v>45691</v>
      </c>
      <c r="B1639" s="45"/>
      <c r="C1639" s="17" t="s">
        <v>22</v>
      </c>
      <c r="D1639" s="18">
        <v>60141.42</v>
      </c>
      <c r="E1639" s="19"/>
      <c r="F1639" s="15">
        <f t="shared" si="25"/>
        <v>-60141.42</v>
      </c>
    </row>
    <row r="1640" spans="1:6" x14ac:dyDescent="0.2">
      <c r="A1640" s="91">
        <v>45692</v>
      </c>
      <c r="B1640" s="45"/>
      <c r="C1640" s="17" t="s">
        <v>22</v>
      </c>
      <c r="D1640" s="18">
        <v>909447.12</v>
      </c>
      <c r="E1640" s="19"/>
      <c r="F1640" s="15">
        <f t="shared" si="25"/>
        <v>-909447.12</v>
      </c>
    </row>
    <row r="1641" spans="1:6" x14ac:dyDescent="0.2">
      <c r="A1641" s="91">
        <v>45693</v>
      </c>
      <c r="B1641" s="45"/>
      <c r="C1641" s="17" t="s">
        <v>22</v>
      </c>
      <c r="D1641" s="18">
        <v>8341.68</v>
      </c>
      <c r="E1641" s="19"/>
      <c r="F1641" s="15">
        <f t="shared" si="25"/>
        <v>-8341.68</v>
      </c>
    </row>
    <row r="1642" spans="1:6" x14ac:dyDescent="0.2">
      <c r="A1642" s="91">
        <v>45698</v>
      </c>
      <c r="B1642" s="45"/>
      <c r="C1642" s="17" t="s">
        <v>22</v>
      </c>
      <c r="D1642" s="18">
        <v>162</v>
      </c>
      <c r="E1642" s="19"/>
      <c r="F1642" s="15">
        <f t="shared" si="25"/>
        <v>-162</v>
      </c>
    </row>
    <row r="1643" spans="1:6" x14ac:dyDescent="0.2">
      <c r="A1643" s="91">
        <v>45700</v>
      </c>
      <c r="B1643" s="45"/>
      <c r="C1643" s="17" t="s">
        <v>22</v>
      </c>
      <c r="D1643" s="18">
        <v>1394.52</v>
      </c>
      <c r="E1643" s="19"/>
      <c r="F1643" s="15">
        <f t="shared" si="25"/>
        <v>-1394.52</v>
      </c>
    </row>
    <row r="1644" spans="1:6" x14ac:dyDescent="0.2">
      <c r="A1644" s="91">
        <v>45701</v>
      </c>
      <c r="B1644" s="45"/>
      <c r="C1644" s="17" t="s">
        <v>22</v>
      </c>
      <c r="D1644" s="18">
        <v>507.19</v>
      </c>
      <c r="E1644" s="19"/>
      <c r="F1644" s="15">
        <f t="shared" si="25"/>
        <v>-507.19</v>
      </c>
    </row>
    <row r="1645" spans="1:6" x14ac:dyDescent="0.2">
      <c r="A1645" s="91">
        <v>45702</v>
      </c>
      <c r="B1645" s="45"/>
      <c r="C1645" s="17" t="s">
        <v>22</v>
      </c>
      <c r="D1645" s="18">
        <v>311.52999999999997</v>
      </c>
      <c r="E1645" s="19"/>
      <c r="F1645" s="15">
        <f t="shared" si="25"/>
        <v>-311.52999999999997</v>
      </c>
    </row>
    <row r="1646" spans="1:6" x14ac:dyDescent="0.2">
      <c r="A1646" s="91">
        <v>45705</v>
      </c>
      <c r="B1646" s="45"/>
      <c r="C1646" s="17" t="s">
        <v>22</v>
      </c>
      <c r="D1646" s="18">
        <v>6608.16</v>
      </c>
      <c r="E1646" s="19"/>
      <c r="F1646" s="15">
        <f t="shared" si="25"/>
        <v>-6608.16</v>
      </c>
    </row>
    <row r="1647" spans="1:6" x14ac:dyDescent="0.2">
      <c r="A1647" s="91">
        <v>45707</v>
      </c>
      <c r="B1647" s="45"/>
      <c r="C1647" s="17" t="s">
        <v>22</v>
      </c>
      <c r="D1647" s="18">
        <v>119.4</v>
      </c>
      <c r="E1647" s="19"/>
      <c r="F1647" s="15">
        <f t="shared" si="25"/>
        <v>-119.4</v>
      </c>
    </row>
    <row r="1648" spans="1:6" x14ac:dyDescent="0.2">
      <c r="A1648" s="91">
        <v>45709</v>
      </c>
      <c r="B1648" s="45"/>
      <c r="C1648" s="17" t="s">
        <v>22</v>
      </c>
      <c r="D1648" s="18">
        <v>43.2</v>
      </c>
      <c r="E1648" s="19"/>
      <c r="F1648" s="15">
        <f t="shared" si="25"/>
        <v>-43.2</v>
      </c>
    </row>
    <row r="1649" spans="1:6" x14ac:dyDescent="0.2">
      <c r="A1649" s="91">
        <v>45713</v>
      </c>
      <c r="B1649" s="45"/>
      <c r="C1649" s="17" t="s">
        <v>22</v>
      </c>
      <c r="D1649" s="18">
        <v>462.73</v>
      </c>
      <c r="E1649" s="19"/>
      <c r="F1649" s="15">
        <f t="shared" si="25"/>
        <v>-462.73</v>
      </c>
    </row>
    <row r="1650" spans="1:6" x14ac:dyDescent="0.2">
      <c r="A1650" s="91">
        <v>45714</v>
      </c>
      <c r="B1650" s="45"/>
      <c r="C1650" s="17" t="s">
        <v>22</v>
      </c>
      <c r="D1650" s="18">
        <v>575.07000000000005</v>
      </c>
      <c r="E1650" s="19"/>
      <c r="F1650" s="15">
        <f t="shared" si="25"/>
        <v>-575.07000000000005</v>
      </c>
    </row>
    <row r="1651" spans="1:6" x14ac:dyDescent="0.2">
      <c r="A1651" s="91">
        <v>45715</v>
      </c>
      <c r="B1651" s="45"/>
      <c r="C1651" s="17" t="s">
        <v>22</v>
      </c>
      <c r="D1651" s="18">
        <v>24436.6</v>
      </c>
      <c r="E1651" s="19"/>
      <c r="F1651" s="15">
        <f t="shared" si="25"/>
        <v>-24436.6</v>
      </c>
    </row>
    <row r="1652" spans="1:6" x14ac:dyDescent="0.2">
      <c r="A1652" s="91">
        <v>45716</v>
      </c>
      <c r="B1652" s="45"/>
      <c r="C1652" s="17" t="s">
        <v>22</v>
      </c>
      <c r="D1652" s="25">
        <v>66</v>
      </c>
      <c r="E1652" s="19"/>
      <c r="F1652" s="15">
        <f t="shared" si="25"/>
        <v>-66</v>
      </c>
    </row>
    <row r="1653" spans="1:6" x14ac:dyDescent="0.2">
      <c r="A1653" s="91">
        <v>45722</v>
      </c>
      <c r="B1653" s="45"/>
      <c r="C1653" s="17" t="s">
        <v>22</v>
      </c>
      <c r="D1653" s="18">
        <v>150876.10999999999</v>
      </c>
      <c r="E1653" s="19"/>
      <c r="F1653" s="15">
        <f t="shared" si="25"/>
        <v>-150876.10999999999</v>
      </c>
    </row>
    <row r="1654" spans="1:6" x14ac:dyDescent="0.2">
      <c r="A1654" s="91">
        <v>45723</v>
      </c>
      <c r="B1654" s="45"/>
      <c r="C1654" s="17" t="s">
        <v>22</v>
      </c>
      <c r="D1654" s="18">
        <v>90102</v>
      </c>
      <c r="E1654" s="19"/>
      <c r="F1654" s="15">
        <f t="shared" si="25"/>
        <v>-90102</v>
      </c>
    </row>
    <row r="1655" spans="1:6" x14ac:dyDescent="0.2">
      <c r="A1655" s="91">
        <v>45726</v>
      </c>
      <c r="B1655" s="45"/>
      <c r="C1655" s="17" t="s">
        <v>22</v>
      </c>
      <c r="D1655" s="18">
        <v>351.11</v>
      </c>
      <c r="E1655" s="19"/>
      <c r="F1655" s="15">
        <f t="shared" si="25"/>
        <v>-351.11</v>
      </c>
    </row>
    <row r="1656" spans="1:6" x14ac:dyDescent="0.2">
      <c r="A1656" s="91">
        <v>45727</v>
      </c>
      <c r="B1656" s="45"/>
      <c r="C1656" s="17" t="s">
        <v>22</v>
      </c>
      <c r="D1656" s="18">
        <v>146.84</v>
      </c>
      <c r="E1656" s="19"/>
      <c r="F1656" s="15">
        <f t="shared" si="25"/>
        <v>-146.84</v>
      </c>
    </row>
    <row r="1657" spans="1:6" x14ac:dyDescent="0.2">
      <c r="A1657" s="91">
        <v>45728</v>
      </c>
      <c r="B1657" s="51"/>
      <c r="C1657" s="47" t="s">
        <v>22</v>
      </c>
      <c r="D1657" s="48">
        <v>103.2</v>
      </c>
      <c r="E1657" s="49"/>
      <c r="F1657" s="15">
        <f t="shared" si="25"/>
        <v>-103.2</v>
      </c>
    </row>
    <row r="1658" spans="1:6" x14ac:dyDescent="0.2">
      <c r="A1658" s="91">
        <v>45730</v>
      </c>
      <c r="B1658" s="50"/>
      <c r="C1658" s="22" t="s">
        <v>22</v>
      </c>
      <c r="D1658" s="23">
        <v>183.79</v>
      </c>
      <c r="E1658" s="24"/>
      <c r="F1658" s="15">
        <f t="shared" si="25"/>
        <v>-183.79</v>
      </c>
    </row>
    <row r="1659" spans="1:6" x14ac:dyDescent="0.2">
      <c r="A1659" s="91">
        <v>45733</v>
      </c>
      <c r="B1659" s="45"/>
      <c r="C1659" s="17" t="s">
        <v>22</v>
      </c>
      <c r="D1659" s="18">
        <v>222</v>
      </c>
      <c r="E1659" s="19"/>
      <c r="F1659" s="15">
        <f t="shared" si="25"/>
        <v>-222</v>
      </c>
    </row>
    <row r="1660" spans="1:6" x14ac:dyDescent="0.2">
      <c r="A1660" s="91">
        <v>45736</v>
      </c>
      <c r="B1660" s="45"/>
      <c r="C1660" s="17" t="s">
        <v>22</v>
      </c>
      <c r="D1660" s="18">
        <v>258.29000000000002</v>
      </c>
      <c r="E1660" s="19"/>
      <c r="F1660" s="15">
        <f t="shared" si="25"/>
        <v>-258.29000000000002</v>
      </c>
    </row>
    <row r="1661" spans="1:6" x14ac:dyDescent="0.2">
      <c r="A1661" s="91">
        <v>45743</v>
      </c>
      <c r="B1661" s="45"/>
      <c r="C1661" s="17" t="s">
        <v>22</v>
      </c>
      <c r="D1661" s="18">
        <v>18171.04</v>
      </c>
      <c r="E1661" s="19"/>
      <c r="F1661" s="15">
        <f t="shared" si="25"/>
        <v>-18171.04</v>
      </c>
    </row>
    <row r="1662" spans="1:6" x14ac:dyDescent="0.2">
      <c r="A1662" s="91">
        <v>45747</v>
      </c>
      <c r="B1662" s="45"/>
      <c r="C1662" s="17" t="s">
        <v>22</v>
      </c>
      <c r="D1662" s="25">
        <v>120000</v>
      </c>
      <c r="E1662" s="19"/>
      <c r="F1662" s="15">
        <f t="shared" si="25"/>
        <v>-120000</v>
      </c>
    </row>
    <row r="1663" spans="1:6" x14ac:dyDescent="0.2">
      <c r="A1663" s="91">
        <v>45748</v>
      </c>
      <c r="B1663" s="45"/>
      <c r="C1663" s="17" t="s">
        <v>22</v>
      </c>
      <c r="D1663" s="18">
        <v>2498.4899999999998</v>
      </c>
      <c r="E1663" s="19"/>
      <c r="F1663" s="15">
        <f t="shared" si="25"/>
        <v>-2498.4899999999998</v>
      </c>
    </row>
    <row r="1664" spans="1:6" x14ac:dyDescent="0.2">
      <c r="A1664" s="91">
        <v>45750</v>
      </c>
      <c r="B1664" s="45"/>
      <c r="C1664" s="17" t="s">
        <v>22</v>
      </c>
      <c r="D1664" s="18">
        <v>600000</v>
      </c>
      <c r="E1664" s="19"/>
      <c r="F1664" s="15">
        <f t="shared" si="25"/>
        <v>-600000</v>
      </c>
    </row>
    <row r="1665" spans="1:6" x14ac:dyDescent="0.2">
      <c r="A1665" s="91">
        <v>45754</v>
      </c>
      <c r="B1665" s="45"/>
      <c r="C1665" s="17" t="s">
        <v>22</v>
      </c>
      <c r="D1665" s="18">
        <v>150</v>
      </c>
      <c r="E1665" s="19"/>
      <c r="F1665" s="15">
        <f t="shared" si="25"/>
        <v>-150</v>
      </c>
    </row>
    <row r="1666" spans="1:6" x14ac:dyDescent="0.2">
      <c r="A1666" s="91">
        <v>45756</v>
      </c>
      <c r="B1666" s="45"/>
      <c r="C1666" s="17" t="s">
        <v>22</v>
      </c>
      <c r="D1666" s="18">
        <v>949.51</v>
      </c>
      <c r="E1666" s="19"/>
      <c r="F1666" s="15">
        <f t="shared" si="25"/>
        <v>-949.51</v>
      </c>
    </row>
    <row r="1667" spans="1:6" x14ac:dyDescent="0.2">
      <c r="A1667" s="91">
        <v>45757</v>
      </c>
      <c r="B1667" s="45"/>
      <c r="C1667" s="17" t="s">
        <v>22</v>
      </c>
      <c r="D1667" s="18">
        <v>96</v>
      </c>
      <c r="E1667" s="19"/>
      <c r="F1667" s="15">
        <f t="shared" ref="F1667:F1730" si="26">+E1667-D1667</f>
        <v>-96</v>
      </c>
    </row>
    <row r="1668" spans="1:6" x14ac:dyDescent="0.2">
      <c r="A1668" s="91">
        <v>45758</v>
      </c>
      <c r="B1668" s="45"/>
      <c r="C1668" s="17" t="s">
        <v>22</v>
      </c>
      <c r="D1668" s="18">
        <v>108.6</v>
      </c>
      <c r="E1668" s="19"/>
      <c r="F1668" s="15">
        <f t="shared" si="26"/>
        <v>-108.6</v>
      </c>
    </row>
    <row r="1669" spans="1:6" x14ac:dyDescent="0.2">
      <c r="A1669" s="91">
        <v>45761</v>
      </c>
      <c r="B1669" s="45"/>
      <c r="C1669" s="17" t="s">
        <v>22</v>
      </c>
      <c r="D1669" s="18">
        <v>96</v>
      </c>
      <c r="E1669" s="19"/>
      <c r="F1669" s="15">
        <f t="shared" si="26"/>
        <v>-96</v>
      </c>
    </row>
    <row r="1670" spans="1:6" x14ac:dyDescent="0.2">
      <c r="A1670" s="91">
        <v>45762</v>
      </c>
      <c r="B1670" s="45"/>
      <c r="C1670" s="17" t="s">
        <v>22</v>
      </c>
      <c r="D1670" s="18">
        <v>114</v>
      </c>
      <c r="E1670" s="19"/>
      <c r="F1670" s="15">
        <f t="shared" si="26"/>
        <v>-114</v>
      </c>
    </row>
    <row r="1671" spans="1:6" x14ac:dyDescent="0.2">
      <c r="A1671" s="91">
        <v>45763</v>
      </c>
      <c r="B1671" s="45"/>
      <c r="C1671" s="17" t="s">
        <v>22</v>
      </c>
      <c r="D1671" s="18">
        <v>472.39</v>
      </c>
      <c r="E1671" s="19"/>
      <c r="F1671" s="15">
        <f t="shared" si="26"/>
        <v>-472.39</v>
      </c>
    </row>
    <row r="1672" spans="1:6" x14ac:dyDescent="0.2">
      <c r="A1672" s="91">
        <v>45768</v>
      </c>
      <c r="B1672" s="45"/>
      <c r="C1672" s="17" t="s">
        <v>22</v>
      </c>
      <c r="D1672" s="18">
        <v>1897.11</v>
      </c>
      <c r="E1672" s="19"/>
      <c r="F1672" s="15">
        <f t="shared" si="26"/>
        <v>-1897.11</v>
      </c>
    </row>
    <row r="1673" spans="1:6" x14ac:dyDescent="0.2">
      <c r="A1673" s="91">
        <v>45770</v>
      </c>
      <c r="B1673" s="45"/>
      <c r="C1673" s="17" t="s">
        <v>22</v>
      </c>
      <c r="D1673" s="18">
        <v>64.239999999999995</v>
      </c>
      <c r="E1673" s="19"/>
      <c r="F1673" s="15">
        <f t="shared" si="26"/>
        <v>-64.239999999999995</v>
      </c>
    </row>
    <row r="1674" spans="1:6" x14ac:dyDescent="0.2">
      <c r="A1674" s="91">
        <v>45771</v>
      </c>
      <c r="B1674" s="45"/>
      <c r="C1674" s="17" t="s">
        <v>22</v>
      </c>
      <c r="D1674" s="18">
        <v>783.97</v>
      </c>
      <c r="E1674" s="19"/>
      <c r="F1674" s="15">
        <f t="shared" si="26"/>
        <v>-783.97</v>
      </c>
    </row>
    <row r="1675" spans="1:6" x14ac:dyDescent="0.2">
      <c r="A1675" s="91">
        <v>45772</v>
      </c>
      <c r="B1675" s="45"/>
      <c r="C1675" s="17" t="s">
        <v>22</v>
      </c>
      <c r="D1675" s="18">
        <v>6350.62</v>
      </c>
      <c r="E1675" s="19"/>
      <c r="F1675" s="15">
        <f t="shared" si="26"/>
        <v>-6350.62</v>
      </c>
    </row>
    <row r="1676" spans="1:6" x14ac:dyDescent="0.2">
      <c r="A1676" s="91">
        <v>45775</v>
      </c>
      <c r="B1676" s="45"/>
      <c r="C1676" s="17" t="s">
        <v>22</v>
      </c>
      <c r="D1676" s="18">
        <v>96</v>
      </c>
      <c r="E1676" s="19"/>
      <c r="F1676" s="15">
        <f t="shared" si="26"/>
        <v>-96</v>
      </c>
    </row>
    <row r="1677" spans="1:6" x14ac:dyDescent="0.2">
      <c r="A1677" s="91">
        <v>45776</v>
      </c>
      <c r="B1677" s="45"/>
      <c r="C1677" s="17" t="s">
        <v>22</v>
      </c>
      <c r="D1677" s="25">
        <v>116838.07</v>
      </c>
      <c r="E1677" s="19"/>
      <c r="F1677" s="15">
        <f t="shared" si="26"/>
        <v>-116838.07</v>
      </c>
    </row>
    <row r="1678" spans="1:6" x14ac:dyDescent="0.2">
      <c r="A1678" s="91">
        <v>45777</v>
      </c>
      <c r="B1678" s="45"/>
      <c r="C1678" s="17" t="s">
        <v>22</v>
      </c>
      <c r="D1678" s="25">
        <v>1427.25</v>
      </c>
      <c r="E1678" s="19"/>
      <c r="F1678" s="15">
        <f t="shared" si="26"/>
        <v>-1427.25</v>
      </c>
    </row>
    <row r="1679" spans="1:6" x14ac:dyDescent="0.2">
      <c r="A1679" s="91">
        <v>45782</v>
      </c>
      <c r="B1679" s="45"/>
      <c r="C1679" s="17" t="s">
        <v>22</v>
      </c>
      <c r="D1679" s="18">
        <v>300000</v>
      </c>
      <c r="E1679" s="19"/>
      <c r="F1679" s="15">
        <f t="shared" si="26"/>
        <v>-300000</v>
      </c>
    </row>
    <row r="1680" spans="1:6" x14ac:dyDescent="0.2">
      <c r="A1680" s="91">
        <v>45783</v>
      </c>
      <c r="B1680" s="45"/>
      <c r="C1680" s="17" t="s">
        <v>22</v>
      </c>
      <c r="D1680" s="18">
        <v>90114</v>
      </c>
      <c r="E1680" s="19"/>
      <c r="F1680" s="15">
        <f t="shared" si="26"/>
        <v>-90114</v>
      </c>
    </row>
    <row r="1681" spans="1:6" x14ac:dyDescent="0.2">
      <c r="A1681" s="91">
        <v>45784</v>
      </c>
      <c r="B1681" s="45"/>
      <c r="C1681" s="17" t="s">
        <v>22</v>
      </c>
      <c r="D1681" s="18">
        <v>96</v>
      </c>
      <c r="E1681" s="19"/>
      <c r="F1681" s="15">
        <f t="shared" si="26"/>
        <v>-96</v>
      </c>
    </row>
    <row r="1682" spans="1:6" x14ac:dyDescent="0.2">
      <c r="A1682" s="91">
        <v>45785</v>
      </c>
      <c r="B1682" s="45"/>
      <c r="C1682" s="17" t="s">
        <v>22</v>
      </c>
      <c r="D1682" s="18">
        <v>1939.38</v>
      </c>
      <c r="E1682" s="19"/>
      <c r="F1682" s="15">
        <f t="shared" si="26"/>
        <v>-1939.38</v>
      </c>
    </row>
    <row r="1683" spans="1:6" x14ac:dyDescent="0.2">
      <c r="A1683" s="91">
        <v>45786</v>
      </c>
      <c r="B1683" s="45"/>
      <c r="C1683" s="17" t="s">
        <v>22</v>
      </c>
      <c r="D1683" s="18">
        <v>171983.64</v>
      </c>
      <c r="E1683" s="19"/>
      <c r="F1683" s="15">
        <f t="shared" si="26"/>
        <v>-171983.64</v>
      </c>
    </row>
    <row r="1684" spans="1:6" x14ac:dyDescent="0.2">
      <c r="A1684" s="91">
        <v>45789</v>
      </c>
      <c r="B1684" s="45"/>
      <c r="C1684" s="17" t="s">
        <v>22</v>
      </c>
      <c r="D1684" s="18">
        <v>683.26</v>
      </c>
      <c r="E1684" s="19"/>
      <c r="F1684" s="15">
        <f t="shared" si="26"/>
        <v>-683.26</v>
      </c>
    </row>
    <row r="1685" spans="1:6" x14ac:dyDescent="0.2">
      <c r="A1685" s="91">
        <v>45791</v>
      </c>
      <c r="B1685" s="51"/>
      <c r="C1685" s="47" t="s">
        <v>22</v>
      </c>
      <c r="D1685" s="48">
        <v>581.66</v>
      </c>
      <c r="E1685" s="49"/>
      <c r="F1685" s="15">
        <f t="shared" si="26"/>
        <v>-581.66</v>
      </c>
    </row>
    <row r="1686" spans="1:6" x14ac:dyDescent="0.2">
      <c r="A1686" s="91">
        <v>45792</v>
      </c>
      <c r="B1686" s="50"/>
      <c r="C1686" s="22" t="s">
        <v>22</v>
      </c>
      <c r="D1686" s="23">
        <v>91.61</v>
      </c>
      <c r="E1686" s="24"/>
      <c r="F1686" s="15">
        <f t="shared" si="26"/>
        <v>-91.61</v>
      </c>
    </row>
    <row r="1687" spans="1:6" x14ac:dyDescent="0.2">
      <c r="A1687" s="91">
        <v>45793</v>
      </c>
      <c r="B1687" s="45"/>
      <c r="C1687" s="17" t="s">
        <v>22</v>
      </c>
      <c r="D1687" s="18">
        <v>2623.13</v>
      </c>
      <c r="E1687" s="19"/>
      <c r="F1687" s="15">
        <f t="shared" si="26"/>
        <v>-2623.13</v>
      </c>
    </row>
    <row r="1688" spans="1:6" x14ac:dyDescent="0.2">
      <c r="A1688" s="91">
        <v>45796</v>
      </c>
      <c r="B1688" s="45"/>
      <c r="C1688" s="17" t="s">
        <v>22</v>
      </c>
      <c r="D1688" s="18">
        <v>6328.23</v>
      </c>
      <c r="E1688" s="19"/>
      <c r="F1688" s="15">
        <f t="shared" si="26"/>
        <v>-6328.23</v>
      </c>
    </row>
    <row r="1689" spans="1:6" x14ac:dyDescent="0.2">
      <c r="A1689" s="91">
        <v>45799</v>
      </c>
      <c r="B1689" s="45"/>
      <c r="C1689" s="17" t="s">
        <v>22</v>
      </c>
      <c r="D1689" s="18">
        <v>111</v>
      </c>
      <c r="E1689" s="19"/>
      <c r="F1689" s="15">
        <f t="shared" si="26"/>
        <v>-111</v>
      </c>
    </row>
    <row r="1690" spans="1:6" x14ac:dyDescent="0.2">
      <c r="A1690" s="91">
        <v>45803</v>
      </c>
      <c r="B1690" s="45"/>
      <c r="C1690" s="17" t="s">
        <v>22</v>
      </c>
      <c r="D1690" s="18">
        <v>96</v>
      </c>
      <c r="E1690" s="19"/>
      <c r="F1690" s="15">
        <f t="shared" si="26"/>
        <v>-96</v>
      </c>
    </row>
    <row r="1691" spans="1:6" x14ac:dyDescent="0.2">
      <c r="A1691" s="91">
        <v>45806</v>
      </c>
      <c r="B1691" s="45"/>
      <c r="C1691" s="17" t="s">
        <v>22</v>
      </c>
      <c r="D1691" s="18">
        <v>278.77999999999997</v>
      </c>
      <c r="E1691" s="19"/>
      <c r="F1691" s="15">
        <f t="shared" si="26"/>
        <v>-278.77999999999997</v>
      </c>
    </row>
    <row r="1692" spans="1:6" x14ac:dyDescent="0.2">
      <c r="A1692" s="91">
        <v>45807</v>
      </c>
      <c r="B1692" s="45"/>
      <c r="C1692" s="17" t="s">
        <v>22</v>
      </c>
      <c r="D1692" s="25">
        <v>317479.11</v>
      </c>
      <c r="E1692" s="19"/>
      <c r="F1692" s="15">
        <f t="shared" si="26"/>
        <v>-317479.11</v>
      </c>
    </row>
    <row r="1693" spans="1:6" x14ac:dyDescent="0.2">
      <c r="A1693" s="91">
        <v>45810</v>
      </c>
      <c r="B1693" s="45"/>
      <c r="C1693" s="17" t="s">
        <v>22</v>
      </c>
      <c r="D1693" s="18">
        <v>3748.4</v>
      </c>
      <c r="E1693" s="19"/>
      <c r="F1693" s="15">
        <f t="shared" si="26"/>
        <v>-3748.4</v>
      </c>
    </row>
    <row r="1694" spans="1:6" x14ac:dyDescent="0.2">
      <c r="A1694" s="91">
        <v>45811</v>
      </c>
      <c r="B1694" s="45"/>
      <c r="C1694" s="17" t="s">
        <v>22</v>
      </c>
      <c r="D1694" s="18">
        <v>1749.6</v>
      </c>
      <c r="E1694" s="19"/>
      <c r="F1694" s="15">
        <f t="shared" si="26"/>
        <v>-1749.6</v>
      </c>
    </row>
    <row r="1695" spans="1:6" x14ac:dyDescent="0.2">
      <c r="A1695" s="91">
        <v>45812</v>
      </c>
      <c r="B1695" s="45"/>
      <c r="C1695" s="17" t="s">
        <v>22</v>
      </c>
      <c r="D1695" s="18">
        <v>444.26</v>
      </c>
      <c r="E1695" s="19"/>
      <c r="F1695" s="15">
        <f t="shared" si="26"/>
        <v>-444.26</v>
      </c>
    </row>
    <row r="1696" spans="1:6" x14ac:dyDescent="0.2">
      <c r="A1696" s="91">
        <v>45814</v>
      </c>
      <c r="B1696" s="45"/>
      <c r="C1696" s="17" t="s">
        <v>22</v>
      </c>
      <c r="D1696" s="18">
        <v>216.26</v>
      </c>
      <c r="E1696" s="19"/>
      <c r="F1696" s="15">
        <f t="shared" si="26"/>
        <v>-216.26</v>
      </c>
    </row>
    <row r="1697" spans="1:6" x14ac:dyDescent="0.2">
      <c r="A1697" s="91">
        <v>45817</v>
      </c>
      <c r="B1697" s="45"/>
      <c r="C1697" s="17" t="s">
        <v>22</v>
      </c>
      <c r="D1697" s="18">
        <v>30362.59</v>
      </c>
      <c r="E1697" s="19"/>
      <c r="F1697" s="15">
        <f t="shared" si="26"/>
        <v>-30362.59</v>
      </c>
    </row>
    <row r="1698" spans="1:6" x14ac:dyDescent="0.2">
      <c r="A1698" s="91">
        <v>45818</v>
      </c>
      <c r="B1698" s="45"/>
      <c r="C1698" s="17" t="s">
        <v>22</v>
      </c>
      <c r="D1698" s="18">
        <v>124.17</v>
      </c>
      <c r="E1698" s="19"/>
      <c r="F1698" s="15">
        <f t="shared" si="26"/>
        <v>-124.17</v>
      </c>
    </row>
    <row r="1699" spans="1:6" x14ac:dyDescent="0.2">
      <c r="A1699" s="91">
        <v>45819</v>
      </c>
      <c r="B1699" s="45"/>
      <c r="C1699" s="17" t="s">
        <v>22</v>
      </c>
      <c r="D1699" s="18">
        <v>36624.33</v>
      </c>
      <c r="E1699" s="19"/>
      <c r="F1699" s="15">
        <f t="shared" si="26"/>
        <v>-36624.33</v>
      </c>
    </row>
    <row r="1700" spans="1:6" x14ac:dyDescent="0.2">
      <c r="A1700" s="91">
        <v>45825</v>
      </c>
      <c r="B1700" s="45"/>
      <c r="C1700" s="17" t="s">
        <v>22</v>
      </c>
      <c r="D1700" s="18">
        <v>434.2</v>
      </c>
      <c r="E1700" s="19"/>
      <c r="F1700" s="15">
        <f t="shared" si="26"/>
        <v>-434.2</v>
      </c>
    </row>
    <row r="1701" spans="1:6" x14ac:dyDescent="0.2">
      <c r="A1701" s="91">
        <v>45831</v>
      </c>
      <c r="B1701" s="45"/>
      <c r="C1701" s="17" t="s">
        <v>22</v>
      </c>
      <c r="D1701" s="18">
        <v>7180.68</v>
      </c>
      <c r="E1701" s="19"/>
      <c r="F1701" s="15">
        <f t="shared" si="26"/>
        <v>-7180.68</v>
      </c>
    </row>
    <row r="1702" spans="1:6" x14ac:dyDescent="0.2">
      <c r="A1702" s="91">
        <v>45832</v>
      </c>
      <c r="B1702" s="45"/>
      <c r="C1702" s="17" t="s">
        <v>22</v>
      </c>
      <c r="D1702" s="18">
        <v>2811.21</v>
      </c>
      <c r="E1702" s="19"/>
      <c r="F1702" s="15">
        <f t="shared" si="26"/>
        <v>-2811.21</v>
      </c>
    </row>
    <row r="1703" spans="1:6" x14ac:dyDescent="0.2">
      <c r="A1703" s="91">
        <v>45834</v>
      </c>
      <c r="B1703" s="45"/>
      <c r="C1703" s="17" t="s">
        <v>22</v>
      </c>
      <c r="D1703" s="18">
        <v>18457.45</v>
      </c>
      <c r="E1703" s="19"/>
      <c r="F1703" s="15">
        <f t="shared" si="26"/>
        <v>-18457.45</v>
      </c>
    </row>
    <row r="1704" spans="1:6" x14ac:dyDescent="0.2">
      <c r="A1704" s="91">
        <v>45838</v>
      </c>
      <c r="B1704" s="45"/>
      <c r="C1704" s="17" t="s">
        <v>22</v>
      </c>
      <c r="D1704" s="18">
        <v>132.41</v>
      </c>
      <c r="E1704" s="19"/>
      <c r="F1704" s="15">
        <f t="shared" si="26"/>
        <v>-132.41</v>
      </c>
    </row>
    <row r="1705" spans="1:6" x14ac:dyDescent="0.2">
      <c r="A1705" s="91">
        <v>45839</v>
      </c>
      <c r="B1705" s="45"/>
      <c r="C1705" s="17" t="s">
        <v>22</v>
      </c>
      <c r="D1705" s="18">
        <v>8556.5</v>
      </c>
      <c r="E1705" s="19"/>
      <c r="F1705" s="15">
        <f t="shared" si="26"/>
        <v>-8556.5</v>
      </c>
    </row>
    <row r="1706" spans="1:6" x14ac:dyDescent="0.2">
      <c r="A1706" s="91">
        <v>45840</v>
      </c>
      <c r="B1706" s="45"/>
      <c r="C1706" s="17" t="s">
        <v>22</v>
      </c>
      <c r="D1706" s="18">
        <v>594247.80000000005</v>
      </c>
      <c r="E1706" s="19"/>
      <c r="F1706" s="15">
        <f t="shared" si="26"/>
        <v>-594247.80000000005</v>
      </c>
    </row>
    <row r="1707" spans="1:6" x14ac:dyDescent="0.2">
      <c r="A1707" s="91">
        <v>45841</v>
      </c>
      <c r="B1707" s="45"/>
      <c r="C1707" s="17" t="s">
        <v>22</v>
      </c>
      <c r="D1707" s="18">
        <v>60533.22</v>
      </c>
      <c r="E1707" s="19"/>
      <c r="F1707" s="15">
        <f t="shared" si="26"/>
        <v>-60533.22</v>
      </c>
    </row>
    <row r="1708" spans="1:6" x14ac:dyDescent="0.2">
      <c r="A1708" s="91">
        <v>45846</v>
      </c>
      <c r="B1708" s="45"/>
      <c r="C1708" s="17" t="s">
        <v>22</v>
      </c>
      <c r="D1708" s="18">
        <v>846.43</v>
      </c>
      <c r="E1708" s="19"/>
      <c r="F1708" s="15">
        <f t="shared" si="26"/>
        <v>-846.43</v>
      </c>
    </row>
    <row r="1709" spans="1:6" x14ac:dyDescent="0.2">
      <c r="A1709" s="91">
        <v>45849</v>
      </c>
      <c r="B1709" s="45"/>
      <c r="C1709" s="17" t="s">
        <v>22</v>
      </c>
      <c r="D1709" s="18">
        <v>94.41</v>
      </c>
      <c r="E1709" s="19"/>
      <c r="F1709" s="15">
        <f t="shared" si="26"/>
        <v>-94.41</v>
      </c>
    </row>
    <row r="1710" spans="1:6" x14ac:dyDescent="0.2">
      <c r="A1710" s="91">
        <v>45852</v>
      </c>
      <c r="B1710" s="45"/>
      <c r="C1710" s="17" t="s">
        <v>22</v>
      </c>
      <c r="D1710" s="18">
        <v>223.34</v>
      </c>
      <c r="E1710" s="19"/>
      <c r="F1710" s="15">
        <f t="shared" si="26"/>
        <v>-223.34</v>
      </c>
    </row>
    <row r="1711" spans="1:6" x14ac:dyDescent="0.2">
      <c r="A1711" s="91">
        <v>45853</v>
      </c>
      <c r="B1711" s="45"/>
      <c r="C1711" s="17" t="s">
        <v>22</v>
      </c>
      <c r="D1711" s="18">
        <v>307.43</v>
      </c>
      <c r="E1711" s="19"/>
      <c r="F1711" s="15">
        <f t="shared" si="26"/>
        <v>-307.43</v>
      </c>
    </row>
    <row r="1712" spans="1:6" x14ac:dyDescent="0.2">
      <c r="A1712" s="91">
        <v>45854</v>
      </c>
      <c r="B1712" s="45"/>
      <c r="C1712" s="17" t="s">
        <v>22</v>
      </c>
      <c r="D1712" s="18">
        <v>4126.6000000000004</v>
      </c>
      <c r="E1712" s="19"/>
      <c r="F1712" s="15">
        <f t="shared" si="26"/>
        <v>-4126.6000000000004</v>
      </c>
    </row>
    <row r="1713" spans="1:6" x14ac:dyDescent="0.2">
      <c r="A1713" s="91">
        <v>45855</v>
      </c>
      <c r="B1713" s="45"/>
      <c r="C1713" s="17" t="s">
        <v>22</v>
      </c>
      <c r="D1713" s="18">
        <v>73.03</v>
      </c>
      <c r="E1713" s="19"/>
      <c r="F1713" s="15">
        <f t="shared" si="26"/>
        <v>-73.03</v>
      </c>
    </row>
    <row r="1714" spans="1:6" x14ac:dyDescent="0.2">
      <c r="A1714" s="91">
        <v>45856</v>
      </c>
      <c r="B1714" s="45"/>
      <c r="C1714" s="17" t="s">
        <v>22</v>
      </c>
      <c r="D1714" s="18">
        <v>2918.66</v>
      </c>
      <c r="E1714" s="19"/>
      <c r="F1714" s="15">
        <f t="shared" si="26"/>
        <v>-2918.66</v>
      </c>
    </row>
    <row r="1715" spans="1:6" x14ac:dyDescent="0.2">
      <c r="A1715" s="91">
        <v>45860</v>
      </c>
      <c r="B1715" s="51"/>
      <c r="C1715" s="47" t="s">
        <v>22</v>
      </c>
      <c r="D1715" s="48">
        <v>641.34</v>
      </c>
      <c r="E1715" s="49"/>
      <c r="F1715" s="15">
        <f t="shared" si="26"/>
        <v>-641.34</v>
      </c>
    </row>
    <row r="1716" spans="1:6" x14ac:dyDescent="0.2">
      <c r="A1716" s="91">
        <v>45867</v>
      </c>
      <c r="B1716" s="50"/>
      <c r="C1716" s="22" t="s">
        <v>22</v>
      </c>
      <c r="D1716" s="23">
        <v>17574.37</v>
      </c>
      <c r="E1716" s="24"/>
      <c r="F1716" s="15">
        <f t="shared" si="26"/>
        <v>-17574.37</v>
      </c>
    </row>
    <row r="1717" spans="1:6" x14ac:dyDescent="0.2">
      <c r="A1717" s="91">
        <v>45869</v>
      </c>
      <c r="B1717" s="45"/>
      <c r="C1717" s="17" t="s">
        <v>22</v>
      </c>
      <c r="D1717" s="25">
        <v>6608.8</v>
      </c>
      <c r="E1717" s="19"/>
      <c r="F1717" s="15">
        <f t="shared" si="26"/>
        <v>-6608.8</v>
      </c>
    </row>
    <row r="1718" spans="1:6" x14ac:dyDescent="0.2">
      <c r="A1718" s="91">
        <v>45873</v>
      </c>
      <c r="B1718" s="45"/>
      <c r="C1718" s="17" t="s">
        <v>22</v>
      </c>
      <c r="D1718" s="18">
        <v>420000</v>
      </c>
      <c r="E1718" s="19"/>
      <c r="F1718" s="15">
        <f t="shared" si="26"/>
        <v>-420000</v>
      </c>
    </row>
    <row r="1719" spans="1:6" x14ac:dyDescent="0.2">
      <c r="A1719" s="91">
        <v>45874</v>
      </c>
      <c r="B1719" s="45"/>
      <c r="C1719" s="17" t="s">
        <v>22</v>
      </c>
      <c r="D1719" s="18">
        <v>60000</v>
      </c>
      <c r="E1719" s="19"/>
      <c r="F1719" s="15">
        <f t="shared" si="26"/>
        <v>-60000</v>
      </c>
    </row>
    <row r="1720" spans="1:6" x14ac:dyDescent="0.2">
      <c r="A1720" s="91">
        <v>45875</v>
      </c>
      <c r="B1720" s="45"/>
      <c r="C1720" s="17" t="s">
        <v>22</v>
      </c>
      <c r="D1720" s="18">
        <v>18000</v>
      </c>
      <c r="E1720" s="19"/>
      <c r="F1720" s="15">
        <f t="shared" si="26"/>
        <v>-18000</v>
      </c>
    </row>
    <row r="1721" spans="1:6" x14ac:dyDescent="0.2">
      <c r="A1721" s="91">
        <v>45880</v>
      </c>
      <c r="B1721" s="45"/>
      <c r="C1721" s="17" t="s">
        <v>22</v>
      </c>
      <c r="D1721" s="18">
        <v>36000</v>
      </c>
      <c r="E1721" s="19"/>
      <c r="F1721" s="15">
        <f t="shared" si="26"/>
        <v>-36000</v>
      </c>
    </row>
    <row r="1722" spans="1:6" x14ac:dyDescent="0.2">
      <c r="A1722" s="91">
        <v>45881</v>
      </c>
      <c r="B1722" s="45"/>
      <c r="C1722" s="17" t="s">
        <v>22</v>
      </c>
      <c r="D1722" s="18">
        <v>7814.73</v>
      </c>
      <c r="E1722" s="19"/>
      <c r="F1722" s="15">
        <f t="shared" si="26"/>
        <v>-7814.73</v>
      </c>
    </row>
    <row r="1723" spans="1:6" x14ac:dyDescent="0.2">
      <c r="A1723" s="91">
        <v>45887</v>
      </c>
      <c r="B1723" s="45"/>
      <c r="C1723" s="17" t="s">
        <v>22</v>
      </c>
      <c r="D1723" s="18">
        <v>18520.93</v>
      </c>
      <c r="E1723" s="19"/>
      <c r="F1723" s="15">
        <f t="shared" si="26"/>
        <v>-18520.93</v>
      </c>
    </row>
    <row r="1724" spans="1:6" x14ac:dyDescent="0.2">
      <c r="A1724" s="91">
        <v>45889</v>
      </c>
      <c r="B1724" s="45"/>
      <c r="C1724" s="17" t="s">
        <v>22</v>
      </c>
      <c r="D1724" s="18">
        <v>18211.169999999998</v>
      </c>
      <c r="E1724" s="19"/>
      <c r="F1724" s="15">
        <f t="shared" si="26"/>
        <v>-18211.169999999998</v>
      </c>
    </row>
    <row r="1725" spans="1:6" x14ac:dyDescent="0.2">
      <c r="A1725" s="91">
        <v>45890</v>
      </c>
      <c r="B1725" s="45"/>
      <c r="C1725" s="17" t="s">
        <v>22</v>
      </c>
      <c r="D1725" s="18">
        <v>202.46</v>
      </c>
      <c r="E1725" s="19"/>
      <c r="F1725" s="15">
        <f t="shared" si="26"/>
        <v>-202.46</v>
      </c>
    </row>
    <row r="1726" spans="1:6" x14ac:dyDescent="0.2">
      <c r="A1726" s="91">
        <v>45894</v>
      </c>
      <c r="B1726" s="45"/>
      <c r="C1726" s="17" t="s">
        <v>22</v>
      </c>
      <c r="D1726" s="18">
        <v>739.13</v>
      </c>
      <c r="E1726" s="19"/>
      <c r="F1726" s="15">
        <f t="shared" si="26"/>
        <v>-739.13</v>
      </c>
    </row>
    <row r="1727" spans="1:6" x14ac:dyDescent="0.2">
      <c r="A1727" s="91">
        <v>45895</v>
      </c>
      <c r="B1727" s="45"/>
      <c r="C1727" s="17" t="s">
        <v>22</v>
      </c>
      <c r="D1727" s="18">
        <v>5579.84</v>
      </c>
      <c r="E1727" s="19"/>
      <c r="F1727" s="15">
        <f t="shared" si="26"/>
        <v>-5579.84</v>
      </c>
    </row>
    <row r="1728" spans="1:6" x14ac:dyDescent="0.2">
      <c r="A1728" s="91">
        <v>45897</v>
      </c>
      <c r="B1728" s="45"/>
      <c r="C1728" s="17" t="s">
        <v>22</v>
      </c>
      <c r="D1728" s="18">
        <v>20702.61</v>
      </c>
      <c r="E1728" s="19"/>
      <c r="F1728" s="15">
        <f t="shared" si="26"/>
        <v>-20702.61</v>
      </c>
    </row>
    <row r="1729" spans="1:8" x14ac:dyDescent="0.2">
      <c r="A1729" s="91">
        <v>45537</v>
      </c>
      <c r="B1729" s="26"/>
      <c r="C1729" s="17" t="s">
        <v>16</v>
      </c>
      <c r="D1729" s="18">
        <v>645360.49</v>
      </c>
      <c r="E1729" s="19"/>
      <c r="F1729" s="15">
        <f t="shared" si="26"/>
        <v>-645360.49</v>
      </c>
      <c r="H1729" s="10"/>
    </row>
    <row r="1730" spans="1:8" x14ac:dyDescent="0.2">
      <c r="A1730" s="91">
        <v>45538</v>
      </c>
      <c r="B1730" s="26"/>
      <c r="C1730" s="17" t="s">
        <v>16</v>
      </c>
      <c r="D1730" s="18">
        <v>48730.61</v>
      </c>
      <c r="E1730" s="19"/>
      <c r="F1730" s="15">
        <f t="shared" si="26"/>
        <v>-48730.61</v>
      </c>
      <c r="H1730" s="10"/>
    </row>
    <row r="1731" spans="1:8" x14ac:dyDescent="0.2">
      <c r="A1731" s="91">
        <v>45539</v>
      </c>
      <c r="B1731" s="26"/>
      <c r="C1731" s="17" t="s">
        <v>16</v>
      </c>
      <c r="D1731" s="18">
        <v>88579.1</v>
      </c>
      <c r="E1731" s="19"/>
      <c r="F1731" s="15">
        <f t="shared" ref="F1731:F1794" si="27">+E1731-D1731</f>
        <v>-88579.1</v>
      </c>
      <c r="H1731" s="10"/>
    </row>
    <row r="1732" spans="1:8" x14ac:dyDescent="0.2">
      <c r="A1732" s="91">
        <v>45540</v>
      </c>
      <c r="B1732" s="26"/>
      <c r="C1732" s="17" t="s">
        <v>16</v>
      </c>
      <c r="D1732" s="18">
        <v>30680.400000000001</v>
      </c>
      <c r="E1732" s="19"/>
      <c r="F1732" s="15">
        <f t="shared" si="27"/>
        <v>-30680.400000000001</v>
      </c>
      <c r="H1732" s="10"/>
    </row>
    <row r="1733" spans="1:8" x14ac:dyDescent="0.2">
      <c r="A1733" s="91">
        <v>45541</v>
      </c>
      <c r="B1733" s="26"/>
      <c r="C1733" s="17" t="s">
        <v>16</v>
      </c>
      <c r="D1733" s="18">
        <v>39523.17</v>
      </c>
      <c r="E1733" s="19"/>
      <c r="F1733" s="15">
        <f t="shared" si="27"/>
        <v>-39523.17</v>
      </c>
      <c r="H1733" s="10"/>
    </row>
    <row r="1734" spans="1:8" x14ac:dyDescent="0.2">
      <c r="A1734" s="91">
        <v>45544</v>
      </c>
      <c r="B1734" s="26"/>
      <c r="C1734" s="17" t="s">
        <v>16</v>
      </c>
      <c r="D1734" s="18">
        <v>14772.18</v>
      </c>
      <c r="E1734" s="19"/>
      <c r="F1734" s="15">
        <f t="shared" si="27"/>
        <v>-14772.18</v>
      </c>
      <c r="H1734" s="10"/>
    </row>
    <row r="1735" spans="1:8" x14ac:dyDescent="0.2">
      <c r="A1735" s="91">
        <v>45545</v>
      </c>
      <c r="B1735" s="26"/>
      <c r="C1735" s="17" t="s">
        <v>16</v>
      </c>
      <c r="D1735" s="18">
        <v>235.82</v>
      </c>
      <c r="E1735" s="19"/>
      <c r="F1735" s="15">
        <f t="shared" si="27"/>
        <v>-235.82</v>
      </c>
      <c r="H1735" s="10"/>
    </row>
    <row r="1736" spans="1:8" x14ac:dyDescent="0.2">
      <c r="A1736" s="91">
        <v>45546</v>
      </c>
      <c r="B1736" s="26"/>
      <c r="C1736" s="17" t="s">
        <v>16</v>
      </c>
      <c r="D1736" s="18">
        <v>1868.55</v>
      </c>
      <c r="E1736" s="19"/>
      <c r="F1736" s="15">
        <f t="shared" si="27"/>
        <v>-1868.55</v>
      </c>
      <c r="H1736" s="10"/>
    </row>
    <row r="1737" spans="1:8" x14ac:dyDescent="0.2">
      <c r="A1737" s="91">
        <v>45547</v>
      </c>
      <c r="B1737" s="26"/>
      <c r="C1737" s="17" t="s">
        <v>16</v>
      </c>
      <c r="D1737" s="18">
        <v>1.84</v>
      </c>
      <c r="E1737" s="19"/>
      <c r="F1737" s="15">
        <f t="shared" si="27"/>
        <v>-1.84</v>
      </c>
      <c r="H1737" s="10"/>
    </row>
    <row r="1738" spans="1:8" x14ac:dyDescent="0.2">
      <c r="A1738" s="91">
        <v>45548</v>
      </c>
      <c r="B1738" s="26"/>
      <c r="C1738" s="17" t="s">
        <v>16</v>
      </c>
      <c r="D1738" s="18">
        <v>5404.55</v>
      </c>
      <c r="E1738" s="19"/>
      <c r="F1738" s="15">
        <f t="shared" si="27"/>
        <v>-5404.55</v>
      </c>
      <c r="H1738" s="10"/>
    </row>
    <row r="1739" spans="1:8" x14ac:dyDescent="0.2">
      <c r="A1739" s="91">
        <v>45551</v>
      </c>
      <c r="B1739" s="26"/>
      <c r="C1739" s="17" t="s">
        <v>16</v>
      </c>
      <c r="D1739" s="18">
        <v>28866.959999999999</v>
      </c>
      <c r="E1739" s="19"/>
      <c r="F1739" s="15">
        <f t="shared" si="27"/>
        <v>-28866.959999999999</v>
      </c>
      <c r="H1739" s="10"/>
    </row>
    <row r="1740" spans="1:8" x14ac:dyDescent="0.2">
      <c r="A1740" s="91">
        <v>45552</v>
      </c>
      <c r="B1740" s="26"/>
      <c r="C1740" s="17" t="s">
        <v>16</v>
      </c>
      <c r="D1740" s="18">
        <v>108835.32</v>
      </c>
      <c r="E1740" s="19"/>
      <c r="F1740" s="15">
        <f t="shared" si="27"/>
        <v>-108835.32</v>
      </c>
      <c r="H1740" s="10"/>
    </row>
    <row r="1741" spans="1:8" x14ac:dyDescent="0.2">
      <c r="A1741" s="91">
        <v>45553</v>
      </c>
      <c r="B1741" s="26"/>
      <c r="C1741" s="17" t="s">
        <v>16</v>
      </c>
      <c r="D1741" s="18">
        <v>75907.81</v>
      </c>
      <c r="E1741" s="19"/>
      <c r="F1741" s="15">
        <f t="shared" si="27"/>
        <v>-75907.81</v>
      </c>
      <c r="H1741" s="10"/>
    </row>
    <row r="1742" spans="1:8" x14ac:dyDescent="0.2">
      <c r="A1742" s="91">
        <v>45554</v>
      </c>
      <c r="B1742" s="74"/>
      <c r="C1742" s="47" t="s">
        <v>16</v>
      </c>
      <c r="D1742" s="48">
        <v>21099.24</v>
      </c>
      <c r="E1742" s="49"/>
      <c r="F1742" s="15">
        <f t="shared" si="27"/>
        <v>-21099.24</v>
      </c>
      <c r="H1742" s="10"/>
    </row>
    <row r="1743" spans="1:8" x14ac:dyDescent="0.2">
      <c r="A1743" s="91">
        <v>45555</v>
      </c>
      <c r="B1743" s="27"/>
      <c r="C1743" s="22" t="s">
        <v>16</v>
      </c>
      <c r="D1743" s="23">
        <v>7.1</v>
      </c>
      <c r="E1743" s="24"/>
      <c r="F1743" s="15">
        <f t="shared" si="27"/>
        <v>-7.1</v>
      </c>
      <c r="H1743" s="10"/>
    </row>
    <row r="1744" spans="1:8" x14ac:dyDescent="0.2">
      <c r="A1744" s="91">
        <v>45558</v>
      </c>
      <c r="B1744" s="32"/>
      <c r="C1744" s="33" t="s">
        <v>16</v>
      </c>
      <c r="D1744" s="64">
        <v>8750.98</v>
      </c>
      <c r="E1744" s="35"/>
      <c r="F1744" s="15">
        <f t="shared" si="27"/>
        <v>-8750.98</v>
      </c>
      <c r="H1744" s="10"/>
    </row>
    <row r="1745" spans="1:8" x14ac:dyDescent="0.2">
      <c r="A1745" s="92">
        <v>45559</v>
      </c>
      <c r="B1745" s="69"/>
      <c r="C1745" s="47" t="s">
        <v>16</v>
      </c>
      <c r="D1745" s="63">
        <v>26.47</v>
      </c>
      <c r="E1745" s="49"/>
      <c r="F1745" s="15">
        <f t="shared" si="27"/>
        <v>-26.47</v>
      </c>
      <c r="H1745" s="10"/>
    </row>
    <row r="1746" spans="1:8" x14ac:dyDescent="0.2">
      <c r="A1746" s="92">
        <v>45560</v>
      </c>
      <c r="B1746" s="69"/>
      <c r="C1746" s="47" t="s">
        <v>16</v>
      </c>
      <c r="D1746" s="63">
        <v>462487.19</v>
      </c>
      <c r="E1746" s="49"/>
      <c r="F1746" s="15">
        <f t="shared" si="27"/>
        <v>-462487.19</v>
      </c>
      <c r="H1746" s="10"/>
    </row>
    <row r="1747" spans="1:8" x14ac:dyDescent="0.2">
      <c r="A1747" s="92">
        <v>45561</v>
      </c>
      <c r="B1747" s="69"/>
      <c r="C1747" s="47" t="s">
        <v>16</v>
      </c>
      <c r="D1747" s="63">
        <v>218234.53</v>
      </c>
      <c r="E1747" s="49"/>
      <c r="F1747" s="15">
        <f t="shared" si="27"/>
        <v>-218234.53</v>
      </c>
      <c r="H1747" s="10"/>
    </row>
    <row r="1748" spans="1:8" x14ac:dyDescent="0.2">
      <c r="A1748" s="91">
        <v>45562</v>
      </c>
      <c r="B1748" s="4"/>
      <c r="C1748" s="5" t="s">
        <v>16</v>
      </c>
      <c r="D1748" s="8">
        <v>51058.2</v>
      </c>
      <c r="E1748" s="7"/>
      <c r="F1748" s="15">
        <f t="shared" si="27"/>
        <v>-51058.2</v>
      </c>
      <c r="H1748" s="10"/>
    </row>
    <row r="1749" spans="1:8" x14ac:dyDescent="0.2">
      <c r="A1749" s="91">
        <v>45565</v>
      </c>
      <c r="B1749" s="81"/>
      <c r="C1749" s="61" t="s">
        <v>16</v>
      </c>
      <c r="D1749" s="87">
        <v>179251.12</v>
      </c>
      <c r="E1749" s="14"/>
      <c r="F1749" s="15">
        <f t="shared" si="27"/>
        <v>-179251.12</v>
      </c>
      <c r="H1749" s="10"/>
    </row>
    <row r="1750" spans="1:8" x14ac:dyDescent="0.2">
      <c r="A1750" s="91">
        <v>45566</v>
      </c>
      <c r="B1750" s="45"/>
      <c r="C1750" s="17" t="s">
        <v>16</v>
      </c>
      <c r="D1750" s="18">
        <v>331387.09999999998</v>
      </c>
      <c r="E1750" s="19"/>
      <c r="F1750" s="15">
        <f t="shared" si="27"/>
        <v>-331387.09999999998</v>
      </c>
    </row>
    <row r="1751" spans="1:8" x14ac:dyDescent="0.2">
      <c r="A1751" s="91">
        <v>45567</v>
      </c>
      <c r="B1751" s="45"/>
      <c r="C1751" s="17" t="s">
        <v>16</v>
      </c>
      <c r="D1751" s="18">
        <v>105421.08</v>
      </c>
      <c r="E1751" s="19"/>
      <c r="F1751" s="15">
        <f t="shared" si="27"/>
        <v>-105421.08</v>
      </c>
    </row>
    <row r="1752" spans="1:8" x14ac:dyDescent="0.2">
      <c r="A1752" s="91">
        <v>45568</v>
      </c>
      <c r="B1752" s="45"/>
      <c r="C1752" s="17" t="s">
        <v>16</v>
      </c>
      <c r="D1752" s="18">
        <v>562183.25</v>
      </c>
      <c r="E1752" s="19"/>
      <c r="F1752" s="15">
        <f t="shared" si="27"/>
        <v>-562183.25</v>
      </c>
    </row>
    <row r="1753" spans="1:8" x14ac:dyDescent="0.2">
      <c r="A1753" s="91">
        <v>45569</v>
      </c>
      <c r="B1753" s="45"/>
      <c r="C1753" s="17" t="s">
        <v>16</v>
      </c>
      <c r="D1753" s="18">
        <v>40537.160000000003</v>
      </c>
      <c r="E1753" s="19"/>
      <c r="F1753" s="15">
        <f t="shared" si="27"/>
        <v>-40537.160000000003</v>
      </c>
    </row>
    <row r="1754" spans="1:8" x14ac:dyDescent="0.2">
      <c r="A1754" s="91">
        <v>45572</v>
      </c>
      <c r="B1754" s="45"/>
      <c r="C1754" s="17" t="s">
        <v>16</v>
      </c>
      <c r="D1754" s="18">
        <v>133184.85</v>
      </c>
      <c r="E1754" s="19"/>
      <c r="F1754" s="15">
        <f t="shared" si="27"/>
        <v>-133184.85</v>
      </c>
    </row>
    <row r="1755" spans="1:8" x14ac:dyDescent="0.2">
      <c r="A1755" s="91">
        <v>45573</v>
      </c>
      <c r="B1755" s="45"/>
      <c r="C1755" s="17" t="s">
        <v>16</v>
      </c>
      <c r="D1755" s="18">
        <v>253.81</v>
      </c>
      <c r="E1755" s="19"/>
      <c r="F1755" s="15">
        <f t="shared" si="27"/>
        <v>-253.81</v>
      </c>
    </row>
    <row r="1756" spans="1:8" x14ac:dyDescent="0.2">
      <c r="A1756" s="91">
        <v>45574</v>
      </c>
      <c r="B1756" s="45"/>
      <c r="C1756" s="17" t="s">
        <v>16</v>
      </c>
      <c r="D1756" s="18">
        <v>1404.21</v>
      </c>
      <c r="E1756" s="19"/>
      <c r="F1756" s="15">
        <f t="shared" si="27"/>
        <v>-1404.21</v>
      </c>
    </row>
    <row r="1757" spans="1:8" x14ac:dyDescent="0.2">
      <c r="A1757" s="91">
        <v>45575</v>
      </c>
      <c r="B1757" s="45"/>
      <c r="C1757" s="17" t="s">
        <v>16</v>
      </c>
      <c r="D1757" s="18">
        <v>3430.11</v>
      </c>
      <c r="E1757" s="19"/>
      <c r="F1757" s="15">
        <f t="shared" si="27"/>
        <v>-3430.11</v>
      </c>
    </row>
    <row r="1758" spans="1:8" x14ac:dyDescent="0.2">
      <c r="A1758" s="91">
        <v>45579</v>
      </c>
      <c r="B1758" s="45"/>
      <c r="C1758" s="17" t="s">
        <v>16</v>
      </c>
      <c r="D1758" s="18">
        <v>3669.32</v>
      </c>
      <c r="E1758" s="19"/>
      <c r="F1758" s="15">
        <f t="shared" si="27"/>
        <v>-3669.32</v>
      </c>
    </row>
    <row r="1759" spans="1:8" x14ac:dyDescent="0.2">
      <c r="A1759" s="91">
        <v>45581</v>
      </c>
      <c r="B1759" s="45"/>
      <c r="C1759" s="17" t="s">
        <v>16</v>
      </c>
      <c r="D1759" s="18">
        <v>130935.28</v>
      </c>
      <c r="E1759" s="19"/>
      <c r="F1759" s="15">
        <f t="shared" si="27"/>
        <v>-130935.28</v>
      </c>
    </row>
    <row r="1760" spans="1:8" x14ac:dyDescent="0.2">
      <c r="A1760" s="91">
        <v>45582</v>
      </c>
      <c r="B1760" s="45"/>
      <c r="C1760" s="17" t="s">
        <v>16</v>
      </c>
      <c r="D1760" s="18">
        <v>18.3</v>
      </c>
      <c r="E1760" s="19"/>
      <c r="F1760" s="15">
        <f t="shared" si="27"/>
        <v>-18.3</v>
      </c>
    </row>
    <row r="1761" spans="1:6" x14ac:dyDescent="0.2">
      <c r="A1761" s="91">
        <v>45583</v>
      </c>
      <c r="B1761" s="45"/>
      <c r="C1761" s="17" t="s">
        <v>16</v>
      </c>
      <c r="D1761" s="18">
        <v>138836.81</v>
      </c>
      <c r="E1761" s="19"/>
      <c r="F1761" s="15">
        <f t="shared" si="27"/>
        <v>-138836.81</v>
      </c>
    </row>
    <row r="1762" spans="1:6" x14ac:dyDescent="0.2">
      <c r="A1762" s="91">
        <v>45586</v>
      </c>
      <c r="B1762" s="45"/>
      <c r="C1762" s="17" t="s">
        <v>16</v>
      </c>
      <c r="D1762" s="18">
        <v>5922.26</v>
      </c>
      <c r="E1762" s="19"/>
      <c r="F1762" s="15">
        <f t="shared" si="27"/>
        <v>-5922.26</v>
      </c>
    </row>
    <row r="1763" spans="1:6" x14ac:dyDescent="0.2">
      <c r="A1763" s="91">
        <v>45587</v>
      </c>
      <c r="B1763" s="45"/>
      <c r="C1763" s="17" t="s">
        <v>16</v>
      </c>
      <c r="D1763" s="18">
        <v>31998.57</v>
      </c>
      <c r="E1763" s="19"/>
      <c r="F1763" s="15">
        <f t="shared" si="27"/>
        <v>-31998.57</v>
      </c>
    </row>
    <row r="1764" spans="1:6" x14ac:dyDescent="0.2">
      <c r="A1764" s="91">
        <v>45588</v>
      </c>
      <c r="B1764" s="45"/>
      <c r="C1764" s="17" t="s">
        <v>16</v>
      </c>
      <c r="D1764" s="18">
        <v>35888.85</v>
      </c>
      <c r="E1764" s="19"/>
      <c r="F1764" s="15">
        <f t="shared" si="27"/>
        <v>-35888.85</v>
      </c>
    </row>
    <row r="1765" spans="1:6" x14ac:dyDescent="0.2">
      <c r="A1765" s="91">
        <v>45590</v>
      </c>
      <c r="B1765" s="45"/>
      <c r="C1765" s="17" t="s">
        <v>16</v>
      </c>
      <c r="D1765" s="18">
        <v>6511.72</v>
      </c>
      <c r="E1765" s="19"/>
      <c r="F1765" s="15">
        <f t="shared" si="27"/>
        <v>-6511.72</v>
      </c>
    </row>
    <row r="1766" spans="1:6" x14ac:dyDescent="0.2">
      <c r="A1766" s="91">
        <v>45593</v>
      </c>
      <c r="B1766" s="45"/>
      <c r="C1766" s="17" t="s">
        <v>16</v>
      </c>
      <c r="D1766" s="18">
        <v>513892.93</v>
      </c>
      <c r="E1766" s="19"/>
      <c r="F1766" s="15">
        <f t="shared" si="27"/>
        <v>-513892.93</v>
      </c>
    </row>
    <row r="1767" spans="1:6" x14ac:dyDescent="0.2">
      <c r="A1767" s="91">
        <v>45594</v>
      </c>
      <c r="B1767" s="51"/>
      <c r="C1767" s="47" t="s">
        <v>16</v>
      </c>
      <c r="D1767" s="48">
        <v>128636.8</v>
      </c>
      <c r="E1767" s="62"/>
      <c r="F1767" s="15">
        <f t="shared" si="27"/>
        <v>-128636.8</v>
      </c>
    </row>
    <row r="1768" spans="1:6" x14ac:dyDescent="0.2">
      <c r="A1768" s="91">
        <v>45595</v>
      </c>
      <c r="B1768" s="50"/>
      <c r="C1768" s="22" t="s">
        <v>16</v>
      </c>
      <c r="D1768" s="31">
        <v>130898.26</v>
      </c>
      <c r="E1768" s="24"/>
      <c r="F1768" s="15">
        <f t="shared" si="27"/>
        <v>-130898.26</v>
      </c>
    </row>
    <row r="1769" spans="1:6" x14ac:dyDescent="0.2">
      <c r="A1769" s="91">
        <v>45596</v>
      </c>
      <c r="B1769" s="45"/>
      <c r="C1769" s="17" t="s">
        <v>16</v>
      </c>
      <c r="D1769" s="25">
        <v>229678.29</v>
      </c>
      <c r="E1769" s="19"/>
      <c r="F1769" s="15">
        <f t="shared" si="27"/>
        <v>-229678.29</v>
      </c>
    </row>
    <row r="1770" spans="1:6" x14ac:dyDescent="0.2">
      <c r="A1770" s="91">
        <v>45597</v>
      </c>
      <c r="B1770" s="45"/>
      <c r="C1770" s="17" t="s">
        <v>16</v>
      </c>
      <c r="D1770" s="18">
        <v>188871.41</v>
      </c>
      <c r="E1770" s="19"/>
      <c r="F1770" s="15">
        <f t="shared" si="27"/>
        <v>-188871.41</v>
      </c>
    </row>
    <row r="1771" spans="1:6" x14ac:dyDescent="0.2">
      <c r="A1771" s="91">
        <v>45600</v>
      </c>
      <c r="B1771" s="45"/>
      <c r="C1771" s="17" t="s">
        <v>16</v>
      </c>
      <c r="D1771" s="18">
        <v>513456.49</v>
      </c>
      <c r="E1771" s="19"/>
      <c r="F1771" s="15">
        <f t="shared" si="27"/>
        <v>-513456.49</v>
      </c>
    </row>
    <row r="1772" spans="1:6" x14ac:dyDescent="0.2">
      <c r="A1772" s="91">
        <v>45601</v>
      </c>
      <c r="B1772" s="45"/>
      <c r="C1772" s="17" t="s">
        <v>16</v>
      </c>
      <c r="D1772" s="18">
        <v>24670.080000000002</v>
      </c>
      <c r="E1772" s="19"/>
      <c r="F1772" s="15">
        <f t="shared" si="27"/>
        <v>-24670.080000000002</v>
      </c>
    </row>
    <row r="1773" spans="1:6" x14ac:dyDescent="0.2">
      <c r="A1773" s="91">
        <v>45603</v>
      </c>
      <c r="B1773" s="45"/>
      <c r="C1773" s="17" t="s">
        <v>16</v>
      </c>
      <c r="D1773" s="18">
        <v>25653.98</v>
      </c>
      <c r="E1773" s="19"/>
      <c r="F1773" s="15">
        <f t="shared" si="27"/>
        <v>-25653.98</v>
      </c>
    </row>
    <row r="1774" spans="1:6" x14ac:dyDescent="0.2">
      <c r="A1774" s="91">
        <v>45604</v>
      </c>
      <c r="B1774" s="45"/>
      <c r="C1774" s="17" t="s">
        <v>16</v>
      </c>
      <c r="D1774" s="18">
        <v>2030.46</v>
      </c>
      <c r="E1774" s="19"/>
      <c r="F1774" s="15">
        <f t="shared" si="27"/>
        <v>-2030.46</v>
      </c>
    </row>
    <row r="1775" spans="1:6" x14ac:dyDescent="0.2">
      <c r="A1775" s="91">
        <v>45607</v>
      </c>
      <c r="B1775" s="45"/>
      <c r="C1775" s="17" t="s">
        <v>16</v>
      </c>
      <c r="D1775" s="18">
        <v>65469.29</v>
      </c>
      <c r="E1775" s="19"/>
      <c r="F1775" s="15">
        <f t="shared" si="27"/>
        <v>-65469.29</v>
      </c>
    </row>
    <row r="1776" spans="1:6" x14ac:dyDescent="0.2">
      <c r="A1776" s="91">
        <v>45608</v>
      </c>
      <c r="B1776" s="45"/>
      <c r="C1776" s="17" t="s">
        <v>16</v>
      </c>
      <c r="D1776" s="18">
        <v>639.74</v>
      </c>
      <c r="E1776" s="19"/>
      <c r="F1776" s="15">
        <f t="shared" si="27"/>
        <v>-639.74</v>
      </c>
    </row>
    <row r="1777" spans="1:6" x14ac:dyDescent="0.2">
      <c r="A1777" s="91">
        <v>45609</v>
      </c>
      <c r="B1777" s="45"/>
      <c r="C1777" s="17" t="s">
        <v>16</v>
      </c>
      <c r="D1777" s="18">
        <v>12811.11</v>
      </c>
      <c r="E1777" s="19"/>
      <c r="F1777" s="15">
        <f t="shared" si="27"/>
        <v>-12811.11</v>
      </c>
    </row>
    <row r="1778" spans="1:6" x14ac:dyDescent="0.2">
      <c r="A1778" s="91">
        <v>45610</v>
      </c>
      <c r="B1778" s="45"/>
      <c r="C1778" s="17" t="s">
        <v>16</v>
      </c>
      <c r="D1778" s="18">
        <v>12695.14</v>
      </c>
      <c r="E1778" s="19"/>
      <c r="F1778" s="15">
        <f t="shared" si="27"/>
        <v>-12695.14</v>
      </c>
    </row>
    <row r="1779" spans="1:6" x14ac:dyDescent="0.2">
      <c r="A1779" s="91">
        <v>45611</v>
      </c>
      <c r="B1779" s="45"/>
      <c r="C1779" s="17" t="s">
        <v>16</v>
      </c>
      <c r="D1779" s="18">
        <v>267023.18</v>
      </c>
      <c r="E1779" s="19"/>
      <c r="F1779" s="15">
        <f t="shared" si="27"/>
        <v>-267023.18</v>
      </c>
    </row>
    <row r="1780" spans="1:6" x14ac:dyDescent="0.2">
      <c r="A1780" s="91">
        <v>45615</v>
      </c>
      <c r="B1780" s="45"/>
      <c r="C1780" s="17" t="s">
        <v>16</v>
      </c>
      <c r="D1780" s="18">
        <v>157264.65</v>
      </c>
      <c r="E1780" s="19"/>
      <c r="F1780" s="15">
        <f t="shared" si="27"/>
        <v>-157264.65</v>
      </c>
    </row>
    <row r="1781" spans="1:6" x14ac:dyDescent="0.2">
      <c r="A1781" s="91">
        <v>45616</v>
      </c>
      <c r="B1781" s="45"/>
      <c r="C1781" s="17" t="s">
        <v>16</v>
      </c>
      <c r="D1781" s="18">
        <v>32570</v>
      </c>
      <c r="E1781" s="19"/>
      <c r="F1781" s="15">
        <f t="shared" si="27"/>
        <v>-32570</v>
      </c>
    </row>
    <row r="1782" spans="1:6" x14ac:dyDescent="0.2">
      <c r="A1782" s="91">
        <v>45617</v>
      </c>
      <c r="B1782" s="45"/>
      <c r="C1782" s="17" t="s">
        <v>16</v>
      </c>
      <c r="D1782" s="18">
        <v>51065.45</v>
      </c>
      <c r="E1782" s="19"/>
      <c r="F1782" s="15">
        <f t="shared" si="27"/>
        <v>-51065.45</v>
      </c>
    </row>
    <row r="1783" spans="1:6" x14ac:dyDescent="0.2">
      <c r="A1783" s="91">
        <v>45618</v>
      </c>
      <c r="B1783" s="45"/>
      <c r="C1783" s="17" t="s">
        <v>16</v>
      </c>
      <c r="D1783" s="18">
        <v>17475.98</v>
      </c>
      <c r="E1783" s="19"/>
      <c r="F1783" s="15">
        <f t="shared" si="27"/>
        <v>-17475.98</v>
      </c>
    </row>
    <row r="1784" spans="1:6" x14ac:dyDescent="0.2">
      <c r="A1784" s="91">
        <v>45621</v>
      </c>
      <c r="B1784" s="45"/>
      <c r="C1784" s="17" t="s">
        <v>16</v>
      </c>
      <c r="D1784" s="18">
        <v>6600</v>
      </c>
      <c r="E1784" s="19"/>
      <c r="F1784" s="15">
        <f t="shared" si="27"/>
        <v>-6600</v>
      </c>
    </row>
    <row r="1785" spans="1:6" x14ac:dyDescent="0.2">
      <c r="A1785" s="91">
        <v>45622</v>
      </c>
      <c r="B1785" s="45"/>
      <c r="C1785" s="17" t="s">
        <v>16</v>
      </c>
      <c r="D1785" s="18">
        <v>482549.45</v>
      </c>
      <c r="E1785" s="19"/>
      <c r="F1785" s="15">
        <f t="shared" si="27"/>
        <v>-482549.45</v>
      </c>
    </row>
    <row r="1786" spans="1:6" x14ac:dyDescent="0.2">
      <c r="A1786" s="91">
        <v>45623</v>
      </c>
      <c r="B1786" s="45"/>
      <c r="C1786" s="17" t="s">
        <v>16</v>
      </c>
      <c r="D1786" s="18">
        <v>35293.949999999997</v>
      </c>
      <c r="E1786" s="19"/>
      <c r="F1786" s="15">
        <f t="shared" si="27"/>
        <v>-35293.949999999997</v>
      </c>
    </row>
    <row r="1787" spans="1:6" x14ac:dyDescent="0.2">
      <c r="A1787" s="91">
        <v>45624</v>
      </c>
      <c r="B1787" s="45"/>
      <c r="C1787" s="17" t="s">
        <v>16</v>
      </c>
      <c r="D1787" s="18">
        <v>689.32</v>
      </c>
      <c r="E1787" s="19"/>
      <c r="F1787" s="15">
        <f t="shared" si="27"/>
        <v>-689.32</v>
      </c>
    </row>
    <row r="1788" spans="1:6" x14ac:dyDescent="0.2">
      <c r="A1788" s="91">
        <v>45625</v>
      </c>
      <c r="B1788" s="45"/>
      <c r="C1788" s="17" t="s">
        <v>16</v>
      </c>
      <c r="D1788" s="25">
        <v>304284.36</v>
      </c>
      <c r="E1788" s="19"/>
      <c r="F1788" s="15">
        <f t="shared" si="27"/>
        <v>-304284.36</v>
      </c>
    </row>
    <row r="1789" spans="1:6" x14ac:dyDescent="0.2">
      <c r="A1789" s="91">
        <v>45628</v>
      </c>
      <c r="B1789" s="45"/>
      <c r="C1789" s="17" t="s">
        <v>16</v>
      </c>
      <c r="D1789" s="18">
        <v>157181</v>
      </c>
      <c r="E1789" s="19"/>
      <c r="F1789" s="15">
        <f t="shared" si="27"/>
        <v>-157181</v>
      </c>
    </row>
    <row r="1790" spans="1:6" x14ac:dyDescent="0.2">
      <c r="A1790" s="91">
        <v>45629</v>
      </c>
      <c r="B1790" s="45"/>
      <c r="C1790" s="17" t="s">
        <v>16</v>
      </c>
      <c r="D1790" s="18">
        <v>667057.99</v>
      </c>
      <c r="E1790" s="19"/>
      <c r="F1790" s="15">
        <f t="shared" si="27"/>
        <v>-667057.99</v>
      </c>
    </row>
    <row r="1791" spans="1:6" x14ac:dyDescent="0.2">
      <c r="A1791" s="91">
        <v>45630</v>
      </c>
      <c r="B1791" s="45"/>
      <c r="C1791" s="17" t="s">
        <v>16</v>
      </c>
      <c r="D1791" s="18">
        <v>3023.64</v>
      </c>
      <c r="E1791" s="19"/>
      <c r="F1791" s="15">
        <f t="shared" si="27"/>
        <v>-3023.64</v>
      </c>
    </row>
    <row r="1792" spans="1:6" x14ac:dyDescent="0.2">
      <c r="A1792" s="91">
        <v>45631</v>
      </c>
      <c r="B1792" s="45"/>
      <c r="C1792" s="17" t="s">
        <v>16</v>
      </c>
      <c r="D1792" s="18">
        <v>59876.37</v>
      </c>
      <c r="E1792" s="19"/>
      <c r="F1792" s="15">
        <f t="shared" si="27"/>
        <v>-59876.37</v>
      </c>
    </row>
    <row r="1793" spans="1:6" x14ac:dyDescent="0.2">
      <c r="A1793" s="91">
        <v>45632</v>
      </c>
      <c r="B1793" s="45"/>
      <c r="C1793" s="17" t="s">
        <v>16</v>
      </c>
      <c r="D1793" s="18">
        <v>10.78</v>
      </c>
      <c r="E1793" s="19"/>
      <c r="F1793" s="15">
        <f t="shared" si="27"/>
        <v>-10.78</v>
      </c>
    </row>
    <row r="1794" spans="1:6" x14ac:dyDescent="0.2">
      <c r="A1794" s="91">
        <v>45635</v>
      </c>
      <c r="B1794" s="45"/>
      <c r="C1794" s="17" t="s">
        <v>16</v>
      </c>
      <c r="D1794" s="18">
        <v>4097.2700000000004</v>
      </c>
      <c r="E1794" s="19"/>
      <c r="F1794" s="15">
        <f t="shared" si="27"/>
        <v>-4097.2700000000004</v>
      </c>
    </row>
    <row r="1795" spans="1:6" x14ac:dyDescent="0.2">
      <c r="A1795" s="91">
        <v>45636</v>
      </c>
      <c r="B1795" s="45"/>
      <c r="C1795" s="17" t="s">
        <v>16</v>
      </c>
      <c r="D1795" s="18">
        <v>2000.82</v>
      </c>
      <c r="E1795" s="19"/>
      <c r="F1795" s="15">
        <f t="shared" ref="F1795:F1858" si="28">+E1795-D1795</f>
        <v>-2000.82</v>
      </c>
    </row>
    <row r="1796" spans="1:6" x14ac:dyDescent="0.2">
      <c r="A1796" s="91">
        <v>45637</v>
      </c>
      <c r="B1796" s="45"/>
      <c r="C1796" s="17" t="s">
        <v>16</v>
      </c>
      <c r="D1796" s="18">
        <v>1125</v>
      </c>
      <c r="E1796" s="19"/>
      <c r="F1796" s="15">
        <f t="shared" si="28"/>
        <v>-1125</v>
      </c>
    </row>
    <row r="1797" spans="1:6" x14ac:dyDescent="0.2">
      <c r="A1797" s="91">
        <v>45639</v>
      </c>
      <c r="B1797" s="45"/>
      <c r="C1797" s="17" t="s">
        <v>16</v>
      </c>
      <c r="D1797" s="18">
        <v>153363</v>
      </c>
      <c r="E1797" s="19"/>
      <c r="F1797" s="15">
        <f t="shared" si="28"/>
        <v>-153363</v>
      </c>
    </row>
    <row r="1798" spans="1:6" x14ac:dyDescent="0.2">
      <c r="A1798" s="91">
        <v>45642</v>
      </c>
      <c r="B1798" s="45"/>
      <c r="C1798" s="17" t="s">
        <v>16</v>
      </c>
      <c r="D1798" s="18">
        <v>135825.93</v>
      </c>
      <c r="E1798" s="19"/>
      <c r="F1798" s="15">
        <f t="shared" si="28"/>
        <v>-135825.93</v>
      </c>
    </row>
    <row r="1799" spans="1:6" x14ac:dyDescent="0.2">
      <c r="A1799" s="91">
        <v>45643</v>
      </c>
      <c r="B1799" s="45"/>
      <c r="C1799" s="17" t="s">
        <v>16</v>
      </c>
      <c r="D1799" s="18">
        <v>16.010000000000002</v>
      </c>
      <c r="E1799" s="19"/>
      <c r="F1799" s="15">
        <f t="shared" si="28"/>
        <v>-16.010000000000002</v>
      </c>
    </row>
    <row r="1800" spans="1:6" x14ac:dyDescent="0.2">
      <c r="A1800" s="91">
        <v>45644</v>
      </c>
      <c r="B1800" s="45"/>
      <c r="C1800" s="17" t="s">
        <v>16</v>
      </c>
      <c r="D1800" s="18">
        <v>600</v>
      </c>
      <c r="E1800" s="19"/>
      <c r="F1800" s="15">
        <f t="shared" si="28"/>
        <v>-600</v>
      </c>
    </row>
    <row r="1801" spans="1:6" x14ac:dyDescent="0.2">
      <c r="A1801" s="91">
        <v>45645</v>
      </c>
      <c r="B1801" s="45"/>
      <c r="C1801" s="17" t="s">
        <v>16</v>
      </c>
      <c r="D1801" s="18">
        <v>338558.12</v>
      </c>
      <c r="E1801" s="19"/>
      <c r="F1801" s="15">
        <f t="shared" si="28"/>
        <v>-338558.12</v>
      </c>
    </row>
    <row r="1802" spans="1:6" x14ac:dyDescent="0.2">
      <c r="A1802" s="91">
        <v>45646</v>
      </c>
      <c r="B1802" s="45"/>
      <c r="C1802" s="17" t="s">
        <v>16</v>
      </c>
      <c r="D1802" s="18">
        <v>3824.05</v>
      </c>
      <c r="E1802" s="19"/>
      <c r="F1802" s="15">
        <f t="shared" si="28"/>
        <v>-3824.05</v>
      </c>
    </row>
    <row r="1803" spans="1:6" x14ac:dyDescent="0.2">
      <c r="A1803" s="91">
        <v>45649</v>
      </c>
      <c r="B1803" s="45"/>
      <c r="C1803" s="17" t="s">
        <v>16</v>
      </c>
      <c r="D1803" s="18">
        <v>477861.41</v>
      </c>
      <c r="E1803" s="19"/>
      <c r="F1803" s="15">
        <f t="shared" si="28"/>
        <v>-477861.41</v>
      </c>
    </row>
    <row r="1804" spans="1:6" x14ac:dyDescent="0.2">
      <c r="A1804" s="91">
        <v>45652</v>
      </c>
      <c r="B1804" s="45"/>
      <c r="C1804" s="17" t="s">
        <v>16</v>
      </c>
      <c r="D1804" s="18">
        <v>38674.400000000001</v>
      </c>
      <c r="E1804" s="19"/>
      <c r="F1804" s="15">
        <f t="shared" si="28"/>
        <v>-38674.400000000001</v>
      </c>
    </row>
    <row r="1805" spans="1:6" x14ac:dyDescent="0.2">
      <c r="A1805" s="91">
        <v>45653</v>
      </c>
      <c r="B1805" s="45"/>
      <c r="C1805" s="17" t="s">
        <v>16</v>
      </c>
      <c r="D1805" s="18">
        <v>24687.919999999998</v>
      </c>
      <c r="E1805" s="19"/>
      <c r="F1805" s="15">
        <f t="shared" si="28"/>
        <v>-24687.919999999998</v>
      </c>
    </row>
    <row r="1806" spans="1:6" x14ac:dyDescent="0.2">
      <c r="A1806" s="91">
        <v>45656</v>
      </c>
      <c r="B1806" s="51"/>
      <c r="C1806" s="47" t="s">
        <v>16</v>
      </c>
      <c r="D1806" s="52">
        <v>26695.7</v>
      </c>
      <c r="E1806" s="49"/>
      <c r="F1806" s="15">
        <f t="shared" si="28"/>
        <v>-26695.7</v>
      </c>
    </row>
    <row r="1807" spans="1:6" x14ac:dyDescent="0.2">
      <c r="A1807" s="91">
        <v>45659</v>
      </c>
      <c r="B1807" s="50"/>
      <c r="C1807" s="22" t="s">
        <v>16</v>
      </c>
      <c r="D1807" s="23">
        <v>169057.64</v>
      </c>
      <c r="E1807" s="24"/>
      <c r="F1807" s="15">
        <f t="shared" si="28"/>
        <v>-169057.64</v>
      </c>
    </row>
    <row r="1808" spans="1:6" x14ac:dyDescent="0.2">
      <c r="A1808" s="91">
        <v>45660</v>
      </c>
      <c r="B1808" s="45"/>
      <c r="C1808" s="17" t="s">
        <v>16</v>
      </c>
      <c r="D1808" s="18">
        <v>640132.41</v>
      </c>
      <c r="E1808" s="19"/>
      <c r="F1808" s="15">
        <f t="shared" si="28"/>
        <v>-640132.41</v>
      </c>
    </row>
    <row r="1809" spans="1:6" x14ac:dyDescent="0.2">
      <c r="A1809" s="91">
        <v>45663</v>
      </c>
      <c r="B1809" s="45"/>
      <c r="C1809" s="17" t="s">
        <v>16</v>
      </c>
      <c r="D1809" s="18">
        <v>66441.13</v>
      </c>
      <c r="E1809" s="19"/>
      <c r="F1809" s="15">
        <f t="shared" si="28"/>
        <v>-66441.13</v>
      </c>
    </row>
    <row r="1810" spans="1:6" x14ac:dyDescent="0.2">
      <c r="A1810" s="91">
        <v>45664</v>
      </c>
      <c r="B1810" s="45"/>
      <c r="C1810" s="17" t="s">
        <v>16</v>
      </c>
      <c r="D1810" s="18">
        <v>16409.64</v>
      </c>
      <c r="E1810" s="19"/>
      <c r="F1810" s="15">
        <f t="shared" si="28"/>
        <v>-16409.64</v>
      </c>
    </row>
    <row r="1811" spans="1:6" x14ac:dyDescent="0.2">
      <c r="A1811" s="91">
        <v>45665</v>
      </c>
      <c r="B1811" s="45"/>
      <c r="C1811" s="17" t="s">
        <v>16</v>
      </c>
      <c r="D1811" s="18">
        <v>801.85</v>
      </c>
      <c r="E1811" s="19"/>
      <c r="F1811" s="15">
        <f t="shared" si="28"/>
        <v>-801.85</v>
      </c>
    </row>
    <row r="1812" spans="1:6" x14ac:dyDescent="0.2">
      <c r="A1812" s="91">
        <v>45666</v>
      </c>
      <c r="B1812" s="45"/>
      <c r="C1812" s="17" t="s">
        <v>16</v>
      </c>
      <c r="D1812" s="18">
        <v>49215.12</v>
      </c>
      <c r="E1812" s="19"/>
      <c r="F1812" s="15">
        <f t="shared" si="28"/>
        <v>-49215.12</v>
      </c>
    </row>
    <row r="1813" spans="1:6" x14ac:dyDescent="0.2">
      <c r="A1813" s="91">
        <v>45667</v>
      </c>
      <c r="B1813" s="45"/>
      <c r="C1813" s="17" t="s">
        <v>16</v>
      </c>
      <c r="D1813" s="18">
        <v>6018.87</v>
      </c>
      <c r="E1813" s="19"/>
      <c r="F1813" s="15">
        <f t="shared" si="28"/>
        <v>-6018.87</v>
      </c>
    </row>
    <row r="1814" spans="1:6" x14ac:dyDescent="0.2">
      <c r="A1814" s="91">
        <v>45670</v>
      </c>
      <c r="B1814" s="45"/>
      <c r="C1814" s="17" t="s">
        <v>16</v>
      </c>
      <c r="D1814" s="18">
        <v>5813.76</v>
      </c>
      <c r="E1814" s="19"/>
      <c r="F1814" s="15">
        <f t="shared" si="28"/>
        <v>-5813.76</v>
      </c>
    </row>
    <row r="1815" spans="1:6" x14ac:dyDescent="0.2">
      <c r="A1815" s="91">
        <v>45671</v>
      </c>
      <c r="B1815" s="45"/>
      <c r="C1815" s="17" t="s">
        <v>16</v>
      </c>
      <c r="D1815" s="18">
        <v>2168.6799999999998</v>
      </c>
      <c r="E1815" s="19"/>
      <c r="F1815" s="15">
        <f t="shared" si="28"/>
        <v>-2168.6799999999998</v>
      </c>
    </row>
    <row r="1816" spans="1:6" x14ac:dyDescent="0.2">
      <c r="A1816" s="91">
        <v>45672</v>
      </c>
      <c r="B1816" s="45"/>
      <c r="C1816" s="17" t="s">
        <v>16</v>
      </c>
      <c r="D1816" s="18">
        <v>21834.9</v>
      </c>
      <c r="E1816" s="19"/>
      <c r="F1816" s="15">
        <f t="shared" si="28"/>
        <v>-21834.9</v>
      </c>
    </row>
    <row r="1817" spans="1:6" x14ac:dyDescent="0.2">
      <c r="A1817" s="91">
        <v>45673</v>
      </c>
      <c r="B1817" s="45"/>
      <c r="C1817" s="17" t="s">
        <v>16</v>
      </c>
      <c r="D1817" s="18">
        <v>261048.2</v>
      </c>
      <c r="E1817" s="19"/>
      <c r="F1817" s="15">
        <f t="shared" si="28"/>
        <v>-261048.2</v>
      </c>
    </row>
    <row r="1818" spans="1:6" x14ac:dyDescent="0.2">
      <c r="A1818" s="91">
        <v>45674</v>
      </c>
      <c r="B1818" s="45"/>
      <c r="C1818" s="17" t="s">
        <v>16</v>
      </c>
      <c r="D1818" s="18">
        <v>2406.91</v>
      </c>
      <c r="E1818" s="19"/>
      <c r="F1818" s="15">
        <f t="shared" si="28"/>
        <v>-2406.91</v>
      </c>
    </row>
    <row r="1819" spans="1:6" x14ac:dyDescent="0.2">
      <c r="A1819" s="91">
        <v>45677</v>
      </c>
      <c r="B1819" s="45"/>
      <c r="C1819" s="17" t="s">
        <v>16</v>
      </c>
      <c r="D1819" s="18">
        <v>22422.05</v>
      </c>
      <c r="E1819" s="19"/>
      <c r="F1819" s="15">
        <f t="shared" si="28"/>
        <v>-22422.05</v>
      </c>
    </row>
    <row r="1820" spans="1:6" x14ac:dyDescent="0.2">
      <c r="A1820" s="91">
        <v>45678</v>
      </c>
      <c r="B1820" s="45"/>
      <c r="C1820" s="17" t="s">
        <v>16</v>
      </c>
      <c r="D1820" s="18">
        <v>63989.98</v>
      </c>
      <c r="E1820" s="19"/>
      <c r="F1820" s="15">
        <f t="shared" si="28"/>
        <v>-63989.98</v>
      </c>
    </row>
    <row r="1821" spans="1:6" x14ac:dyDescent="0.2">
      <c r="A1821" s="91">
        <v>45679</v>
      </c>
      <c r="B1821" s="45"/>
      <c r="C1821" s="17" t="s">
        <v>16</v>
      </c>
      <c r="D1821" s="18">
        <v>40.9</v>
      </c>
      <c r="E1821" s="19"/>
      <c r="F1821" s="15">
        <f t="shared" si="28"/>
        <v>-40.9</v>
      </c>
    </row>
    <row r="1822" spans="1:6" x14ac:dyDescent="0.2">
      <c r="A1822" s="91">
        <v>45680</v>
      </c>
      <c r="B1822" s="45"/>
      <c r="C1822" s="17" t="s">
        <v>16</v>
      </c>
      <c r="D1822" s="18">
        <v>36360.080000000002</v>
      </c>
      <c r="E1822" s="19"/>
      <c r="F1822" s="15">
        <f t="shared" si="28"/>
        <v>-36360.080000000002</v>
      </c>
    </row>
    <row r="1823" spans="1:6" x14ac:dyDescent="0.2">
      <c r="A1823" s="91">
        <v>45681</v>
      </c>
      <c r="B1823" s="45"/>
      <c r="C1823" s="17" t="s">
        <v>16</v>
      </c>
      <c r="D1823" s="18">
        <v>508205.98</v>
      </c>
      <c r="E1823" s="19"/>
      <c r="F1823" s="15">
        <f t="shared" si="28"/>
        <v>-508205.98</v>
      </c>
    </row>
    <row r="1824" spans="1:6" x14ac:dyDescent="0.2">
      <c r="A1824" s="91">
        <v>45684</v>
      </c>
      <c r="B1824" s="45"/>
      <c r="C1824" s="17" t="s">
        <v>16</v>
      </c>
      <c r="D1824" s="18">
        <v>66481.63</v>
      </c>
      <c r="E1824" s="19"/>
      <c r="F1824" s="15">
        <f t="shared" si="28"/>
        <v>-66481.63</v>
      </c>
    </row>
    <row r="1825" spans="1:6" x14ac:dyDescent="0.2">
      <c r="A1825" s="91">
        <v>45685</v>
      </c>
      <c r="B1825" s="45"/>
      <c r="C1825" s="17" t="s">
        <v>16</v>
      </c>
      <c r="D1825" s="18">
        <v>129941.8</v>
      </c>
      <c r="E1825" s="19"/>
      <c r="F1825" s="15">
        <f t="shared" si="28"/>
        <v>-129941.8</v>
      </c>
    </row>
    <row r="1826" spans="1:6" x14ac:dyDescent="0.2">
      <c r="A1826" s="91">
        <v>45686</v>
      </c>
      <c r="B1826" s="45"/>
      <c r="C1826" s="17" t="s">
        <v>16</v>
      </c>
      <c r="D1826" s="18">
        <v>246503.94</v>
      </c>
      <c r="E1826" s="19"/>
      <c r="F1826" s="15">
        <f t="shared" si="28"/>
        <v>-246503.94</v>
      </c>
    </row>
    <row r="1827" spans="1:6" x14ac:dyDescent="0.2">
      <c r="A1827" s="91">
        <v>45687</v>
      </c>
      <c r="B1827" s="45"/>
      <c r="C1827" s="17" t="s">
        <v>16</v>
      </c>
      <c r="D1827" s="18">
        <v>187033.35</v>
      </c>
      <c r="E1827" s="19"/>
      <c r="F1827" s="15">
        <f t="shared" si="28"/>
        <v>-187033.35</v>
      </c>
    </row>
    <row r="1828" spans="1:6" x14ac:dyDescent="0.2">
      <c r="A1828" s="91">
        <v>45688</v>
      </c>
      <c r="B1828" s="45"/>
      <c r="C1828" s="17" t="s">
        <v>16</v>
      </c>
      <c r="D1828" s="25">
        <v>48.86</v>
      </c>
      <c r="E1828" s="19"/>
      <c r="F1828" s="15">
        <f t="shared" si="28"/>
        <v>-48.86</v>
      </c>
    </row>
    <row r="1829" spans="1:6" x14ac:dyDescent="0.2">
      <c r="A1829" s="91">
        <v>45691</v>
      </c>
      <c r="B1829" s="45"/>
      <c r="C1829" s="17" t="s">
        <v>16</v>
      </c>
      <c r="D1829" s="18">
        <v>130440.52</v>
      </c>
      <c r="E1829" s="19"/>
      <c r="F1829" s="15">
        <f t="shared" si="28"/>
        <v>-130440.52</v>
      </c>
    </row>
    <row r="1830" spans="1:6" x14ac:dyDescent="0.2">
      <c r="A1830" s="91">
        <v>45692</v>
      </c>
      <c r="B1830" s="45"/>
      <c r="C1830" s="17" t="s">
        <v>16</v>
      </c>
      <c r="D1830" s="18">
        <v>529096.42000000004</v>
      </c>
      <c r="E1830" s="19"/>
      <c r="F1830" s="15">
        <f t="shared" si="28"/>
        <v>-529096.42000000004</v>
      </c>
    </row>
    <row r="1831" spans="1:6" x14ac:dyDescent="0.2">
      <c r="A1831" s="91">
        <v>45693</v>
      </c>
      <c r="B1831" s="45"/>
      <c r="C1831" s="17" t="s">
        <v>16</v>
      </c>
      <c r="D1831" s="18">
        <v>1770.8</v>
      </c>
      <c r="E1831" s="19"/>
      <c r="F1831" s="15">
        <f t="shared" si="28"/>
        <v>-1770.8</v>
      </c>
    </row>
    <row r="1832" spans="1:6" x14ac:dyDescent="0.2">
      <c r="A1832" s="91">
        <v>45694</v>
      </c>
      <c r="B1832" s="51"/>
      <c r="C1832" s="47" t="s">
        <v>16</v>
      </c>
      <c r="D1832" s="48">
        <v>67599.14</v>
      </c>
      <c r="E1832" s="49"/>
      <c r="F1832" s="15">
        <f t="shared" si="28"/>
        <v>-67599.14</v>
      </c>
    </row>
    <row r="1833" spans="1:6" x14ac:dyDescent="0.2">
      <c r="A1833" s="91">
        <v>45695</v>
      </c>
      <c r="B1833" s="50"/>
      <c r="C1833" s="22" t="s">
        <v>16</v>
      </c>
      <c r="D1833" s="23">
        <v>77296.490000000005</v>
      </c>
      <c r="E1833" s="24"/>
      <c r="F1833" s="15">
        <f t="shared" si="28"/>
        <v>-77296.490000000005</v>
      </c>
    </row>
    <row r="1834" spans="1:6" x14ac:dyDescent="0.2">
      <c r="A1834" s="91">
        <v>45698</v>
      </c>
      <c r="B1834" s="45"/>
      <c r="C1834" s="17" t="s">
        <v>16</v>
      </c>
      <c r="D1834" s="18">
        <v>15942</v>
      </c>
      <c r="E1834" s="19"/>
      <c r="F1834" s="15">
        <f t="shared" si="28"/>
        <v>-15942</v>
      </c>
    </row>
    <row r="1835" spans="1:6" x14ac:dyDescent="0.2">
      <c r="A1835" s="91">
        <v>45699</v>
      </c>
      <c r="B1835" s="45"/>
      <c r="C1835" s="17" t="s">
        <v>16</v>
      </c>
      <c r="D1835" s="18">
        <v>6257.07</v>
      </c>
      <c r="E1835" s="19"/>
      <c r="F1835" s="15">
        <f t="shared" si="28"/>
        <v>-6257.07</v>
      </c>
    </row>
    <row r="1836" spans="1:6" x14ac:dyDescent="0.2">
      <c r="A1836" s="91">
        <v>45700</v>
      </c>
      <c r="B1836" s="45"/>
      <c r="C1836" s="17" t="s">
        <v>16</v>
      </c>
      <c r="D1836" s="18">
        <v>854.99</v>
      </c>
      <c r="E1836" s="19"/>
      <c r="F1836" s="15">
        <f t="shared" si="28"/>
        <v>-854.99</v>
      </c>
    </row>
    <row r="1837" spans="1:6" x14ac:dyDescent="0.2">
      <c r="A1837" s="91">
        <v>45701</v>
      </c>
      <c r="B1837" s="45"/>
      <c r="C1837" s="17" t="s">
        <v>16</v>
      </c>
      <c r="D1837" s="18">
        <v>31.51</v>
      </c>
      <c r="E1837" s="19"/>
      <c r="F1837" s="15">
        <f t="shared" si="28"/>
        <v>-31.51</v>
      </c>
    </row>
    <row r="1838" spans="1:6" x14ac:dyDescent="0.2">
      <c r="A1838" s="91">
        <v>45702</v>
      </c>
      <c r="B1838" s="45"/>
      <c r="C1838" s="17" t="s">
        <v>16</v>
      </c>
      <c r="D1838" s="18">
        <v>4133.13</v>
      </c>
      <c r="E1838" s="19"/>
      <c r="F1838" s="15">
        <f t="shared" si="28"/>
        <v>-4133.13</v>
      </c>
    </row>
    <row r="1839" spans="1:6" x14ac:dyDescent="0.2">
      <c r="A1839" s="91">
        <v>45705</v>
      </c>
      <c r="B1839" s="45"/>
      <c r="C1839" s="17" t="s">
        <v>16</v>
      </c>
      <c r="D1839" s="18">
        <v>313745.98</v>
      </c>
      <c r="E1839" s="19"/>
      <c r="F1839" s="15">
        <f t="shared" si="28"/>
        <v>-313745.98</v>
      </c>
    </row>
    <row r="1840" spans="1:6" x14ac:dyDescent="0.2">
      <c r="A1840" s="91">
        <v>45706</v>
      </c>
      <c r="B1840" s="45"/>
      <c r="C1840" s="17" t="s">
        <v>16</v>
      </c>
      <c r="D1840" s="18">
        <v>44.18</v>
      </c>
      <c r="E1840" s="19"/>
      <c r="F1840" s="15">
        <f t="shared" si="28"/>
        <v>-44.18</v>
      </c>
    </row>
    <row r="1841" spans="1:6" x14ac:dyDescent="0.2">
      <c r="A1841" s="91">
        <v>45707</v>
      </c>
      <c r="B1841" s="45"/>
      <c r="C1841" s="17" t="s">
        <v>16</v>
      </c>
      <c r="D1841" s="18">
        <v>26349.759999999998</v>
      </c>
      <c r="E1841" s="19"/>
      <c r="F1841" s="15">
        <f t="shared" si="28"/>
        <v>-26349.759999999998</v>
      </c>
    </row>
    <row r="1842" spans="1:6" x14ac:dyDescent="0.2">
      <c r="A1842" s="91">
        <v>45708</v>
      </c>
      <c r="B1842" s="45"/>
      <c r="C1842" s="17" t="s">
        <v>16</v>
      </c>
      <c r="D1842" s="18">
        <v>3645.23</v>
      </c>
      <c r="E1842" s="19"/>
      <c r="F1842" s="15">
        <f t="shared" si="28"/>
        <v>-3645.23</v>
      </c>
    </row>
    <row r="1843" spans="1:6" x14ac:dyDescent="0.2">
      <c r="A1843" s="91">
        <v>45709</v>
      </c>
      <c r="B1843" s="45"/>
      <c r="C1843" s="17" t="s">
        <v>16</v>
      </c>
      <c r="D1843" s="18">
        <v>7413.99</v>
      </c>
      <c r="E1843" s="19"/>
      <c r="F1843" s="15">
        <f t="shared" si="28"/>
        <v>-7413.99</v>
      </c>
    </row>
    <row r="1844" spans="1:6" x14ac:dyDescent="0.2">
      <c r="A1844" s="91">
        <v>45712</v>
      </c>
      <c r="B1844" s="45"/>
      <c r="C1844" s="17" t="s">
        <v>16</v>
      </c>
      <c r="D1844" s="18">
        <v>491223.61</v>
      </c>
      <c r="E1844" s="19"/>
      <c r="F1844" s="15">
        <f t="shared" si="28"/>
        <v>-491223.61</v>
      </c>
    </row>
    <row r="1845" spans="1:6" x14ac:dyDescent="0.2">
      <c r="A1845" s="91">
        <v>45713</v>
      </c>
      <c r="B1845" s="45"/>
      <c r="C1845" s="17" t="s">
        <v>16</v>
      </c>
      <c r="D1845" s="18">
        <v>1523.23</v>
      </c>
      <c r="E1845" s="19"/>
      <c r="F1845" s="15">
        <f t="shared" si="28"/>
        <v>-1523.23</v>
      </c>
    </row>
    <row r="1846" spans="1:6" x14ac:dyDescent="0.2">
      <c r="A1846" s="91">
        <v>45714</v>
      </c>
      <c r="B1846" s="45"/>
      <c r="C1846" s="17" t="s">
        <v>16</v>
      </c>
      <c r="D1846" s="18">
        <v>216175.08</v>
      </c>
      <c r="E1846" s="19"/>
      <c r="F1846" s="15">
        <f t="shared" si="28"/>
        <v>-216175.08</v>
      </c>
    </row>
    <row r="1847" spans="1:6" x14ac:dyDescent="0.2">
      <c r="A1847" s="91">
        <v>45715</v>
      </c>
      <c r="B1847" s="45"/>
      <c r="C1847" s="17" t="s">
        <v>16</v>
      </c>
      <c r="D1847" s="18">
        <v>147359.99</v>
      </c>
      <c r="E1847" s="19"/>
      <c r="F1847" s="15">
        <f t="shared" si="28"/>
        <v>-147359.99</v>
      </c>
    </row>
    <row r="1848" spans="1:6" x14ac:dyDescent="0.2">
      <c r="A1848" s="91">
        <v>45716</v>
      </c>
      <c r="B1848" s="45"/>
      <c r="C1848" s="17" t="s">
        <v>16</v>
      </c>
      <c r="D1848" s="25">
        <v>130315.16</v>
      </c>
      <c r="E1848" s="19"/>
      <c r="F1848" s="15">
        <f t="shared" si="28"/>
        <v>-130315.16</v>
      </c>
    </row>
    <row r="1849" spans="1:6" x14ac:dyDescent="0.2">
      <c r="A1849" s="91">
        <v>45721</v>
      </c>
      <c r="B1849" s="45"/>
      <c r="C1849" s="17" t="s">
        <v>16</v>
      </c>
      <c r="D1849" s="18">
        <v>682822.17</v>
      </c>
      <c r="E1849" s="19"/>
      <c r="F1849" s="15">
        <f t="shared" si="28"/>
        <v>-682822.17</v>
      </c>
    </row>
    <row r="1850" spans="1:6" x14ac:dyDescent="0.2">
      <c r="A1850" s="91">
        <v>45722</v>
      </c>
      <c r="B1850" s="45"/>
      <c r="C1850" s="17" t="s">
        <v>16</v>
      </c>
      <c r="D1850" s="18">
        <v>196115.76</v>
      </c>
      <c r="E1850" s="19"/>
      <c r="F1850" s="15">
        <f t="shared" si="28"/>
        <v>-196115.76</v>
      </c>
    </row>
    <row r="1851" spans="1:6" x14ac:dyDescent="0.2">
      <c r="A1851" s="91">
        <v>45723</v>
      </c>
      <c r="B1851" s="45"/>
      <c r="C1851" s="17" t="s">
        <v>16</v>
      </c>
      <c r="D1851" s="18">
        <v>51487.16</v>
      </c>
      <c r="E1851" s="19"/>
      <c r="F1851" s="15">
        <f t="shared" si="28"/>
        <v>-51487.16</v>
      </c>
    </row>
    <row r="1852" spans="1:6" x14ac:dyDescent="0.2">
      <c r="A1852" s="91">
        <v>45726</v>
      </c>
      <c r="B1852" s="45"/>
      <c r="C1852" s="17" t="s">
        <v>16</v>
      </c>
      <c r="D1852" s="18">
        <v>1638.83</v>
      </c>
      <c r="E1852" s="19"/>
      <c r="F1852" s="15">
        <f t="shared" si="28"/>
        <v>-1638.83</v>
      </c>
    </row>
    <row r="1853" spans="1:6" x14ac:dyDescent="0.2">
      <c r="A1853" s="91">
        <v>45727</v>
      </c>
      <c r="B1853" s="45"/>
      <c r="C1853" s="17" t="s">
        <v>16</v>
      </c>
      <c r="D1853" s="18">
        <v>13372.3</v>
      </c>
      <c r="E1853" s="19"/>
      <c r="F1853" s="15">
        <f t="shared" si="28"/>
        <v>-13372.3</v>
      </c>
    </row>
    <row r="1854" spans="1:6" x14ac:dyDescent="0.2">
      <c r="A1854" s="91">
        <v>45728</v>
      </c>
      <c r="B1854" s="45"/>
      <c r="C1854" s="17" t="s">
        <v>16</v>
      </c>
      <c r="D1854" s="18">
        <v>0.28999999999999998</v>
      </c>
      <c r="E1854" s="19"/>
      <c r="F1854" s="15">
        <f t="shared" si="28"/>
        <v>-0.28999999999999998</v>
      </c>
    </row>
    <row r="1855" spans="1:6" x14ac:dyDescent="0.2">
      <c r="A1855" s="91">
        <v>45729</v>
      </c>
      <c r="B1855" s="45"/>
      <c r="C1855" s="17" t="s">
        <v>16</v>
      </c>
      <c r="D1855" s="18">
        <v>3000.21</v>
      </c>
      <c r="E1855" s="19"/>
      <c r="F1855" s="15">
        <f t="shared" si="28"/>
        <v>-3000.21</v>
      </c>
    </row>
    <row r="1856" spans="1:6" x14ac:dyDescent="0.2">
      <c r="A1856" s="91">
        <v>45730</v>
      </c>
      <c r="B1856" s="51"/>
      <c r="C1856" s="47" t="s">
        <v>16</v>
      </c>
      <c r="D1856" s="48">
        <v>14819.78</v>
      </c>
      <c r="E1856" s="49"/>
      <c r="F1856" s="15">
        <f t="shared" si="28"/>
        <v>-14819.78</v>
      </c>
    </row>
    <row r="1857" spans="1:6" x14ac:dyDescent="0.2">
      <c r="A1857" s="91">
        <v>45733</v>
      </c>
      <c r="B1857" s="50"/>
      <c r="C1857" s="22" t="s">
        <v>16</v>
      </c>
      <c r="D1857" s="23">
        <v>13657.1</v>
      </c>
      <c r="E1857" s="24"/>
      <c r="F1857" s="15">
        <f t="shared" si="28"/>
        <v>-13657.1</v>
      </c>
    </row>
    <row r="1858" spans="1:6" x14ac:dyDescent="0.2">
      <c r="A1858" s="91">
        <v>45734</v>
      </c>
      <c r="B1858" s="45"/>
      <c r="C1858" s="17" t="s">
        <v>16</v>
      </c>
      <c r="D1858" s="18">
        <v>124331.94</v>
      </c>
      <c r="E1858" s="19"/>
      <c r="F1858" s="15">
        <f t="shared" si="28"/>
        <v>-124331.94</v>
      </c>
    </row>
    <row r="1859" spans="1:6" x14ac:dyDescent="0.2">
      <c r="A1859" s="91">
        <v>45735</v>
      </c>
      <c r="B1859" s="45"/>
      <c r="C1859" s="17" t="s">
        <v>16</v>
      </c>
      <c r="D1859" s="18">
        <v>61656.67</v>
      </c>
      <c r="E1859" s="19"/>
      <c r="F1859" s="15">
        <f t="shared" ref="F1859:F1922" si="29">+E1859-D1859</f>
        <v>-61656.67</v>
      </c>
    </row>
    <row r="1860" spans="1:6" x14ac:dyDescent="0.2">
      <c r="A1860" s="91">
        <v>45736</v>
      </c>
      <c r="B1860" s="45"/>
      <c r="C1860" s="17" t="s">
        <v>16</v>
      </c>
      <c r="D1860" s="18">
        <v>51.68</v>
      </c>
      <c r="E1860" s="19"/>
      <c r="F1860" s="15">
        <f t="shared" si="29"/>
        <v>-51.68</v>
      </c>
    </row>
    <row r="1861" spans="1:6" x14ac:dyDescent="0.2">
      <c r="A1861" s="91">
        <v>45737</v>
      </c>
      <c r="B1861" s="45"/>
      <c r="C1861" s="17" t="s">
        <v>16</v>
      </c>
      <c r="D1861" s="18">
        <v>6695.63</v>
      </c>
      <c r="E1861" s="19"/>
      <c r="F1861" s="15">
        <f t="shared" si="29"/>
        <v>-6695.63</v>
      </c>
    </row>
    <row r="1862" spans="1:6" x14ac:dyDescent="0.2">
      <c r="A1862" s="91">
        <v>45741</v>
      </c>
      <c r="B1862" s="45"/>
      <c r="C1862" s="17" t="s">
        <v>16</v>
      </c>
      <c r="D1862" s="18">
        <v>1565.24</v>
      </c>
      <c r="E1862" s="19"/>
      <c r="F1862" s="15">
        <f t="shared" si="29"/>
        <v>-1565.24</v>
      </c>
    </row>
    <row r="1863" spans="1:6" x14ac:dyDescent="0.2">
      <c r="A1863" s="91">
        <v>45742</v>
      </c>
      <c r="B1863" s="45"/>
      <c r="C1863" s="17" t="s">
        <v>16</v>
      </c>
      <c r="D1863" s="18">
        <v>680886.02</v>
      </c>
      <c r="E1863" s="19"/>
      <c r="F1863" s="15">
        <f t="shared" si="29"/>
        <v>-680886.02</v>
      </c>
    </row>
    <row r="1864" spans="1:6" x14ac:dyDescent="0.2">
      <c r="A1864" s="91">
        <v>45743</v>
      </c>
      <c r="B1864" s="45"/>
      <c r="C1864" s="17" t="s">
        <v>16</v>
      </c>
      <c r="D1864" s="18">
        <v>103434.99</v>
      </c>
      <c r="E1864" s="19"/>
      <c r="F1864" s="15">
        <f t="shared" si="29"/>
        <v>-103434.99</v>
      </c>
    </row>
    <row r="1865" spans="1:6" x14ac:dyDescent="0.2">
      <c r="A1865" s="91">
        <v>45744</v>
      </c>
      <c r="B1865" s="45"/>
      <c r="C1865" s="17" t="s">
        <v>16</v>
      </c>
      <c r="D1865" s="18">
        <v>196789.25</v>
      </c>
      <c r="E1865" s="19"/>
      <c r="F1865" s="15">
        <f t="shared" si="29"/>
        <v>-196789.25</v>
      </c>
    </row>
    <row r="1866" spans="1:6" x14ac:dyDescent="0.2">
      <c r="A1866" s="91">
        <v>45747</v>
      </c>
      <c r="B1866" s="45"/>
      <c r="C1866" s="17" t="s">
        <v>16</v>
      </c>
      <c r="D1866" s="25">
        <v>302752.28999999998</v>
      </c>
      <c r="E1866" s="19"/>
      <c r="F1866" s="15">
        <f t="shared" si="29"/>
        <v>-302752.28999999998</v>
      </c>
    </row>
    <row r="1867" spans="1:6" x14ac:dyDescent="0.2">
      <c r="A1867" s="91">
        <v>45748</v>
      </c>
      <c r="B1867" s="45"/>
      <c r="C1867" s="17" t="s">
        <v>16</v>
      </c>
      <c r="D1867" s="18">
        <v>269006.3</v>
      </c>
      <c r="E1867" s="19"/>
      <c r="F1867" s="15">
        <f t="shared" si="29"/>
        <v>-269006.3</v>
      </c>
    </row>
    <row r="1868" spans="1:6" x14ac:dyDescent="0.2">
      <c r="A1868" s="91">
        <v>45750</v>
      </c>
      <c r="B1868" s="45"/>
      <c r="C1868" s="17" t="s">
        <v>16</v>
      </c>
      <c r="D1868" s="18">
        <v>661684.28</v>
      </c>
      <c r="E1868" s="19"/>
      <c r="F1868" s="15">
        <f t="shared" si="29"/>
        <v>-661684.28</v>
      </c>
    </row>
    <row r="1869" spans="1:6" x14ac:dyDescent="0.2">
      <c r="A1869" s="91">
        <v>45751</v>
      </c>
      <c r="B1869" s="45"/>
      <c r="C1869" s="17" t="s">
        <v>16</v>
      </c>
      <c r="D1869" s="18">
        <v>40435.57</v>
      </c>
      <c r="E1869" s="19"/>
      <c r="F1869" s="15">
        <f t="shared" si="29"/>
        <v>-40435.57</v>
      </c>
    </row>
    <row r="1870" spans="1:6" x14ac:dyDescent="0.2">
      <c r="A1870" s="91">
        <v>45754</v>
      </c>
      <c r="B1870" s="45"/>
      <c r="C1870" s="17" t="s">
        <v>16</v>
      </c>
      <c r="D1870" s="18">
        <v>63697.17</v>
      </c>
      <c r="E1870" s="19"/>
      <c r="F1870" s="15">
        <f t="shared" si="29"/>
        <v>-63697.17</v>
      </c>
    </row>
    <row r="1871" spans="1:6" x14ac:dyDescent="0.2">
      <c r="A1871" s="91">
        <v>45755</v>
      </c>
      <c r="B1871" s="45"/>
      <c r="C1871" s="17" t="s">
        <v>16</v>
      </c>
      <c r="D1871" s="18">
        <v>334.33</v>
      </c>
      <c r="E1871" s="19"/>
      <c r="F1871" s="15">
        <f t="shared" si="29"/>
        <v>-334.33</v>
      </c>
    </row>
    <row r="1872" spans="1:6" x14ac:dyDescent="0.2">
      <c r="A1872" s="91">
        <v>45756</v>
      </c>
      <c r="B1872" s="45"/>
      <c r="C1872" s="17" t="s">
        <v>16</v>
      </c>
      <c r="D1872" s="18">
        <v>9001.5400000000009</v>
      </c>
      <c r="E1872" s="19"/>
      <c r="F1872" s="15">
        <f t="shared" si="29"/>
        <v>-9001.5400000000009</v>
      </c>
    </row>
    <row r="1873" spans="1:6" x14ac:dyDescent="0.2">
      <c r="A1873" s="91">
        <v>45757</v>
      </c>
      <c r="B1873" s="45"/>
      <c r="C1873" s="17" t="s">
        <v>16</v>
      </c>
      <c r="D1873" s="18">
        <v>10260.280000000001</v>
      </c>
      <c r="E1873" s="19"/>
      <c r="F1873" s="15">
        <f t="shared" si="29"/>
        <v>-10260.280000000001</v>
      </c>
    </row>
    <row r="1874" spans="1:6" x14ac:dyDescent="0.2">
      <c r="A1874" s="91">
        <v>45758</v>
      </c>
      <c r="B1874" s="45"/>
      <c r="C1874" s="17" t="s">
        <v>16</v>
      </c>
      <c r="D1874" s="18">
        <v>38000.29</v>
      </c>
      <c r="E1874" s="19"/>
      <c r="F1874" s="15">
        <f t="shared" si="29"/>
        <v>-38000.29</v>
      </c>
    </row>
    <row r="1875" spans="1:6" x14ac:dyDescent="0.2">
      <c r="A1875" s="91">
        <v>45761</v>
      </c>
      <c r="B1875" s="45"/>
      <c r="C1875" s="17" t="s">
        <v>16</v>
      </c>
      <c r="D1875" s="18">
        <v>3000.22</v>
      </c>
      <c r="E1875" s="19"/>
      <c r="F1875" s="15">
        <f t="shared" si="29"/>
        <v>-3000.22</v>
      </c>
    </row>
    <row r="1876" spans="1:6" x14ac:dyDescent="0.2">
      <c r="A1876" s="91">
        <v>45762</v>
      </c>
      <c r="B1876" s="45"/>
      <c r="C1876" s="17" t="s">
        <v>16</v>
      </c>
      <c r="D1876" s="18">
        <v>0.19</v>
      </c>
      <c r="E1876" s="19"/>
      <c r="F1876" s="15">
        <f t="shared" si="29"/>
        <v>-0.19</v>
      </c>
    </row>
    <row r="1877" spans="1:6" x14ac:dyDescent="0.2">
      <c r="A1877" s="91">
        <v>45763</v>
      </c>
      <c r="B1877" s="45"/>
      <c r="C1877" s="17" t="s">
        <v>16</v>
      </c>
      <c r="D1877" s="18">
        <v>175865.67</v>
      </c>
      <c r="E1877" s="19"/>
      <c r="F1877" s="15">
        <f t="shared" si="29"/>
        <v>-175865.67</v>
      </c>
    </row>
    <row r="1878" spans="1:6" x14ac:dyDescent="0.2">
      <c r="A1878" s="91">
        <v>45768</v>
      </c>
      <c r="B1878" s="45"/>
      <c r="C1878" s="17" t="s">
        <v>16</v>
      </c>
      <c r="D1878" s="18">
        <v>172604.07</v>
      </c>
      <c r="E1878" s="19"/>
      <c r="F1878" s="15">
        <f t="shared" si="29"/>
        <v>-172604.07</v>
      </c>
    </row>
    <row r="1879" spans="1:6" x14ac:dyDescent="0.2">
      <c r="A1879" s="91">
        <v>45769</v>
      </c>
      <c r="B1879" s="51"/>
      <c r="C1879" s="47" t="s">
        <v>16</v>
      </c>
      <c r="D1879" s="48">
        <v>33461.18</v>
      </c>
      <c r="E1879" s="49"/>
      <c r="F1879" s="15">
        <f t="shared" si="29"/>
        <v>-33461.18</v>
      </c>
    </row>
    <row r="1880" spans="1:6" x14ac:dyDescent="0.2">
      <c r="A1880" s="91">
        <v>45770</v>
      </c>
      <c r="B1880" s="50"/>
      <c r="C1880" s="22" t="s">
        <v>16</v>
      </c>
      <c r="D1880" s="23">
        <v>46853.62</v>
      </c>
      <c r="E1880" s="24"/>
      <c r="F1880" s="15">
        <f t="shared" si="29"/>
        <v>-46853.62</v>
      </c>
    </row>
    <row r="1881" spans="1:6" x14ac:dyDescent="0.2">
      <c r="A1881" s="91">
        <v>45771</v>
      </c>
      <c r="B1881" s="45"/>
      <c r="C1881" s="17" t="s">
        <v>16</v>
      </c>
      <c r="D1881" s="18">
        <v>39045.480000000003</v>
      </c>
      <c r="E1881" s="19"/>
      <c r="F1881" s="15">
        <f t="shared" si="29"/>
        <v>-39045.480000000003</v>
      </c>
    </row>
    <row r="1882" spans="1:6" x14ac:dyDescent="0.2">
      <c r="A1882" s="91">
        <v>45772</v>
      </c>
      <c r="B1882" s="45"/>
      <c r="C1882" s="17" t="s">
        <v>16</v>
      </c>
      <c r="D1882" s="18">
        <v>4074.64</v>
      </c>
      <c r="E1882" s="19"/>
      <c r="F1882" s="15">
        <f t="shared" si="29"/>
        <v>-4074.64</v>
      </c>
    </row>
    <row r="1883" spans="1:6" x14ac:dyDescent="0.2">
      <c r="A1883" s="91">
        <v>45775</v>
      </c>
      <c r="B1883" s="45"/>
      <c r="C1883" s="17" t="s">
        <v>16</v>
      </c>
      <c r="D1883" s="18">
        <v>695001.51</v>
      </c>
      <c r="E1883" s="19"/>
      <c r="F1883" s="15">
        <f t="shared" si="29"/>
        <v>-695001.51</v>
      </c>
    </row>
    <row r="1884" spans="1:6" x14ac:dyDescent="0.2">
      <c r="A1884" s="91">
        <v>45776</v>
      </c>
      <c r="B1884" s="45"/>
      <c r="C1884" s="17" t="s">
        <v>16</v>
      </c>
      <c r="D1884" s="25">
        <v>206600.45</v>
      </c>
      <c r="E1884" s="19"/>
      <c r="F1884" s="15">
        <f t="shared" si="29"/>
        <v>-206600.45</v>
      </c>
    </row>
    <row r="1885" spans="1:6" x14ac:dyDescent="0.2">
      <c r="A1885" s="91">
        <v>45777</v>
      </c>
      <c r="B1885" s="45"/>
      <c r="C1885" s="17" t="s">
        <v>16</v>
      </c>
      <c r="D1885" s="25">
        <v>112658.16</v>
      </c>
      <c r="E1885" s="19"/>
      <c r="F1885" s="15">
        <f t="shared" si="29"/>
        <v>-112658.16</v>
      </c>
    </row>
    <row r="1886" spans="1:6" x14ac:dyDescent="0.2">
      <c r="A1886" s="91">
        <v>45782</v>
      </c>
      <c r="B1886" s="45"/>
      <c r="C1886" s="17" t="s">
        <v>16</v>
      </c>
      <c r="D1886" s="18">
        <v>764026.05</v>
      </c>
      <c r="E1886" s="19"/>
      <c r="F1886" s="15">
        <f t="shared" si="29"/>
        <v>-764026.05</v>
      </c>
    </row>
    <row r="1887" spans="1:6" x14ac:dyDescent="0.2">
      <c r="A1887" s="91">
        <v>45783</v>
      </c>
      <c r="B1887" s="45"/>
      <c r="C1887" s="17" t="s">
        <v>16</v>
      </c>
      <c r="D1887" s="18">
        <v>26248.31</v>
      </c>
      <c r="E1887" s="19"/>
      <c r="F1887" s="15">
        <f t="shared" si="29"/>
        <v>-26248.31</v>
      </c>
    </row>
    <row r="1888" spans="1:6" x14ac:dyDescent="0.2">
      <c r="A1888" s="91">
        <v>45784</v>
      </c>
      <c r="B1888" s="45"/>
      <c r="C1888" s="17" t="s">
        <v>16</v>
      </c>
      <c r="D1888" s="18">
        <v>51839.22</v>
      </c>
      <c r="E1888" s="19"/>
      <c r="F1888" s="15">
        <f t="shared" si="29"/>
        <v>-51839.22</v>
      </c>
    </row>
    <row r="1889" spans="1:6" x14ac:dyDescent="0.2">
      <c r="A1889" s="91">
        <v>45785</v>
      </c>
      <c r="B1889" s="45"/>
      <c r="C1889" s="17" t="s">
        <v>16</v>
      </c>
      <c r="D1889" s="18">
        <v>1869.02</v>
      </c>
      <c r="E1889" s="19"/>
      <c r="F1889" s="15">
        <f t="shared" si="29"/>
        <v>-1869.02</v>
      </c>
    </row>
    <row r="1890" spans="1:6" x14ac:dyDescent="0.2">
      <c r="A1890" s="91">
        <v>45786</v>
      </c>
      <c r="B1890" s="45"/>
      <c r="C1890" s="17" t="s">
        <v>16</v>
      </c>
      <c r="D1890" s="18">
        <v>15095.57</v>
      </c>
      <c r="E1890" s="19"/>
      <c r="F1890" s="15">
        <f t="shared" si="29"/>
        <v>-15095.57</v>
      </c>
    </row>
    <row r="1891" spans="1:6" x14ac:dyDescent="0.2">
      <c r="A1891" s="91">
        <v>45789</v>
      </c>
      <c r="B1891" s="45"/>
      <c r="C1891" s="17" t="s">
        <v>16</v>
      </c>
      <c r="D1891" s="18">
        <v>3887.63</v>
      </c>
      <c r="E1891" s="19"/>
      <c r="F1891" s="15">
        <f t="shared" si="29"/>
        <v>-3887.63</v>
      </c>
    </row>
    <row r="1892" spans="1:6" x14ac:dyDescent="0.2">
      <c r="A1892" s="91">
        <v>45790</v>
      </c>
      <c r="B1892" s="45"/>
      <c r="C1892" s="17" t="s">
        <v>16</v>
      </c>
      <c r="D1892" s="18">
        <v>10206.469999999999</v>
      </c>
      <c r="E1892" s="19"/>
      <c r="F1892" s="15">
        <f t="shared" si="29"/>
        <v>-10206.469999999999</v>
      </c>
    </row>
    <row r="1893" spans="1:6" x14ac:dyDescent="0.2">
      <c r="A1893" s="91">
        <v>45791</v>
      </c>
      <c r="B1893" s="45"/>
      <c r="C1893" s="17" t="s">
        <v>16</v>
      </c>
      <c r="D1893" s="18">
        <v>9819.2800000000007</v>
      </c>
      <c r="E1893" s="19"/>
      <c r="F1893" s="15">
        <f t="shared" si="29"/>
        <v>-9819.2800000000007</v>
      </c>
    </row>
    <row r="1894" spans="1:6" x14ac:dyDescent="0.2">
      <c r="A1894" s="91">
        <v>45792</v>
      </c>
      <c r="B1894" s="45"/>
      <c r="C1894" s="17" t="s">
        <v>16</v>
      </c>
      <c r="D1894" s="18">
        <v>9433.2800000000007</v>
      </c>
      <c r="E1894" s="19"/>
      <c r="F1894" s="15">
        <f t="shared" si="29"/>
        <v>-9433.2800000000007</v>
      </c>
    </row>
    <row r="1895" spans="1:6" x14ac:dyDescent="0.2">
      <c r="A1895" s="91">
        <v>45793</v>
      </c>
      <c r="B1895" s="45"/>
      <c r="C1895" s="17" t="s">
        <v>16</v>
      </c>
      <c r="D1895" s="18">
        <v>302701.99</v>
      </c>
      <c r="E1895" s="19"/>
      <c r="F1895" s="15">
        <f t="shared" si="29"/>
        <v>-302701.99</v>
      </c>
    </row>
    <row r="1896" spans="1:6" x14ac:dyDescent="0.2">
      <c r="A1896" s="91">
        <v>45796</v>
      </c>
      <c r="B1896" s="45"/>
      <c r="C1896" s="17" t="s">
        <v>16</v>
      </c>
      <c r="D1896" s="18">
        <v>37183.9</v>
      </c>
      <c r="E1896" s="19"/>
      <c r="F1896" s="15">
        <f t="shared" si="29"/>
        <v>-37183.9</v>
      </c>
    </row>
    <row r="1897" spans="1:6" x14ac:dyDescent="0.2">
      <c r="A1897" s="91">
        <v>45797</v>
      </c>
      <c r="B1897" s="45"/>
      <c r="C1897" s="17" t="s">
        <v>16</v>
      </c>
      <c r="D1897" s="18">
        <v>36043.910000000003</v>
      </c>
      <c r="E1897" s="19"/>
      <c r="F1897" s="15">
        <f t="shared" si="29"/>
        <v>-36043.910000000003</v>
      </c>
    </row>
    <row r="1898" spans="1:6" x14ac:dyDescent="0.2">
      <c r="A1898" s="91">
        <v>45798</v>
      </c>
      <c r="B1898" s="45"/>
      <c r="C1898" s="17" t="s">
        <v>16</v>
      </c>
      <c r="D1898" s="18">
        <v>11243.35</v>
      </c>
      <c r="E1898" s="19"/>
      <c r="F1898" s="15">
        <f t="shared" si="29"/>
        <v>-11243.35</v>
      </c>
    </row>
    <row r="1899" spans="1:6" x14ac:dyDescent="0.2">
      <c r="A1899" s="91">
        <v>45799</v>
      </c>
      <c r="B1899" s="45"/>
      <c r="C1899" s="17" t="s">
        <v>16</v>
      </c>
      <c r="D1899" s="18">
        <v>9.58</v>
      </c>
      <c r="E1899" s="19"/>
      <c r="F1899" s="15">
        <f t="shared" si="29"/>
        <v>-9.58</v>
      </c>
    </row>
    <row r="1900" spans="1:6" x14ac:dyDescent="0.2">
      <c r="A1900" s="91">
        <v>45800</v>
      </c>
      <c r="B1900" s="45"/>
      <c r="C1900" s="17" t="s">
        <v>16</v>
      </c>
      <c r="D1900" s="18">
        <v>620622.02</v>
      </c>
      <c r="E1900" s="19"/>
      <c r="F1900" s="15">
        <f t="shared" si="29"/>
        <v>-620622.02</v>
      </c>
    </row>
    <row r="1901" spans="1:6" x14ac:dyDescent="0.2">
      <c r="A1901" s="91">
        <v>45803</v>
      </c>
      <c r="B1901" s="45"/>
      <c r="C1901" s="17" t="s">
        <v>16</v>
      </c>
      <c r="D1901" s="18">
        <v>18649.63</v>
      </c>
      <c r="E1901" s="19"/>
      <c r="F1901" s="15">
        <f t="shared" si="29"/>
        <v>-18649.63</v>
      </c>
    </row>
    <row r="1902" spans="1:6" x14ac:dyDescent="0.2">
      <c r="A1902" s="91">
        <v>45804</v>
      </c>
      <c r="B1902" s="45"/>
      <c r="C1902" s="17" t="s">
        <v>16</v>
      </c>
      <c r="D1902" s="18">
        <v>29529.73</v>
      </c>
      <c r="E1902" s="19"/>
      <c r="F1902" s="15">
        <f t="shared" si="29"/>
        <v>-29529.73</v>
      </c>
    </row>
    <row r="1903" spans="1:6" x14ac:dyDescent="0.2">
      <c r="A1903" s="91">
        <v>45805</v>
      </c>
      <c r="B1903" s="45"/>
      <c r="C1903" s="17" t="s">
        <v>16</v>
      </c>
      <c r="D1903" s="18">
        <v>65604.320000000007</v>
      </c>
      <c r="E1903" s="19"/>
      <c r="F1903" s="15">
        <f t="shared" si="29"/>
        <v>-65604.320000000007</v>
      </c>
    </row>
    <row r="1904" spans="1:6" x14ac:dyDescent="0.2">
      <c r="A1904" s="91">
        <v>45806</v>
      </c>
      <c r="B1904" s="45"/>
      <c r="C1904" s="17" t="s">
        <v>16</v>
      </c>
      <c r="D1904" s="18">
        <v>188223.51</v>
      </c>
      <c r="E1904" s="19"/>
      <c r="F1904" s="15">
        <f t="shared" si="29"/>
        <v>-188223.51</v>
      </c>
    </row>
    <row r="1905" spans="1:6" x14ac:dyDescent="0.2">
      <c r="A1905" s="91">
        <v>45807</v>
      </c>
      <c r="B1905" s="45"/>
      <c r="C1905" s="17" t="s">
        <v>16</v>
      </c>
      <c r="D1905" s="25">
        <v>193035.3</v>
      </c>
      <c r="E1905" s="19"/>
      <c r="F1905" s="15">
        <f t="shared" si="29"/>
        <v>-193035.3</v>
      </c>
    </row>
    <row r="1906" spans="1:6" x14ac:dyDescent="0.2">
      <c r="A1906" s="91">
        <v>45810</v>
      </c>
      <c r="B1906" s="51"/>
      <c r="C1906" s="47" t="s">
        <v>16</v>
      </c>
      <c r="D1906" s="48">
        <v>266662.49</v>
      </c>
      <c r="E1906" s="49"/>
      <c r="F1906" s="15">
        <f t="shared" si="29"/>
        <v>-266662.49</v>
      </c>
    </row>
    <row r="1907" spans="1:6" x14ac:dyDescent="0.2">
      <c r="A1907" s="91">
        <v>45811</v>
      </c>
      <c r="B1907" s="50"/>
      <c r="C1907" s="22" t="s">
        <v>16</v>
      </c>
      <c r="D1907" s="23">
        <v>619983.84</v>
      </c>
      <c r="E1907" s="24"/>
      <c r="F1907" s="15">
        <f t="shared" si="29"/>
        <v>-619983.84</v>
      </c>
    </row>
    <row r="1908" spans="1:6" x14ac:dyDescent="0.2">
      <c r="A1908" s="91">
        <v>45812</v>
      </c>
      <c r="B1908" s="45"/>
      <c r="C1908" s="17" t="s">
        <v>16</v>
      </c>
      <c r="D1908" s="18">
        <v>10432.86</v>
      </c>
      <c r="E1908" s="19"/>
      <c r="F1908" s="15">
        <f t="shared" si="29"/>
        <v>-10432.86</v>
      </c>
    </row>
    <row r="1909" spans="1:6" x14ac:dyDescent="0.2">
      <c r="A1909" s="91">
        <v>45813</v>
      </c>
      <c r="B1909" s="45"/>
      <c r="C1909" s="17" t="s">
        <v>16</v>
      </c>
      <c r="D1909" s="18">
        <v>33101.86</v>
      </c>
      <c r="E1909" s="19"/>
      <c r="F1909" s="15">
        <f t="shared" si="29"/>
        <v>-33101.86</v>
      </c>
    </row>
    <row r="1910" spans="1:6" x14ac:dyDescent="0.2">
      <c r="A1910" s="91">
        <v>45814</v>
      </c>
      <c r="B1910" s="45"/>
      <c r="C1910" s="17" t="s">
        <v>16</v>
      </c>
      <c r="D1910" s="18">
        <v>3468.64</v>
      </c>
      <c r="E1910" s="19"/>
      <c r="F1910" s="15">
        <f t="shared" si="29"/>
        <v>-3468.64</v>
      </c>
    </row>
    <row r="1911" spans="1:6" x14ac:dyDescent="0.2">
      <c r="A1911" s="91">
        <v>45817</v>
      </c>
      <c r="B1911" s="45"/>
      <c r="C1911" s="17" t="s">
        <v>16</v>
      </c>
      <c r="D1911" s="18">
        <v>29454.98</v>
      </c>
      <c r="E1911" s="19"/>
      <c r="F1911" s="15">
        <f t="shared" si="29"/>
        <v>-29454.98</v>
      </c>
    </row>
    <row r="1912" spans="1:6" x14ac:dyDescent="0.2">
      <c r="A1912" s="91">
        <v>45818</v>
      </c>
      <c r="B1912" s="45"/>
      <c r="C1912" s="17" t="s">
        <v>16</v>
      </c>
      <c r="D1912" s="18">
        <v>5386.55</v>
      </c>
      <c r="E1912" s="19"/>
      <c r="F1912" s="15">
        <f t="shared" si="29"/>
        <v>-5386.55</v>
      </c>
    </row>
    <row r="1913" spans="1:6" x14ac:dyDescent="0.2">
      <c r="A1913" s="91">
        <v>45819</v>
      </c>
      <c r="B1913" s="45"/>
      <c r="C1913" s="17" t="s">
        <v>16</v>
      </c>
      <c r="D1913" s="18">
        <v>35804.92</v>
      </c>
      <c r="E1913" s="19"/>
      <c r="F1913" s="15">
        <f t="shared" si="29"/>
        <v>-35804.92</v>
      </c>
    </row>
    <row r="1914" spans="1:6" x14ac:dyDescent="0.2">
      <c r="A1914" s="91">
        <v>45820</v>
      </c>
      <c r="B1914" s="45"/>
      <c r="C1914" s="17" t="s">
        <v>16</v>
      </c>
      <c r="D1914" s="18">
        <v>1854.17</v>
      </c>
      <c r="E1914" s="19"/>
      <c r="F1914" s="15">
        <f t="shared" si="29"/>
        <v>-1854.17</v>
      </c>
    </row>
    <row r="1915" spans="1:6" x14ac:dyDescent="0.2">
      <c r="A1915" s="91">
        <v>45821</v>
      </c>
      <c r="B1915" s="45"/>
      <c r="C1915" s="17" t="s">
        <v>16</v>
      </c>
      <c r="D1915" s="18">
        <v>174929.44</v>
      </c>
      <c r="E1915" s="19"/>
      <c r="F1915" s="15">
        <f t="shared" si="29"/>
        <v>-174929.44</v>
      </c>
    </row>
    <row r="1916" spans="1:6" x14ac:dyDescent="0.2">
      <c r="A1916" s="91">
        <v>45825</v>
      </c>
      <c r="B1916" s="45"/>
      <c r="C1916" s="17" t="s">
        <v>16</v>
      </c>
      <c r="D1916" s="18">
        <v>210992.1</v>
      </c>
      <c r="E1916" s="19"/>
      <c r="F1916" s="15">
        <f t="shared" si="29"/>
        <v>-210992.1</v>
      </c>
    </row>
    <row r="1917" spans="1:6" x14ac:dyDescent="0.2">
      <c r="A1917" s="91">
        <v>45826</v>
      </c>
      <c r="B1917" s="45"/>
      <c r="C1917" s="17" t="s">
        <v>16</v>
      </c>
      <c r="D1917" s="18">
        <v>36536</v>
      </c>
      <c r="E1917" s="19"/>
      <c r="F1917" s="15">
        <f t="shared" si="29"/>
        <v>-36536</v>
      </c>
    </row>
    <row r="1918" spans="1:6" x14ac:dyDescent="0.2">
      <c r="A1918" s="91">
        <v>45827</v>
      </c>
      <c r="B1918" s="45"/>
      <c r="C1918" s="17" t="s">
        <v>16</v>
      </c>
      <c r="D1918" s="18">
        <v>16614.22</v>
      </c>
      <c r="E1918" s="19"/>
      <c r="F1918" s="15">
        <f t="shared" si="29"/>
        <v>-16614.22</v>
      </c>
    </row>
    <row r="1919" spans="1:6" x14ac:dyDescent="0.2">
      <c r="A1919" s="91">
        <v>45831</v>
      </c>
      <c r="B1919" s="45"/>
      <c r="C1919" s="17" t="s">
        <v>16</v>
      </c>
      <c r="D1919" s="18">
        <v>9.58</v>
      </c>
      <c r="E1919" s="19"/>
      <c r="F1919" s="15">
        <f t="shared" si="29"/>
        <v>-9.58</v>
      </c>
    </row>
    <row r="1920" spans="1:6" x14ac:dyDescent="0.2">
      <c r="A1920" s="91">
        <v>45832</v>
      </c>
      <c r="B1920" s="45"/>
      <c r="C1920" s="17" t="s">
        <v>16</v>
      </c>
      <c r="D1920" s="18">
        <v>393859.37</v>
      </c>
      <c r="E1920" s="19"/>
      <c r="F1920" s="15">
        <f t="shared" si="29"/>
        <v>-393859.37</v>
      </c>
    </row>
    <row r="1921" spans="1:6" x14ac:dyDescent="0.2">
      <c r="A1921" s="91">
        <v>45833</v>
      </c>
      <c r="B1921" s="45"/>
      <c r="C1921" s="17" t="s">
        <v>16</v>
      </c>
      <c r="D1921" s="18">
        <v>50268.26</v>
      </c>
      <c r="E1921" s="19"/>
      <c r="F1921" s="15">
        <f t="shared" si="29"/>
        <v>-50268.26</v>
      </c>
    </row>
    <row r="1922" spans="1:6" x14ac:dyDescent="0.2">
      <c r="A1922" s="91">
        <v>45834</v>
      </c>
      <c r="B1922" s="45"/>
      <c r="C1922" s="17" t="s">
        <v>16</v>
      </c>
      <c r="D1922" s="18">
        <v>661410.14</v>
      </c>
      <c r="E1922" s="19"/>
      <c r="F1922" s="15">
        <f t="shared" si="29"/>
        <v>-661410.14</v>
      </c>
    </row>
    <row r="1923" spans="1:6" x14ac:dyDescent="0.2">
      <c r="A1923" s="91">
        <v>45835</v>
      </c>
      <c r="B1923" s="45"/>
      <c r="C1923" s="17" t="s">
        <v>16</v>
      </c>
      <c r="D1923" s="18">
        <v>20848.93</v>
      </c>
      <c r="E1923" s="19"/>
      <c r="F1923" s="15">
        <f t="shared" ref="F1923:F1986" si="30">+E1923-D1923</f>
        <v>-20848.93</v>
      </c>
    </row>
    <row r="1924" spans="1:6" x14ac:dyDescent="0.2">
      <c r="A1924" s="91">
        <v>45838</v>
      </c>
      <c r="B1924" s="45"/>
      <c r="C1924" s="17" t="s">
        <v>16</v>
      </c>
      <c r="D1924" s="18">
        <v>44210.61</v>
      </c>
      <c r="E1924" s="19"/>
      <c r="F1924" s="15">
        <f t="shared" si="30"/>
        <v>-44210.61</v>
      </c>
    </row>
    <row r="1925" spans="1:6" x14ac:dyDescent="0.2">
      <c r="A1925" s="91">
        <v>45839</v>
      </c>
      <c r="B1925" s="45"/>
      <c r="C1925" s="17" t="s">
        <v>16</v>
      </c>
      <c r="D1925" s="18">
        <v>219351.74</v>
      </c>
      <c r="E1925" s="19"/>
      <c r="F1925" s="15">
        <f t="shared" si="30"/>
        <v>-219351.74</v>
      </c>
    </row>
    <row r="1926" spans="1:6" x14ac:dyDescent="0.2">
      <c r="A1926" s="91">
        <v>45840</v>
      </c>
      <c r="B1926" s="45"/>
      <c r="C1926" s="17" t="s">
        <v>16</v>
      </c>
      <c r="D1926" s="18">
        <v>5474.04</v>
      </c>
      <c r="E1926" s="19"/>
      <c r="F1926" s="15">
        <f t="shared" si="30"/>
        <v>-5474.04</v>
      </c>
    </row>
    <row r="1927" spans="1:6" x14ac:dyDescent="0.2">
      <c r="A1927" s="91">
        <v>45841</v>
      </c>
      <c r="B1927" s="45"/>
      <c r="C1927" s="17" t="s">
        <v>16</v>
      </c>
      <c r="D1927" s="18">
        <v>575379.16</v>
      </c>
      <c r="E1927" s="19"/>
      <c r="F1927" s="15">
        <f t="shared" si="30"/>
        <v>-575379.16</v>
      </c>
    </row>
    <row r="1928" spans="1:6" x14ac:dyDescent="0.2">
      <c r="A1928" s="91">
        <v>45842</v>
      </c>
      <c r="B1928" s="45"/>
      <c r="C1928" s="17" t="s">
        <v>16</v>
      </c>
      <c r="D1928" s="18">
        <v>16738.05</v>
      </c>
      <c r="E1928" s="19"/>
      <c r="F1928" s="15">
        <f t="shared" si="30"/>
        <v>-16738.05</v>
      </c>
    </row>
    <row r="1929" spans="1:6" x14ac:dyDescent="0.2">
      <c r="A1929" s="91">
        <v>45845</v>
      </c>
      <c r="B1929" s="45"/>
      <c r="C1929" s="17" t="s">
        <v>16</v>
      </c>
      <c r="D1929" s="18">
        <v>29120.65</v>
      </c>
      <c r="E1929" s="19"/>
      <c r="F1929" s="15">
        <f t="shared" si="30"/>
        <v>-29120.65</v>
      </c>
    </row>
    <row r="1930" spans="1:6" x14ac:dyDescent="0.2">
      <c r="A1930" s="91">
        <v>45846</v>
      </c>
      <c r="B1930" s="45"/>
      <c r="C1930" s="17" t="s">
        <v>16</v>
      </c>
      <c r="D1930" s="18">
        <v>11086.2</v>
      </c>
      <c r="E1930" s="19"/>
      <c r="F1930" s="15">
        <f t="shared" si="30"/>
        <v>-11086.2</v>
      </c>
    </row>
    <row r="1931" spans="1:6" x14ac:dyDescent="0.2">
      <c r="A1931" s="91">
        <v>45848</v>
      </c>
      <c r="B1931" s="45"/>
      <c r="C1931" s="17" t="s">
        <v>16</v>
      </c>
      <c r="D1931" s="18">
        <v>21.21</v>
      </c>
      <c r="E1931" s="19"/>
      <c r="F1931" s="15">
        <f t="shared" si="30"/>
        <v>-21.21</v>
      </c>
    </row>
    <row r="1932" spans="1:6" x14ac:dyDescent="0.2">
      <c r="A1932" s="91">
        <v>45849</v>
      </c>
      <c r="B1932" s="51"/>
      <c r="C1932" s="47" t="s">
        <v>16</v>
      </c>
      <c r="D1932" s="48">
        <v>2293.7800000000002</v>
      </c>
      <c r="E1932" s="49"/>
      <c r="F1932" s="15">
        <f t="shared" si="30"/>
        <v>-2293.7800000000002</v>
      </c>
    </row>
    <row r="1933" spans="1:6" x14ac:dyDescent="0.2">
      <c r="A1933" s="91">
        <v>45852</v>
      </c>
      <c r="B1933" s="50"/>
      <c r="C1933" s="22" t="s">
        <v>16</v>
      </c>
      <c r="D1933" s="23">
        <v>2400.09</v>
      </c>
      <c r="E1933" s="24"/>
      <c r="F1933" s="15">
        <f t="shared" si="30"/>
        <v>-2400.09</v>
      </c>
    </row>
    <row r="1934" spans="1:6" x14ac:dyDescent="0.2">
      <c r="A1934" s="91">
        <v>45853</v>
      </c>
      <c r="B1934" s="45"/>
      <c r="C1934" s="17" t="s">
        <v>16</v>
      </c>
      <c r="D1934" s="18">
        <v>5.45</v>
      </c>
      <c r="E1934" s="19"/>
      <c r="F1934" s="15">
        <f t="shared" si="30"/>
        <v>-5.45</v>
      </c>
    </row>
    <row r="1935" spans="1:6" x14ac:dyDescent="0.2">
      <c r="A1935" s="91">
        <v>45854</v>
      </c>
      <c r="B1935" s="45"/>
      <c r="C1935" s="17" t="s">
        <v>16</v>
      </c>
      <c r="D1935" s="18">
        <v>6233.86</v>
      </c>
      <c r="E1935" s="19"/>
      <c r="F1935" s="15">
        <f t="shared" si="30"/>
        <v>-6233.86</v>
      </c>
    </row>
    <row r="1936" spans="1:6" x14ac:dyDescent="0.2">
      <c r="A1936" s="91">
        <v>45855</v>
      </c>
      <c r="B1936" s="45"/>
      <c r="C1936" s="17" t="s">
        <v>16</v>
      </c>
      <c r="D1936" s="18">
        <v>190291.49</v>
      </c>
      <c r="E1936" s="19"/>
      <c r="F1936" s="15">
        <f t="shared" si="30"/>
        <v>-190291.49</v>
      </c>
    </row>
    <row r="1937" spans="1:6" x14ac:dyDescent="0.2">
      <c r="A1937" s="91">
        <v>45856</v>
      </c>
      <c r="B1937" s="45"/>
      <c r="C1937" s="17" t="s">
        <v>16</v>
      </c>
      <c r="D1937" s="18">
        <v>42848.39</v>
      </c>
      <c r="E1937" s="19"/>
      <c r="F1937" s="15">
        <f t="shared" si="30"/>
        <v>-42848.39</v>
      </c>
    </row>
    <row r="1938" spans="1:6" x14ac:dyDescent="0.2">
      <c r="A1938" s="91">
        <v>45859</v>
      </c>
      <c r="B1938" s="45"/>
      <c r="C1938" s="17" t="s">
        <v>16</v>
      </c>
      <c r="D1938" s="18">
        <v>3666.81</v>
      </c>
      <c r="E1938" s="19"/>
      <c r="F1938" s="15">
        <f t="shared" si="30"/>
        <v>-3666.81</v>
      </c>
    </row>
    <row r="1939" spans="1:6" x14ac:dyDescent="0.2">
      <c r="A1939" s="91">
        <v>45860</v>
      </c>
      <c r="B1939" s="45"/>
      <c r="C1939" s="17" t="s">
        <v>16</v>
      </c>
      <c r="D1939" s="18">
        <v>10000.61</v>
      </c>
      <c r="E1939" s="19"/>
      <c r="F1939" s="15">
        <f t="shared" si="30"/>
        <v>-10000.61</v>
      </c>
    </row>
    <row r="1940" spans="1:6" x14ac:dyDescent="0.2">
      <c r="A1940" s="91">
        <v>45861</v>
      </c>
      <c r="B1940" s="45"/>
      <c r="C1940" s="17" t="s">
        <v>16</v>
      </c>
      <c r="D1940" s="18">
        <v>1303.24</v>
      </c>
      <c r="E1940" s="19"/>
      <c r="F1940" s="15">
        <f t="shared" si="30"/>
        <v>-1303.24</v>
      </c>
    </row>
    <row r="1941" spans="1:6" x14ac:dyDescent="0.2">
      <c r="A1941" s="91">
        <v>45862</v>
      </c>
      <c r="B1941" s="45"/>
      <c r="C1941" s="17" t="s">
        <v>16</v>
      </c>
      <c r="D1941" s="18">
        <v>5817.75</v>
      </c>
      <c r="E1941" s="19"/>
      <c r="F1941" s="15">
        <f t="shared" si="30"/>
        <v>-5817.75</v>
      </c>
    </row>
    <row r="1942" spans="1:6" x14ac:dyDescent="0.2">
      <c r="A1942" s="91">
        <v>45863</v>
      </c>
      <c r="B1942" s="45"/>
      <c r="C1942" s="17" t="s">
        <v>16</v>
      </c>
      <c r="D1942" s="18">
        <v>685914.06</v>
      </c>
      <c r="E1942" s="19"/>
      <c r="F1942" s="15">
        <f t="shared" si="30"/>
        <v>-685914.06</v>
      </c>
    </row>
    <row r="1943" spans="1:6" x14ac:dyDescent="0.2">
      <c r="A1943" s="91">
        <v>45866</v>
      </c>
      <c r="B1943" s="45"/>
      <c r="C1943" s="17" t="s">
        <v>16</v>
      </c>
      <c r="D1943" s="18">
        <v>379765.56</v>
      </c>
      <c r="E1943" s="19"/>
      <c r="F1943" s="15">
        <f t="shared" si="30"/>
        <v>-379765.56</v>
      </c>
    </row>
    <row r="1944" spans="1:6" x14ac:dyDescent="0.2">
      <c r="A1944" s="91">
        <v>45867</v>
      </c>
      <c r="B1944" s="45"/>
      <c r="C1944" s="17" t="s">
        <v>16</v>
      </c>
      <c r="D1944" s="18">
        <v>146187.28</v>
      </c>
      <c r="E1944" s="19"/>
      <c r="F1944" s="15">
        <f t="shared" si="30"/>
        <v>-146187.28</v>
      </c>
    </row>
    <row r="1945" spans="1:6" x14ac:dyDescent="0.2">
      <c r="A1945" s="91">
        <v>45868</v>
      </c>
      <c r="B1945" s="45"/>
      <c r="C1945" s="17" t="s">
        <v>16</v>
      </c>
      <c r="D1945" s="18">
        <v>132635.38</v>
      </c>
      <c r="E1945" s="19"/>
      <c r="F1945" s="15">
        <f t="shared" si="30"/>
        <v>-132635.38</v>
      </c>
    </row>
    <row r="1946" spans="1:6" x14ac:dyDescent="0.2">
      <c r="A1946" s="91">
        <v>45869</v>
      </c>
      <c r="B1946" s="45"/>
      <c r="C1946" s="17" t="s">
        <v>16</v>
      </c>
      <c r="D1946" s="25">
        <v>137361.69</v>
      </c>
      <c r="E1946" s="19"/>
      <c r="F1946" s="15">
        <f t="shared" si="30"/>
        <v>-137361.69</v>
      </c>
    </row>
    <row r="1947" spans="1:6" x14ac:dyDescent="0.2">
      <c r="A1947" s="91">
        <v>45870</v>
      </c>
      <c r="B1947" s="45"/>
      <c r="C1947" s="17" t="s">
        <v>16</v>
      </c>
      <c r="D1947" s="18">
        <v>45662.3</v>
      </c>
      <c r="E1947" s="19"/>
      <c r="F1947" s="15">
        <f t="shared" si="30"/>
        <v>-45662.3</v>
      </c>
    </row>
    <row r="1948" spans="1:6" x14ac:dyDescent="0.2">
      <c r="A1948" s="91">
        <v>45873</v>
      </c>
      <c r="B1948" s="45"/>
      <c r="C1948" s="17" t="s">
        <v>16</v>
      </c>
      <c r="D1948" s="18">
        <v>705956.92</v>
      </c>
      <c r="E1948" s="19"/>
      <c r="F1948" s="15">
        <f t="shared" si="30"/>
        <v>-705956.92</v>
      </c>
    </row>
    <row r="1949" spans="1:6" x14ac:dyDescent="0.2">
      <c r="A1949" s="91">
        <v>45874</v>
      </c>
      <c r="B1949" s="45"/>
      <c r="C1949" s="17" t="s">
        <v>16</v>
      </c>
      <c r="D1949" s="18">
        <v>13829.92</v>
      </c>
      <c r="E1949" s="19"/>
      <c r="F1949" s="15">
        <f t="shared" si="30"/>
        <v>-13829.92</v>
      </c>
    </row>
    <row r="1950" spans="1:6" x14ac:dyDescent="0.2">
      <c r="A1950" s="91">
        <v>45875</v>
      </c>
      <c r="B1950" s="45"/>
      <c r="C1950" s="17" t="s">
        <v>16</v>
      </c>
      <c r="D1950" s="18">
        <v>24894.71</v>
      </c>
      <c r="E1950" s="19"/>
      <c r="F1950" s="15">
        <f t="shared" si="30"/>
        <v>-24894.71</v>
      </c>
    </row>
    <row r="1951" spans="1:6" x14ac:dyDescent="0.2">
      <c r="A1951" s="91">
        <v>45876</v>
      </c>
      <c r="B1951" s="45"/>
      <c r="C1951" s="17" t="s">
        <v>16</v>
      </c>
      <c r="D1951" s="18">
        <v>973.37</v>
      </c>
      <c r="E1951" s="19"/>
      <c r="F1951" s="15">
        <f t="shared" si="30"/>
        <v>-973.37</v>
      </c>
    </row>
    <row r="1952" spans="1:6" x14ac:dyDescent="0.2">
      <c r="A1952" s="91">
        <v>45877</v>
      </c>
      <c r="B1952" s="45"/>
      <c r="C1952" s="17" t="s">
        <v>16</v>
      </c>
      <c r="D1952" s="18">
        <v>7293</v>
      </c>
      <c r="E1952" s="19"/>
      <c r="F1952" s="15">
        <f t="shared" si="30"/>
        <v>-7293</v>
      </c>
    </row>
    <row r="1953" spans="1:6" x14ac:dyDescent="0.2">
      <c r="A1953" s="91">
        <v>45880</v>
      </c>
      <c r="B1953" s="45"/>
      <c r="C1953" s="17" t="s">
        <v>16</v>
      </c>
      <c r="D1953" s="18">
        <v>26891.56</v>
      </c>
      <c r="E1953" s="19"/>
      <c r="F1953" s="15">
        <f t="shared" si="30"/>
        <v>-26891.56</v>
      </c>
    </row>
    <row r="1954" spans="1:6" x14ac:dyDescent="0.2">
      <c r="A1954" s="91">
        <v>45881</v>
      </c>
      <c r="B1954" s="45"/>
      <c r="C1954" s="17" t="s">
        <v>16</v>
      </c>
      <c r="D1954" s="18">
        <v>8621.85</v>
      </c>
      <c r="E1954" s="19"/>
      <c r="F1954" s="15">
        <f t="shared" si="30"/>
        <v>-8621.85</v>
      </c>
    </row>
    <row r="1955" spans="1:6" x14ac:dyDescent="0.2">
      <c r="A1955" s="91">
        <v>45882</v>
      </c>
      <c r="B1955" s="45"/>
      <c r="C1955" s="17" t="s">
        <v>16</v>
      </c>
      <c r="D1955" s="18">
        <v>15.63</v>
      </c>
      <c r="E1955" s="19"/>
      <c r="F1955" s="15">
        <f t="shared" si="30"/>
        <v>-15.63</v>
      </c>
    </row>
    <row r="1956" spans="1:6" x14ac:dyDescent="0.2">
      <c r="A1956" s="91">
        <v>45883</v>
      </c>
      <c r="B1956" s="45"/>
      <c r="C1956" s="17" t="s">
        <v>16</v>
      </c>
      <c r="D1956" s="18">
        <v>20596.310000000001</v>
      </c>
      <c r="E1956" s="19"/>
      <c r="F1956" s="15">
        <f t="shared" si="30"/>
        <v>-20596.310000000001</v>
      </c>
    </row>
    <row r="1957" spans="1:6" x14ac:dyDescent="0.2">
      <c r="A1957" s="91">
        <v>45887</v>
      </c>
      <c r="B1957" s="51"/>
      <c r="C1957" s="47" t="s">
        <v>16</v>
      </c>
      <c r="D1957" s="48">
        <v>23.86</v>
      </c>
      <c r="E1957" s="49"/>
      <c r="F1957" s="15">
        <f t="shared" si="30"/>
        <v>-23.86</v>
      </c>
    </row>
    <row r="1958" spans="1:6" x14ac:dyDescent="0.2">
      <c r="A1958" s="91">
        <v>45888</v>
      </c>
      <c r="B1958" s="50"/>
      <c r="C1958" s="22" t="s">
        <v>16</v>
      </c>
      <c r="D1958" s="23">
        <v>122.54</v>
      </c>
      <c r="E1958" s="24"/>
      <c r="F1958" s="15">
        <f t="shared" si="30"/>
        <v>-122.54</v>
      </c>
    </row>
    <row r="1959" spans="1:6" x14ac:dyDescent="0.2">
      <c r="A1959" s="91">
        <v>45889</v>
      </c>
      <c r="B1959" s="45"/>
      <c r="C1959" s="17" t="s">
        <v>16</v>
      </c>
      <c r="D1959" s="18">
        <v>259901.51</v>
      </c>
      <c r="E1959" s="19"/>
      <c r="F1959" s="15">
        <f t="shared" si="30"/>
        <v>-259901.51</v>
      </c>
    </row>
    <row r="1960" spans="1:6" x14ac:dyDescent="0.2">
      <c r="A1960" s="91">
        <v>45890</v>
      </c>
      <c r="B1960" s="45"/>
      <c r="C1960" s="17" t="s">
        <v>16</v>
      </c>
      <c r="D1960" s="18">
        <v>28343.26</v>
      </c>
      <c r="E1960" s="19"/>
      <c r="F1960" s="15">
        <f t="shared" si="30"/>
        <v>-28343.26</v>
      </c>
    </row>
    <row r="1961" spans="1:6" x14ac:dyDescent="0.2">
      <c r="A1961" s="91">
        <v>45891</v>
      </c>
      <c r="B1961" s="45"/>
      <c r="C1961" s="17" t="s">
        <v>16</v>
      </c>
      <c r="D1961" s="18">
        <v>3631.51</v>
      </c>
      <c r="E1961" s="19"/>
      <c r="F1961" s="15">
        <f t="shared" si="30"/>
        <v>-3631.51</v>
      </c>
    </row>
    <row r="1962" spans="1:6" x14ac:dyDescent="0.2">
      <c r="A1962" s="91">
        <v>45894</v>
      </c>
      <c r="B1962" s="45"/>
      <c r="C1962" s="17" t="s">
        <v>16</v>
      </c>
      <c r="D1962" s="18">
        <v>71449.88</v>
      </c>
      <c r="E1962" s="19"/>
      <c r="F1962" s="15">
        <f t="shared" si="30"/>
        <v>-71449.88</v>
      </c>
    </row>
    <row r="1963" spans="1:6" x14ac:dyDescent="0.2">
      <c r="A1963" s="91">
        <v>45895</v>
      </c>
      <c r="B1963" s="45"/>
      <c r="C1963" s="17" t="s">
        <v>16</v>
      </c>
      <c r="D1963" s="18">
        <v>89529.83</v>
      </c>
      <c r="E1963" s="19"/>
      <c r="F1963" s="15">
        <f t="shared" si="30"/>
        <v>-89529.83</v>
      </c>
    </row>
    <row r="1964" spans="1:6" x14ac:dyDescent="0.2">
      <c r="A1964" s="91">
        <v>45896</v>
      </c>
      <c r="B1964" s="45"/>
      <c r="C1964" s="17" t="s">
        <v>16</v>
      </c>
      <c r="D1964" s="18">
        <v>276505.34000000003</v>
      </c>
      <c r="E1964" s="19"/>
      <c r="F1964" s="15">
        <f t="shared" si="30"/>
        <v>-276505.34000000003</v>
      </c>
    </row>
    <row r="1965" spans="1:6" x14ac:dyDescent="0.2">
      <c r="A1965" s="91">
        <v>45897</v>
      </c>
      <c r="B1965" s="45"/>
      <c r="C1965" s="17" t="s">
        <v>16</v>
      </c>
      <c r="D1965" s="18">
        <v>178119.46</v>
      </c>
      <c r="E1965" s="19"/>
      <c r="F1965" s="15">
        <f t="shared" si="30"/>
        <v>-178119.46</v>
      </c>
    </row>
    <row r="1966" spans="1:6" x14ac:dyDescent="0.2">
      <c r="A1966" s="91">
        <v>45898</v>
      </c>
      <c r="B1966" s="45"/>
      <c r="C1966" s="17" t="s">
        <v>16</v>
      </c>
      <c r="D1966" s="25">
        <v>550481.35</v>
      </c>
      <c r="E1966" s="19"/>
      <c r="F1966" s="15">
        <f t="shared" si="30"/>
        <v>-550481.35</v>
      </c>
    </row>
    <row r="1967" spans="1:6" x14ac:dyDescent="0.2">
      <c r="A1967" s="91">
        <v>45723</v>
      </c>
      <c r="B1967" s="45"/>
      <c r="C1967" s="20" t="s">
        <v>338</v>
      </c>
      <c r="D1967" s="18">
        <v>373.44</v>
      </c>
      <c r="E1967" s="19"/>
      <c r="F1967" s="15">
        <f t="shared" si="30"/>
        <v>-373.44</v>
      </c>
    </row>
    <row r="1968" spans="1:6" x14ac:dyDescent="0.2">
      <c r="A1968" s="91">
        <v>45817</v>
      </c>
      <c r="B1968" s="45"/>
      <c r="C1968" s="20" t="s">
        <v>481</v>
      </c>
      <c r="D1968" s="18">
        <v>17050.89</v>
      </c>
      <c r="E1968" s="19"/>
      <c r="F1968" s="15">
        <f t="shared" si="30"/>
        <v>-17050.89</v>
      </c>
    </row>
    <row r="1969" spans="1:8" x14ac:dyDescent="0.2">
      <c r="A1969" s="91">
        <v>45846</v>
      </c>
      <c r="B1969" s="45"/>
      <c r="C1969" s="20" t="s">
        <v>526</v>
      </c>
      <c r="D1969" s="18">
        <v>10064.68</v>
      </c>
      <c r="E1969" s="19"/>
      <c r="F1969" s="15">
        <f t="shared" si="30"/>
        <v>-10064.68</v>
      </c>
    </row>
    <row r="1970" spans="1:8" x14ac:dyDescent="0.2">
      <c r="A1970" s="91">
        <v>45876</v>
      </c>
      <c r="B1970" s="45"/>
      <c r="C1970" s="20" t="s">
        <v>572</v>
      </c>
      <c r="D1970" s="18">
        <v>135954.16</v>
      </c>
      <c r="E1970" s="19"/>
      <c r="F1970" s="15">
        <f t="shared" si="30"/>
        <v>-135954.16</v>
      </c>
    </row>
    <row r="1971" spans="1:8" x14ac:dyDescent="0.2">
      <c r="A1971" s="91">
        <v>45604</v>
      </c>
      <c r="B1971" s="45"/>
      <c r="C1971" s="20" t="s">
        <v>151</v>
      </c>
      <c r="D1971" s="18">
        <v>37039.57</v>
      </c>
      <c r="E1971" s="19"/>
      <c r="F1971" s="15">
        <f t="shared" si="30"/>
        <v>-37039.57</v>
      </c>
    </row>
    <row r="1972" spans="1:8" x14ac:dyDescent="0.2">
      <c r="A1972" s="91">
        <v>45537</v>
      </c>
      <c r="B1972" s="26"/>
      <c r="C1972" s="17" t="s">
        <v>15</v>
      </c>
      <c r="D1972" s="18">
        <v>471.08</v>
      </c>
      <c r="E1972" s="19"/>
      <c r="F1972" s="15">
        <f t="shared" si="30"/>
        <v>-471.08</v>
      </c>
      <c r="H1972" s="10"/>
    </row>
    <row r="1973" spans="1:8" x14ac:dyDescent="0.2">
      <c r="A1973" s="91">
        <v>45552</v>
      </c>
      <c r="B1973" s="26"/>
      <c r="C1973" s="17" t="s">
        <v>15</v>
      </c>
      <c r="D1973" s="18">
        <v>75.239999999999995</v>
      </c>
      <c r="E1973" s="19"/>
      <c r="F1973" s="15">
        <f t="shared" si="30"/>
        <v>-75.239999999999995</v>
      </c>
      <c r="H1973" s="10"/>
    </row>
    <row r="1974" spans="1:8" x14ac:dyDescent="0.2">
      <c r="A1974" s="91">
        <v>45565</v>
      </c>
      <c r="B1974" s="26"/>
      <c r="C1974" s="17" t="s">
        <v>15</v>
      </c>
      <c r="D1974" s="25">
        <v>597.87</v>
      </c>
      <c r="E1974" s="19"/>
      <c r="F1974" s="15">
        <f t="shared" si="30"/>
        <v>-597.87</v>
      </c>
      <c r="H1974" s="10"/>
    </row>
    <row r="1975" spans="1:8" x14ac:dyDescent="0.2">
      <c r="A1975" s="91">
        <v>45568</v>
      </c>
      <c r="B1975" s="45"/>
      <c r="C1975" s="17" t="s">
        <v>15</v>
      </c>
      <c r="D1975" s="18">
        <v>425.49</v>
      </c>
      <c r="E1975" s="19"/>
      <c r="F1975" s="15">
        <f t="shared" si="30"/>
        <v>-425.49</v>
      </c>
    </row>
    <row r="1976" spans="1:8" x14ac:dyDescent="0.2">
      <c r="A1976" s="91">
        <v>45583</v>
      </c>
      <c r="B1976" s="45"/>
      <c r="C1976" s="17" t="s">
        <v>15</v>
      </c>
      <c r="D1976" s="18">
        <v>68.13</v>
      </c>
      <c r="E1976" s="19"/>
      <c r="F1976" s="15">
        <f t="shared" si="30"/>
        <v>-68.13</v>
      </c>
    </row>
    <row r="1977" spans="1:8" x14ac:dyDescent="0.2">
      <c r="A1977" s="91">
        <v>45596</v>
      </c>
      <c r="B1977" s="45"/>
      <c r="C1977" s="17" t="s">
        <v>15</v>
      </c>
      <c r="D1977" s="25">
        <v>483.21</v>
      </c>
      <c r="E1977" s="19"/>
      <c r="F1977" s="15">
        <f t="shared" si="30"/>
        <v>-483.21</v>
      </c>
    </row>
    <row r="1978" spans="1:8" x14ac:dyDescent="0.2">
      <c r="A1978" s="91">
        <v>45600</v>
      </c>
      <c r="B1978" s="45"/>
      <c r="C1978" s="17" t="s">
        <v>15</v>
      </c>
      <c r="D1978" s="18">
        <v>450.14</v>
      </c>
      <c r="E1978" s="19"/>
      <c r="F1978" s="15">
        <f t="shared" si="30"/>
        <v>-450.14</v>
      </c>
    </row>
    <row r="1979" spans="1:8" x14ac:dyDescent="0.2">
      <c r="A1979" s="91">
        <v>45611</v>
      </c>
      <c r="B1979" s="45"/>
      <c r="C1979" s="17" t="s">
        <v>15</v>
      </c>
      <c r="D1979" s="18">
        <v>152.66</v>
      </c>
      <c r="E1979" s="19"/>
      <c r="F1979" s="15">
        <f t="shared" si="30"/>
        <v>-152.66</v>
      </c>
    </row>
    <row r="1980" spans="1:8" x14ac:dyDescent="0.2">
      <c r="A1980" s="91">
        <v>45625</v>
      </c>
      <c r="B1980" s="51"/>
      <c r="C1980" s="47" t="s">
        <v>15</v>
      </c>
      <c r="D1980" s="52">
        <v>507.78</v>
      </c>
      <c r="E1980" s="49"/>
      <c r="F1980" s="15">
        <f t="shared" si="30"/>
        <v>-507.78</v>
      </c>
    </row>
    <row r="1981" spans="1:8" x14ac:dyDescent="0.2">
      <c r="A1981" s="91">
        <v>45604</v>
      </c>
      <c r="B1981" s="50"/>
      <c r="C1981" s="22" t="s">
        <v>152</v>
      </c>
      <c r="D1981" s="23">
        <v>3889.15</v>
      </c>
      <c r="E1981" s="24"/>
      <c r="F1981" s="15">
        <f t="shared" si="30"/>
        <v>-3889.15</v>
      </c>
    </row>
    <row r="1982" spans="1:8" x14ac:dyDescent="0.2">
      <c r="A1982" s="91">
        <v>45660</v>
      </c>
      <c r="B1982" s="45"/>
      <c r="C1982" s="17" t="s">
        <v>232</v>
      </c>
      <c r="D1982" s="18">
        <v>614.21</v>
      </c>
      <c r="E1982" s="19"/>
      <c r="F1982" s="15">
        <f t="shared" si="30"/>
        <v>-614.21</v>
      </c>
    </row>
    <row r="1983" spans="1:8" x14ac:dyDescent="0.2">
      <c r="A1983" s="91">
        <v>45673</v>
      </c>
      <c r="B1983" s="45"/>
      <c r="C1983" s="17" t="s">
        <v>232</v>
      </c>
      <c r="D1983" s="18">
        <v>169.75</v>
      </c>
      <c r="E1983" s="19"/>
      <c r="F1983" s="15">
        <f t="shared" si="30"/>
        <v>-169.75</v>
      </c>
    </row>
    <row r="1984" spans="1:8" x14ac:dyDescent="0.2">
      <c r="A1984" s="91">
        <v>45688</v>
      </c>
      <c r="B1984" s="45"/>
      <c r="C1984" s="17" t="s">
        <v>232</v>
      </c>
      <c r="D1984" s="25">
        <v>483.21</v>
      </c>
      <c r="E1984" s="19"/>
      <c r="F1984" s="15">
        <f t="shared" si="30"/>
        <v>-483.21</v>
      </c>
    </row>
    <row r="1985" spans="1:6" x14ac:dyDescent="0.2">
      <c r="A1985" s="91">
        <v>45692</v>
      </c>
      <c r="B1985" s="45"/>
      <c r="C1985" s="17" t="s">
        <v>232</v>
      </c>
      <c r="D1985" s="18">
        <v>926.2</v>
      </c>
      <c r="E1985" s="19"/>
      <c r="F1985" s="15">
        <f t="shared" si="30"/>
        <v>-926.2</v>
      </c>
    </row>
    <row r="1986" spans="1:6" x14ac:dyDescent="0.2">
      <c r="A1986" s="91">
        <v>45705</v>
      </c>
      <c r="B1986" s="45"/>
      <c r="C1986" s="17" t="s">
        <v>232</v>
      </c>
      <c r="D1986" s="18">
        <v>125.78</v>
      </c>
      <c r="E1986" s="19"/>
      <c r="F1986" s="15">
        <f t="shared" si="30"/>
        <v>-125.78</v>
      </c>
    </row>
    <row r="1987" spans="1:6" x14ac:dyDescent="0.2">
      <c r="A1987" s="91">
        <v>45716</v>
      </c>
      <c r="B1987" s="45"/>
      <c r="C1987" s="17" t="s">
        <v>232</v>
      </c>
      <c r="D1987" s="25">
        <v>466.83</v>
      </c>
      <c r="E1987" s="19"/>
      <c r="F1987" s="15">
        <f t="shared" ref="F1987:F2050" si="31">+E1987-D1987</f>
        <v>-466.83</v>
      </c>
    </row>
    <row r="1988" spans="1:6" x14ac:dyDescent="0.2">
      <c r="A1988" s="91">
        <v>45721</v>
      </c>
      <c r="B1988" s="45"/>
      <c r="C1988" s="17" t="s">
        <v>232</v>
      </c>
      <c r="D1988" s="18">
        <v>965.1</v>
      </c>
      <c r="E1988" s="19"/>
      <c r="F1988" s="15">
        <f t="shared" si="31"/>
        <v>-965.1</v>
      </c>
    </row>
    <row r="1989" spans="1:6" x14ac:dyDescent="0.2">
      <c r="A1989" s="91">
        <v>45734</v>
      </c>
      <c r="B1989" s="45"/>
      <c r="C1989" s="17" t="s">
        <v>232</v>
      </c>
      <c r="D1989" s="18">
        <v>100.6</v>
      </c>
      <c r="E1989" s="19"/>
      <c r="F1989" s="15">
        <f t="shared" si="31"/>
        <v>-100.6</v>
      </c>
    </row>
    <row r="1990" spans="1:6" x14ac:dyDescent="0.2">
      <c r="A1990" s="91">
        <v>45747</v>
      </c>
      <c r="B1990" s="45"/>
      <c r="C1990" s="17" t="s">
        <v>232</v>
      </c>
      <c r="D1990" s="18">
        <v>499.59</v>
      </c>
      <c r="E1990" s="19"/>
      <c r="F1990" s="15">
        <f t="shared" si="31"/>
        <v>-499.59</v>
      </c>
    </row>
    <row r="1991" spans="1:6" x14ac:dyDescent="0.2">
      <c r="A1991" s="91">
        <v>45750</v>
      </c>
      <c r="B1991" s="45"/>
      <c r="C1991" s="17" t="s">
        <v>232</v>
      </c>
      <c r="D1991" s="18">
        <v>541.6</v>
      </c>
      <c r="E1991" s="19"/>
      <c r="F1991" s="15">
        <f t="shared" si="31"/>
        <v>-541.6</v>
      </c>
    </row>
    <row r="1992" spans="1:6" x14ac:dyDescent="0.2">
      <c r="A1992" s="91">
        <v>45768</v>
      </c>
      <c r="B1992" s="45"/>
      <c r="C1992" s="17" t="s">
        <v>232</v>
      </c>
      <c r="D1992" s="18">
        <v>155.41</v>
      </c>
      <c r="E1992" s="19"/>
      <c r="F1992" s="15">
        <f t="shared" si="31"/>
        <v>-155.41</v>
      </c>
    </row>
    <row r="1993" spans="1:6" x14ac:dyDescent="0.2">
      <c r="A1993" s="91">
        <v>45777</v>
      </c>
      <c r="B1993" s="45"/>
      <c r="C1993" s="17" t="s">
        <v>232</v>
      </c>
      <c r="D1993" s="25">
        <v>466.83</v>
      </c>
      <c r="E1993" s="19"/>
      <c r="F1993" s="15">
        <f t="shared" si="31"/>
        <v>-466.83</v>
      </c>
    </row>
    <row r="1994" spans="1:6" x14ac:dyDescent="0.2">
      <c r="A1994" s="91">
        <v>45782</v>
      </c>
      <c r="B1994" s="45"/>
      <c r="C1994" s="17" t="s">
        <v>232</v>
      </c>
      <c r="D1994" s="18">
        <v>985.43</v>
      </c>
      <c r="E1994" s="19"/>
      <c r="F1994" s="15">
        <f t="shared" si="31"/>
        <v>-985.43</v>
      </c>
    </row>
    <row r="1995" spans="1:6" x14ac:dyDescent="0.2">
      <c r="A1995" s="91">
        <v>45793</v>
      </c>
      <c r="B1995" s="45"/>
      <c r="C1995" s="17" t="s">
        <v>232</v>
      </c>
      <c r="D1995" s="18">
        <v>117.6</v>
      </c>
      <c r="E1995" s="19"/>
      <c r="F1995" s="15">
        <f t="shared" si="31"/>
        <v>-117.6</v>
      </c>
    </row>
    <row r="1996" spans="1:6" x14ac:dyDescent="0.2">
      <c r="A1996" s="91">
        <v>45807</v>
      </c>
      <c r="B1996" s="45"/>
      <c r="C1996" s="17" t="s">
        <v>232</v>
      </c>
      <c r="D1996" s="25">
        <v>466.83</v>
      </c>
      <c r="E1996" s="19"/>
      <c r="F1996" s="15">
        <f t="shared" si="31"/>
        <v>-466.83</v>
      </c>
    </row>
    <row r="1997" spans="1:6" x14ac:dyDescent="0.2">
      <c r="A1997" s="91">
        <v>45811</v>
      </c>
      <c r="B1997" s="45"/>
      <c r="C1997" s="17" t="s">
        <v>232</v>
      </c>
      <c r="D1997" s="18">
        <v>988.06</v>
      </c>
      <c r="E1997" s="19"/>
      <c r="F1997" s="15">
        <f t="shared" si="31"/>
        <v>-988.06</v>
      </c>
    </row>
    <row r="1998" spans="1:6" x14ac:dyDescent="0.2">
      <c r="A1998" s="91">
        <v>45821</v>
      </c>
      <c r="B1998" s="45"/>
      <c r="C1998" s="17" t="s">
        <v>232</v>
      </c>
      <c r="D1998" s="18">
        <v>132.22</v>
      </c>
      <c r="E1998" s="19"/>
      <c r="F1998" s="15">
        <f t="shared" si="31"/>
        <v>-132.22</v>
      </c>
    </row>
    <row r="1999" spans="1:6" x14ac:dyDescent="0.2">
      <c r="A1999" s="91">
        <v>45832</v>
      </c>
      <c r="B1999" s="45"/>
      <c r="C1999" s="17" t="s">
        <v>232</v>
      </c>
      <c r="D1999" s="18">
        <v>562.63</v>
      </c>
      <c r="E1999" s="19"/>
      <c r="F1999" s="15">
        <f t="shared" si="31"/>
        <v>-562.63</v>
      </c>
    </row>
    <row r="2000" spans="1:6" x14ac:dyDescent="0.2">
      <c r="A2000" s="91">
        <v>45838</v>
      </c>
      <c r="B2000" s="45"/>
      <c r="C2000" s="17" t="s">
        <v>232</v>
      </c>
      <c r="D2000" s="18">
        <v>475.02</v>
      </c>
      <c r="E2000" s="19"/>
      <c r="F2000" s="15">
        <f t="shared" si="31"/>
        <v>-475.02</v>
      </c>
    </row>
    <row r="2001" spans="1:8" x14ac:dyDescent="0.2">
      <c r="A2001" s="91">
        <v>45855</v>
      </c>
      <c r="B2001" s="45"/>
      <c r="C2001" s="17" t="s">
        <v>232</v>
      </c>
      <c r="D2001" s="18">
        <v>89.72</v>
      </c>
      <c r="E2001" s="19"/>
      <c r="F2001" s="15">
        <f t="shared" si="31"/>
        <v>-89.72</v>
      </c>
    </row>
    <row r="2002" spans="1:8" x14ac:dyDescent="0.2">
      <c r="A2002" s="91">
        <v>45869</v>
      </c>
      <c r="B2002" s="45"/>
      <c r="C2002" s="17" t="s">
        <v>232</v>
      </c>
      <c r="D2002" s="25">
        <v>573.29999999999995</v>
      </c>
      <c r="E2002" s="19"/>
      <c r="F2002" s="15">
        <f t="shared" si="31"/>
        <v>-573.29999999999995</v>
      </c>
    </row>
    <row r="2003" spans="1:8" x14ac:dyDescent="0.2">
      <c r="A2003" s="91">
        <v>45873</v>
      </c>
      <c r="B2003" s="51"/>
      <c r="C2003" s="47" t="s">
        <v>232</v>
      </c>
      <c r="D2003" s="48">
        <v>877.58</v>
      </c>
      <c r="E2003" s="49"/>
      <c r="F2003" s="15">
        <f t="shared" si="31"/>
        <v>-877.58</v>
      </c>
    </row>
    <row r="2004" spans="1:8" x14ac:dyDescent="0.2">
      <c r="A2004" s="91">
        <v>45889</v>
      </c>
      <c r="B2004" s="50"/>
      <c r="C2004" s="22" t="s">
        <v>232</v>
      </c>
      <c r="D2004" s="23">
        <v>135.75</v>
      </c>
      <c r="E2004" s="24"/>
      <c r="F2004" s="15">
        <f t="shared" si="31"/>
        <v>-135.75</v>
      </c>
    </row>
    <row r="2005" spans="1:8" x14ac:dyDescent="0.2">
      <c r="A2005" s="91">
        <v>45898</v>
      </c>
      <c r="B2005" s="45"/>
      <c r="C2005" s="17" t="s">
        <v>232</v>
      </c>
      <c r="D2005" s="25">
        <v>573.29999999999995</v>
      </c>
      <c r="E2005" s="19"/>
      <c r="F2005" s="15">
        <f t="shared" si="31"/>
        <v>-573.29999999999995</v>
      </c>
    </row>
    <row r="2006" spans="1:8" x14ac:dyDescent="0.2">
      <c r="A2006" s="91">
        <v>45629</v>
      </c>
      <c r="B2006" s="45"/>
      <c r="C2006" s="17" t="s">
        <v>202</v>
      </c>
      <c r="D2006" s="18">
        <v>583.76</v>
      </c>
      <c r="E2006" s="19"/>
      <c r="F2006" s="15">
        <f t="shared" si="31"/>
        <v>-583.76</v>
      </c>
    </row>
    <row r="2007" spans="1:8" x14ac:dyDescent="0.2">
      <c r="A2007" s="91">
        <v>45639</v>
      </c>
      <c r="B2007" s="45"/>
      <c r="C2007" s="17" t="s">
        <v>202</v>
      </c>
      <c r="D2007" s="18">
        <v>98.83</v>
      </c>
      <c r="E2007" s="19"/>
      <c r="F2007" s="15">
        <f t="shared" si="31"/>
        <v>-98.83</v>
      </c>
    </row>
    <row r="2008" spans="1:8" x14ac:dyDescent="0.2">
      <c r="A2008" s="91">
        <v>45645</v>
      </c>
      <c r="B2008" s="45"/>
      <c r="C2008" s="17" t="s">
        <v>202</v>
      </c>
      <c r="D2008" s="18">
        <v>302.69</v>
      </c>
      <c r="E2008" s="19"/>
      <c r="F2008" s="15">
        <f t="shared" si="31"/>
        <v>-302.69</v>
      </c>
    </row>
    <row r="2009" spans="1:8" x14ac:dyDescent="0.2">
      <c r="A2009" s="91">
        <v>45656</v>
      </c>
      <c r="B2009" s="45"/>
      <c r="C2009" s="17" t="s">
        <v>202</v>
      </c>
      <c r="D2009" s="25">
        <v>483.21</v>
      </c>
      <c r="E2009" s="19"/>
      <c r="F2009" s="15">
        <f t="shared" si="31"/>
        <v>-483.21</v>
      </c>
    </row>
    <row r="2010" spans="1:8" x14ac:dyDescent="0.2">
      <c r="A2010" s="91">
        <v>45723</v>
      </c>
      <c r="B2010" s="45"/>
      <c r="C2010" s="17" t="s">
        <v>339</v>
      </c>
      <c r="D2010" s="18">
        <v>39.21</v>
      </c>
      <c r="E2010" s="19"/>
      <c r="F2010" s="15">
        <f t="shared" si="31"/>
        <v>-39.21</v>
      </c>
    </row>
    <row r="2011" spans="1:8" x14ac:dyDescent="0.2">
      <c r="A2011" s="91">
        <v>45817</v>
      </c>
      <c r="B2011" s="45"/>
      <c r="C2011" s="17" t="s">
        <v>339</v>
      </c>
      <c r="D2011" s="18">
        <v>1790.34</v>
      </c>
      <c r="E2011" s="19"/>
      <c r="F2011" s="15">
        <f t="shared" si="31"/>
        <v>-1790.34</v>
      </c>
    </row>
    <row r="2012" spans="1:8" x14ac:dyDescent="0.2">
      <c r="A2012" s="91">
        <v>45846</v>
      </c>
      <c r="B2012" s="45"/>
      <c r="C2012" s="17" t="s">
        <v>339</v>
      </c>
      <c r="D2012" s="18">
        <v>1056.79</v>
      </c>
      <c r="E2012" s="19"/>
      <c r="F2012" s="15">
        <f t="shared" si="31"/>
        <v>-1056.79</v>
      </c>
    </row>
    <row r="2013" spans="1:8" x14ac:dyDescent="0.2">
      <c r="A2013" s="91">
        <v>45876</v>
      </c>
      <c r="B2013" s="45"/>
      <c r="C2013" s="17" t="s">
        <v>339</v>
      </c>
      <c r="D2013" s="18">
        <v>14275.19</v>
      </c>
      <c r="E2013" s="19"/>
      <c r="F2013" s="15">
        <f t="shared" si="31"/>
        <v>-14275.19</v>
      </c>
    </row>
    <row r="2014" spans="1:8" x14ac:dyDescent="0.2">
      <c r="A2014" s="91">
        <v>45534</v>
      </c>
      <c r="B2014" s="16">
        <v>16932</v>
      </c>
      <c r="C2014" s="17" t="s">
        <v>8</v>
      </c>
      <c r="D2014" s="18">
        <v>311.85000000000002</v>
      </c>
      <c r="E2014" s="19"/>
      <c r="F2014" s="15">
        <f t="shared" si="31"/>
        <v>-311.85000000000002</v>
      </c>
      <c r="H2014" s="10"/>
    </row>
    <row r="2015" spans="1:8" x14ac:dyDescent="0.2">
      <c r="A2015" s="91">
        <v>45534</v>
      </c>
      <c r="B2015" s="16">
        <v>16933</v>
      </c>
      <c r="C2015" s="17" t="s">
        <v>8</v>
      </c>
      <c r="D2015" s="18">
        <v>311.85000000000002</v>
      </c>
      <c r="E2015" s="19"/>
      <c r="F2015" s="15">
        <f t="shared" si="31"/>
        <v>-311.85000000000002</v>
      </c>
      <c r="H2015" s="10"/>
    </row>
    <row r="2016" spans="1:8" x14ac:dyDescent="0.2">
      <c r="A2016" s="91">
        <v>45534</v>
      </c>
      <c r="B2016" s="16">
        <v>16934</v>
      </c>
      <c r="C2016" s="17" t="s">
        <v>8</v>
      </c>
      <c r="D2016" s="18">
        <v>311.85000000000002</v>
      </c>
      <c r="E2016" s="19"/>
      <c r="F2016" s="15">
        <f t="shared" si="31"/>
        <v>-311.85000000000002</v>
      </c>
      <c r="H2016" s="10"/>
    </row>
    <row r="2017" spans="1:8" x14ac:dyDescent="0.2">
      <c r="A2017" s="91">
        <v>45544</v>
      </c>
      <c r="B2017" s="16">
        <v>13753</v>
      </c>
      <c r="C2017" s="17" t="s">
        <v>8</v>
      </c>
      <c r="D2017" s="18">
        <v>151.19999999999999</v>
      </c>
      <c r="E2017" s="19"/>
      <c r="F2017" s="15">
        <f t="shared" si="31"/>
        <v>-151.19999999999999</v>
      </c>
      <c r="H2017" s="10"/>
    </row>
    <row r="2018" spans="1:8" x14ac:dyDescent="0.2">
      <c r="A2018" s="91">
        <v>45544</v>
      </c>
      <c r="B2018" s="16">
        <v>13754</v>
      </c>
      <c r="C2018" s="17" t="s">
        <v>8</v>
      </c>
      <c r="D2018" s="18">
        <v>311.85000000000002</v>
      </c>
      <c r="E2018" s="19"/>
      <c r="F2018" s="15">
        <f t="shared" si="31"/>
        <v>-311.85000000000002</v>
      </c>
      <c r="H2018" s="10"/>
    </row>
    <row r="2019" spans="1:8" x14ac:dyDescent="0.2">
      <c r="A2019" s="91">
        <v>45545</v>
      </c>
      <c r="B2019" s="26"/>
      <c r="C2019" s="17" t="s">
        <v>8</v>
      </c>
      <c r="D2019" s="18">
        <v>840</v>
      </c>
      <c r="E2019" s="19"/>
      <c r="F2019" s="15">
        <f t="shared" si="31"/>
        <v>-840</v>
      </c>
      <c r="H2019" s="10"/>
    </row>
    <row r="2020" spans="1:8" x14ac:dyDescent="0.2">
      <c r="A2020" s="91">
        <v>45552</v>
      </c>
      <c r="B2020" s="16">
        <v>12427</v>
      </c>
      <c r="C2020" s="17" t="s">
        <v>8</v>
      </c>
      <c r="D2020" s="18">
        <v>151.19999999999999</v>
      </c>
      <c r="E2020" s="19"/>
      <c r="F2020" s="15">
        <f t="shared" si="31"/>
        <v>-151.19999999999999</v>
      </c>
      <c r="H2020" s="10"/>
    </row>
    <row r="2021" spans="1:8" x14ac:dyDescent="0.2">
      <c r="A2021" s="91">
        <v>45552</v>
      </c>
      <c r="B2021" s="16">
        <v>12428</v>
      </c>
      <c r="C2021" s="17" t="s">
        <v>8</v>
      </c>
      <c r="D2021" s="18">
        <v>151.19999999999999</v>
      </c>
      <c r="E2021" s="19"/>
      <c r="F2021" s="15">
        <f t="shared" si="31"/>
        <v>-151.19999999999999</v>
      </c>
      <c r="H2021" s="10"/>
    </row>
    <row r="2022" spans="1:8" x14ac:dyDescent="0.2">
      <c r="A2022" s="91">
        <v>45552</v>
      </c>
      <c r="B2022" s="16">
        <v>12429</v>
      </c>
      <c r="C2022" s="17" t="s">
        <v>8</v>
      </c>
      <c r="D2022" s="18">
        <v>151.19999999999999</v>
      </c>
      <c r="E2022" s="19"/>
      <c r="F2022" s="15">
        <f t="shared" si="31"/>
        <v>-151.19999999999999</v>
      </c>
      <c r="H2022" s="10"/>
    </row>
    <row r="2023" spans="1:8" x14ac:dyDescent="0.2">
      <c r="A2023" s="91">
        <v>45552</v>
      </c>
      <c r="B2023" s="16">
        <v>12430</v>
      </c>
      <c r="C2023" s="17" t="s">
        <v>8</v>
      </c>
      <c r="D2023" s="18">
        <v>151.19999999999999</v>
      </c>
      <c r="E2023" s="19"/>
      <c r="F2023" s="15">
        <f t="shared" si="31"/>
        <v>-151.19999999999999</v>
      </c>
      <c r="H2023" s="10"/>
    </row>
    <row r="2024" spans="1:8" x14ac:dyDescent="0.2">
      <c r="A2024" s="91">
        <v>45553</v>
      </c>
      <c r="B2024" s="16">
        <v>12267</v>
      </c>
      <c r="C2024" s="17" t="s">
        <v>8</v>
      </c>
      <c r="D2024" s="18">
        <v>311.85000000000002</v>
      </c>
      <c r="E2024" s="19"/>
      <c r="F2024" s="15">
        <f t="shared" si="31"/>
        <v>-311.85000000000002</v>
      </c>
      <c r="H2024" s="10"/>
    </row>
    <row r="2025" spans="1:8" x14ac:dyDescent="0.2">
      <c r="A2025" s="91">
        <v>45553</v>
      </c>
      <c r="B2025" s="16">
        <v>12268</v>
      </c>
      <c r="C2025" s="17" t="s">
        <v>8</v>
      </c>
      <c r="D2025" s="18">
        <v>311.85000000000002</v>
      </c>
      <c r="E2025" s="19"/>
      <c r="F2025" s="15">
        <f t="shared" si="31"/>
        <v>-311.85000000000002</v>
      </c>
      <c r="H2025" s="10"/>
    </row>
    <row r="2026" spans="1:8" x14ac:dyDescent="0.2">
      <c r="A2026" s="91">
        <v>45558</v>
      </c>
      <c r="B2026" s="16">
        <v>12993</v>
      </c>
      <c r="C2026" s="17" t="s">
        <v>8</v>
      </c>
      <c r="D2026" s="18">
        <v>151.19999999999999</v>
      </c>
      <c r="E2026" s="19"/>
      <c r="F2026" s="15">
        <f t="shared" si="31"/>
        <v>-151.19999999999999</v>
      </c>
      <c r="H2026" s="10"/>
    </row>
    <row r="2027" spans="1:8" x14ac:dyDescent="0.2">
      <c r="A2027" s="91">
        <v>45558</v>
      </c>
      <c r="B2027" s="16">
        <v>12994</v>
      </c>
      <c r="C2027" s="17" t="s">
        <v>8</v>
      </c>
      <c r="D2027" s="18">
        <v>151.19999999999999</v>
      </c>
      <c r="E2027" s="19"/>
      <c r="F2027" s="15">
        <f t="shared" si="31"/>
        <v>-151.19999999999999</v>
      </c>
      <c r="H2027" s="10"/>
    </row>
    <row r="2028" spans="1:8" x14ac:dyDescent="0.2">
      <c r="A2028" s="91">
        <v>45558</v>
      </c>
      <c r="B2028" s="16">
        <v>12995</v>
      </c>
      <c r="C2028" s="17" t="s">
        <v>8</v>
      </c>
      <c r="D2028" s="18">
        <v>151.19999999999999</v>
      </c>
      <c r="E2028" s="19"/>
      <c r="F2028" s="15">
        <f t="shared" si="31"/>
        <v>-151.19999999999999</v>
      </c>
      <c r="H2028" s="10"/>
    </row>
    <row r="2029" spans="1:8" x14ac:dyDescent="0.2">
      <c r="A2029" s="91">
        <v>45558</v>
      </c>
      <c r="B2029" s="16">
        <v>12996</v>
      </c>
      <c r="C2029" s="17" t="s">
        <v>8</v>
      </c>
      <c r="D2029" s="18">
        <v>311.85000000000002</v>
      </c>
      <c r="E2029" s="19"/>
      <c r="F2029" s="15">
        <f t="shared" si="31"/>
        <v>-311.85000000000002</v>
      </c>
      <c r="H2029" s="10"/>
    </row>
    <row r="2030" spans="1:8" x14ac:dyDescent="0.2">
      <c r="A2030" s="91">
        <v>45560</v>
      </c>
      <c r="B2030" s="67">
        <v>12384</v>
      </c>
      <c r="C2030" s="47" t="s">
        <v>8</v>
      </c>
      <c r="D2030" s="48">
        <v>151.19999999999999</v>
      </c>
      <c r="E2030" s="49"/>
      <c r="F2030" s="15">
        <f t="shared" si="31"/>
        <v>-151.19999999999999</v>
      </c>
      <c r="H2030" s="10"/>
    </row>
    <row r="2031" spans="1:8" x14ac:dyDescent="0.2">
      <c r="A2031" s="91">
        <v>45560</v>
      </c>
      <c r="B2031" s="21">
        <v>12385</v>
      </c>
      <c r="C2031" s="22" t="s">
        <v>8</v>
      </c>
      <c r="D2031" s="23">
        <v>311.85000000000002</v>
      </c>
      <c r="E2031" s="24"/>
      <c r="F2031" s="15">
        <f t="shared" si="31"/>
        <v>-311.85000000000002</v>
      </c>
      <c r="H2031" s="10"/>
    </row>
    <row r="2032" spans="1:8" x14ac:dyDescent="0.2">
      <c r="A2032" s="91">
        <v>45562</v>
      </c>
      <c r="B2032" s="26"/>
      <c r="C2032" s="17" t="s">
        <v>8</v>
      </c>
      <c r="D2032" s="18">
        <v>6993</v>
      </c>
      <c r="E2032" s="19"/>
      <c r="F2032" s="15">
        <f t="shared" si="31"/>
        <v>-6993</v>
      </c>
      <c r="H2032" s="10"/>
    </row>
    <row r="2033" spans="1:8" x14ac:dyDescent="0.2">
      <c r="A2033" s="91">
        <v>45562</v>
      </c>
      <c r="B2033" s="26"/>
      <c r="C2033" s="17" t="s">
        <v>8</v>
      </c>
      <c r="D2033" s="18">
        <v>7144.2</v>
      </c>
      <c r="E2033" s="19"/>
      <c r="F2033" s="15">
        <f t="shared" si="31"/>
        <v>-7144.2</v>
      </c>
      <c r="H2033" s="10"/>
    </row>
    <row r="2034" spans="1:8" x14ac:dyDescent="0.2">
      <c r="A2034" s="91">
        <v>45567</v>
      </c>
      <c r="B2034" s="45"/>
      <c r="C2034" s="17" t="s">
        <v>8</v>
      </c>
      <c r="D2034" s="18">
        <v>420</v>
      </c>
      <c r="E2034" s="19"/>
      <c r="F2034" s="15">
        <f t="shared" si="31"/>
        <v>-420</v>
      </c>
    </row>
    <row r="2035" spans="1:8" x14ac:dyDescent="0.2">
      <c r="A2035" s="91">
        <v>45568</v>
      </c>
      <c r="B2035" s="45"/>
      <c r="C2035" s="17" t="s">
        <v>8</v>
      </c>
      <c r="D2035" s="18">
        <v>840</v>
      </c>
      <c r="E2035" s="19"/>
      <c r="F2035" s="15">
        <f t="shared" si="31"/>
        <v>-840</v>
      </c>
    </row>
    <row r="2036" spans="1:8" x14ac:dyDescent="0.2">
      <c r="A2036" s="91">
        <v>45575</v>
      </c>
      <c r="B2036" s="45"/>
      <c r="C2036" s="17" t="s">
        <v>8</v>
      </c>
      <c r="D2036" s="18">
        <v>90.75</v>
      </c>
      <c r="E2036" s="19"/>
      <c r="F2036" s="15">
        <f t="shared" si="31"/>
        <v>-90.75</v>
      </c>
    </row>
    <row r="2037" spans="1:8" x14ac:dyDescent="0.2">
      <c r="A2037" s="91">
        <v>45581</v>
      </c>
      <c r="B2037" s="43">
        <v>12474</v>
      </c>
      <c r="C2037" s="17" t="s">
        <v>8</v>
      </c>
      <c r="D2037" s="18">
        <v>66.150000000000006</v>
      </c>
      <c r="E2037" s="19"/>
      <c r="F2037" s="15">
        <f t="shared" si="31"/>
        <v>-66.150000000000006</v>
      </c>
    </row>
    <row r="2038" spans="1:8" x14ac:dyDescent="0.2">
      <c r="A2038" s="91">
        <v>45581</v>
      </c>
      <c r="B2038" s="43">
        <v>12475</v>
      </c>
      <c r="C2038" s="17" t="s">
        <v>8</v>
      </c>
      <c r="D2038" s="18">
        <v>151.19999999999999</v>
      </c>
      <c r="E2038" s="19"/>
      <c r="F2038" s="15">
        <f t="shared" si="31"/>
        <v>-151.19999999999999</v>
      </c>
    </row>
    <row r="2039" spans="1:8" x14ac:dyDescent="0.2">
      <c r="A2039" s="91">
        <v>45581</v>
      </c>
      <c r="B2039" s="43">
        <v>12476</v>
      </c>
      <c r="C2039" s="17" t="s">
        <v>8</v>
      </c>
      <c r="D2039" s="18">
        <v>311.85000000000002</v>
      </c>
      <c r="E2039" s="19"/>
      <c r="F2039" s="15">
        <f t="shared" si="31"/>
        <v>-311.85000000000002</v>
      </c>
    </row>
    <row r="2040" spans="1:8" x14ac:dyDescent="0.2">
      <c r="A2040" s="91">
        <v>45583</v>
      </c>
      <c r="B2040" s="43">
        <v>17574</v>
      </c>
      <c r="C2040" s="17" t="s">
        <v>8</v>
      </c>
      <c r="D2040" s="18">
        <v>151.19999999999999</v>
      </c>
      <c r="E2040" s="19"/>
      <c r="F2040" s="15">
        <f t="shared" si="31"/>
        <v>-151.19999999999999</v>
      </c>
    </row>
    <row r="2041" spans="1:8" x14ac:dyDescent="0.2">
      <c r="A2041" s="91">
        <v>45583</v>
      </c>
      <c r="B2041" s="43">
        <v>17575</v>
      </c>
      <c r="C2041" s="17" t="s">
        <v>8</v>
      </c>
      <c r="D2041" s="18">
        <v>311.85000000000002</v>
      </c>
      <c r="E2041" s="19"/>
      <c r="F2041" s="15">
        <f t="shared" si="31"/>
        <v>-311.85000000000002</v>
      </c>
    </row>
    <row r="2042" spans="1:8" x14ac:dyDescent="0.2">
      <c r="A2042" s="91">
        <v>45583</v>
      </c>
      <c r="B2042" s="43">
        <v>17576</v>
      </c>
      <c r="C2042" s="17" t="s">
        <v>8</v>
      </c>
      <c r="D2042" s="18">
        <v>311.85000000000002</v>
      </c>
      <c r="E2042" s="19"/>
      <c r="F2042" s="15">
        <f t="shared" si="31"/>
        <v>-311.85000000000002</v>
      </c>
    </row>
    <row r="2043" spans="1:8" x14ac:dyDescent="0.2">
      <c r="A2043" s="91">
        <v>45583</v>
      </c>
      <c r="B2043" s="43">
        <v>17577</v>
      </c>
      <c r="C2043" s="17" t="s">
        <v>8</v>
      </c>
      <c r="D2043" s="18">
        <v>311.85000000000002</v>
      </c>
      <c r="E2043" s="19"/>
      <c r="F2043" s="15">
        <f t="shared" si="31"/>
        <v>-311.85000000000002</v>
      </c>
    </row>
    <row r="2044" spans="1:8" x14ac:dyDescent="0.2">
      <c r="A2044" s="91">
        <v>45594</v>
      </c>
      <c r="B2044" s="43">
        <v>12957</v>
      </c>
      <c r="C2044" s="17" t="s">
        <v>8</v>
      </c>
      <c r="D2044" s="18">
        <v>151.19999999999999</v>
      </c>
      <c r="E2044" s="19"/>
      <c r="F2044" s="15">
        <f t="shared" si="31"/>
        <v>-151.19999999999999</v>
      </c>
    </row>
    <row r="2045" spans="1:8" x14ac:dyDescent="0.2">
      <c r="A2045" s="91">
        <v>45594</v>
      </c>
      <c r="B2045" s="43">
        <v>12958</v>
      </c>
      <c r="C2045" s="17" t="s">
        <v>8</v>
      </c>
      <c r="D2045" s="18">
        <v>151.19999999999999</v>
      </c>
      <c r="E2045" s="19"/>
      <c r="F2045" s="15">
        <f t="shared" si="31"/>
        <v>-151.19999999999999</v>
      </c>
    </row>
    <row r="2046" spans="1:8" x14ac:dyDescent="0.2">
      <c r="A2046" s="91">
        <v>45594</v>
      </c>
      <c r="B2046" s="43">
        <v>12959</v>
      </c>
      <c r="C2046" s="17" t="s">
        <v>8</v>
      </c>
      <c r="D2046" s="18">
        <v>151.19999999999999</v>
      </c>
      <c r="E2046" s="19"/>
      <c r="F2046" s="15">
        <f t="shared" si="31"/>
        <v>-151.19999999999999</v>
      </c>
    </row>
    <row r="2047" spans="1:8" x14ac:dyDescent="0.2">
      <c r="A2047" s="91">
        <v>45594</v>
      </c>
      <c r="B2047" s="43">
        <v>12960</v>
      </c>
      <c r="C2047" s="17" t="s">
        <v>8</v>
      </c>
      <c r="D2047" s="18">
        <v>151.19999999999999</v>
      </c>
      <c r="E2047" s="19"/>
      <c r="F2047" s="15">
        <f t="shared" si="31"/>
        <v>-151.19999999999999</v>
      </c>
    </row>
    <row r="2048" spans="1:8" x14ac:dyDescent="0.2">
      <c r="A2048" s="91">
        <v>45594</v>
      </c>
      <c r="B2048" s="43">
        <v>12961</v>
      </c>
      <c r="C2048" s="17" t="s">
        <v>8</v>
      </c>
      <c r="D2048" s="18">
        <v>311.85000000000002</v>
      </c>
      <c r="E2048" s="19"/>
      <c r="F2048" s="15">
        <f t="shared" si="31"/>
        <v>-311.85000000000002</v>
      </c>
    </row>
    <row r="2049" spans="1:6" x14ac:dyDescent="0.2">
      <c r="A2049" s="91">
        <v>45595</v>
      </c>
      <c r="B2049" s="45"/>
      <c r="C2049" s="17" t="s">
        <v>8</v>
      </c>
      <c r="D2049" s="18">
        <v>6993</v>
      </c>
      <c r="E2049" s="19"/>
      <c r="F2049" s="15">
        <f t="shared" si="31"/>
        <v>-6993</v>
      </c>
    </row>
    <row r="2050" spans="1:6" x14ac:dyDescent="0.2">
      <c r="A2050" s="91">
        <v>45595</v>
      </c>
      <c r="B2050" s="45"/>
      <c r="C2050" s="17" t="s">
        <v>8</v>
      </c>
      <c r="D2050" s="18">
        <v>8864.1</v>
      </c>
      <c r="E2050" s="19"/>
      <c r="F2050" s="15">
        <f t="shared" si="31"/>
        <v>-8864.1</v>
      </c>
    </row>
    <row r="2051" spans="1:6" x14ac:dyDescent="0.2">
      <c r="A2051" s="91">
        <v>45595</v>
      </c>
      <c r="B2051" s="43">
        <v>12428</v>
      </c>
      <c r="C2051" s="17" t="s">
        <v>8</v>
      </c>
      <c r="D2051" s="18">
        <v>311.85000000000002</v>
      </c>
      <c r="E2051" s="19"/>
      <c r="F2051" s="15">
        <f t="shared" ref="F2051:F2114" si="32">+E2051-D2051</f>
        <v>-311.85000000000002</v>
      </c>
    </row>
    <row r="2052" spans="1:6" x14ac:dyDescent="0.2">
      <c r="A2052" s="91">
        <v>45595</v>
      </c>
      <c r="B2052" s="43">
        <v>12429</v>
      </c>
      <c r="C2052" s="17" t="s">
        <v>8</v>
      </c>
      <c r="D2052" s="18">
        <v>311.85000000000002</v>
      </c>
      <c r="E2052" s="19"/>
      <c r="F2052" s="15">
        <f t="shared" si="32"/>
        <v>-311.85000000000002</v>
      </c>
    </row>
    <row r="2053" spans="1:6" x14ac:dyDescent="0.2">
      <c r="A2053" s="91">
        <v>45596</v>
      </c>
      <c r="B2053" s="45"/>
      <c r="C2053" s="17" t="s">
        <v>8</v>
      </c>
      <c r="D2053" s="25">
        <v>840</v>
      </c>
      <c r="E2053" s="19"/>
      <c r="F2053" s="15">
        <f t="shared" si="32"/>
        <v>-840</v>
      </c>
    </row>
    <row r="2054" spans="1:6" x14ac:dyDescent="0.2">
      <c r="A2054" s="91">
        <v>45597</v>
      </c>
      <c r="B2054" s="45"/>
      <c r="C2054" s="17" t="s">
        <v>8</v>
      </c>
      <c r="D2054" s="18">
        <v>75.599999999999994</v>
      </c>
      <c r="E2054" s="19"/>
      <c r="F2054" s="15">
        <f t="shared" si="32"/>
        <v>-75.599999999999994</v>
      </c>
    </row>
    <row r="2055" spans="1:6" x14ac:dyDescent="0.2">
      <c r="A2055" s="91">
        <v>45610</v>
      </c>
      <c r="B2055" s="43">
        <v>13797</v>
      </c>
      <c r="C2055" s="17" t="s">
        <v>8</v>
      </c>
      <c r="D2055" s="18">
        <v>311.85000000000002</v>
      </c>
      <c r="E2055" s="19"/>
      <c r="F2055" s="15">
        <f t="shared" si="32"/>
        <v>-311.85000000000002</v>
      </c>
    </row>
    <row r="2056" spans="1:6" x14ac:dyDescent="0.2">
      <c r="A2056" s="91">
        <v>45611</v>
      </c>
      <c r="B2056" s="43">
        <v>17032</v>
      </c>
      <c r="C2056" s="17" t="s">
        <v>8</v>
      </c>
      <c r="D2056" s="18">
        <v>25.2</v>
      </c>
      <c r="E2056" s="19"/>
      <c r="F2056" s="15">
        <f t="shared" si="32"/>
        <v>-25.2</v>
      </c>
    </row>
    <row r="2057" spans="1:6" x14ac:dyDescent="0.2">
      <c r="A2057" s="91">
        <v>45611</v>
      </c>
      <c r="B2057" s="43">
        <v>17033</v>
      </c>
      <c r="C2057" s="17" t="s">
        <v>8</v>
      </c>
      <c r="D2057" s="18">
        <v>151.19999999999999</v>
      </c>
      <c r="E2057" s="19"/>
      <c r="F2057" s="15">
        <f t="shared" si="32"/>
        <v>-151.19999999999999</v>
      </c>
    </row>
    <row r="2058" spans="1:6" x14ac:dyDescent="0.2">
      <c r="A2058" s="91">
        <v>45611</v>
      </c>
      <c r="B2058" s="43">
        <v>17034</v>
      </c>
      <c r="C2058" s="17" t="s">
        <v>8</v>
      </c>
      <c r="D2058" s="18">
        <v>151.19999999999999</v>
      </c>
      <c r="E2058" s="19"/>
      <c r="F2058" s="15">
        <f t="shared" si="32"/>
        <v>-151.19999999999999</v>
      </c>
    </row>
    <row r="2059" spans="1:6" x14ac:dyDescent="0.2">
      <c r="A2059" s="91">
        <v>45611</v>
      </c>
      <c r="B2059" s="43">
        <v>17035</v>
      </c>
      <c r="C2059" s="17" t="s">
        <v>8</v>
      </c>
      <c r="D2059" s="18">
        <v>311.85000000000002</v>
      </c>
      <c r="E2059" s="19"/>
      <c r="F2059" s="15">
        <f t="shared" si="32"/>
        <v>-311.85000000000002</v>
      </c>
    </row>
    <row r="2060" spans="1:6" x14ac:dyDescent="0.2">
      <c r="A2060" s="91">
        <v>45611</v>
      </c>
      <c r="B2060" s="43">
        <v>17036</v>
      </c>
      <c r="C2060" s="17" t="s">
        <v>8</v>
      </c>
      <c r="D2060" s="18">
        <v>311.85000000000002</v>
      </c>
      <c r="E2060" s="19"/>
      <c r="F2060" s="15">
        <f t="shared" si="32"/>
        <v>-311.85000000000002</v>
      </c>
    </row>
    <row r="2061" spans="1:6" x14ac:dyDescent="0.2">
      <c r="A2061" s="91">
        <v>45611</v>
      </c>
      <c r="B2061" s="46">
        <v>17037</v>
      </c>
      <c r="C2061" s="47" t="s">
        <v>8</v>
      </c>
      <c r="D2061" s="48">
        <v>311.85000000000002</v>
      </c>
      <c r="E2061" s="49"/>
      <c r="F2061" s="15">
        <f t="shared" si="32"/>
        <v>-311.85000000000002</v>
      </c>
    </row>
    <row r="2062" spans="1:6" x14ac:dyDescent="0.2">
      <c r="A2062" s="91">
        <v>45611</v>
      </c>
      <c r="B2062" s="44">
        <v>17038</v>
      </c>
      <c r="C2062" s="22" t="s">
        <v>8</v>
      </c>
      <c r="D2062" s="31">
        <v>311.85000000000002</v>
      </c>
      <c r="E2062" s="24"/>
      <c r="F2062" s="15">
        <f t="shared" si="32"/>
        <v>-311.85000000000002</v>
      </c>
    </row>
    <row r="2063" spans="1:6" x14ac:dyDescent="0.2">
      <c r="A2063" s="91">
        <v>45615</v>
      </c>
      <c r="B2063" s="45"/>
      <c r="C2063" s="17" t="s">
        <v>8</v>
      </c>
      <c r="D2063" s="18">
        <v>630</v>
      </c>
      <c r="E2063" s="19"/>
      <c r="F2063" s="15">
        <f t="shared" si="32"/>
        <v>-630</v>
      </c>
    </row>
    <row r="2064" spans="1:6" x14ac:dyDescent="0.2">
      <c r="A2064" s="91">
        <v>45616</v>
      </c>
      <c r="B2064" s="45"/>
      <c r="C2064" s="17" t="s">
        <v>8</v>
      </c>
      <c r="D2064" s="18">
        <v>840</v>
      </c>
      <c r="E2064" s="19"/>
      <c r="F2064" s="15">
        <f t="shared" si="32"/>
        <v>-840</v>
      </c>
    </row>
    <row r="2065" spans="1:6" x14ac:dyDescent="0.2">
      <c r="A2065" s="91">
        <v>45616</v>
      </c>
      <c r="B2065" s="43">
        <v>14456</v>
      </c>
      <c r="C2065" s="17" t="s">
        <v>8</v>
      </c>
      <c r="D2065" s="18">
        <v>151.19999999999999</v>
      </c>
      <c r="E2065" s="19"/>
      <c r="F2065" s="15">
        <f t="shared" si="32"/>
        <v>-151.19999999999999</v>
      </c>
    </row>
    <row r="2066" spans="1:6" x14ac:dyDescent="0.2">
      <c r="A2066" s="91">
        <v>45616</v>
      </c>
      <c r="B2066" s="43">
        <v>14457</v>
      </c>
      <c r="C2066" s="17" t="s">
        <v>8</v>
      </c>
      <c r="D2066" s="18">
        <v>311.85000000000002</v>
      </c>
      <c r="E2066" s="19"/>
      <c r="F2066" s="15">
        <f t="shared" si="32"/>
        <v>-311.85000000000002</v>
      </c>
    </row>
    <row r="2067" spans="1:6" x14ac:dyDescent="0.2">
      <c r="A2067" s="91">
        <v>45616</v>
      </c>
      <c r="B2067" s="43">
        <v>14458</v>
      </c>
      <c r="C2067" s="17" t="s">
        <v>8</v>
      </c>
      <c r="D2067" s="18">
        <v>311.85000000000002</v>
      </c>
      <c r="E2067" s="19"/>
      <c r="F2067" s="15">
        <f t="shared" si="32"/>
        <v>-311.85000000000002</v>
      </c>
    </row>
    <row r="2068" spans="1:6" x14ac:dyDescent="0.2">
      <c r="A2068" s="91">
        <v>45616</v>
      </c>
      <c r="B2068" s="43">
        <v>14459</v>
      </c>
      <c r="C2068" s="17" t="s">
        <v>8</v>
      </c>
      <c r="D2068" s="18">
        <v>311.85000000000002</v>
      </c>
      <c r="E2068" s="19"/>
      <c r="F2068" s="15">
        <f t="shared" si="32"/>
        <v>-311.85000000000002</v>
      </c>
    </row>
    <row r="2069" spans="1:6" x14ac:dyDescent="0.2">
      <c r="A2069" s="91">
        <v>45616</v>
      </c>
      <c r="B2069" s="43">
        <v>14460</v>
      </c>
      <c r="C2069" s="17" t="s">
        <v>8</v>
      </c>
      <c r="D2069" s="18">
        <v>311.85000000000002</v>
      </c>
      <c r="E2069" s="19"/>
      <c r="F2069" s="15">
        <f t="shared" si="32"/>
        <v>-311.85000000000002</v>
      </c>
    </row>
    <row r="2070" spans="1:6" x14ac:dyDescent="0.2">
      <c r="A2070" s="91">
        <v>45622</v>
      </c>
      <c r="B2070" s="45"/>
      <c r="C2070" s="17" t="s">
        <v>8</v>
      </c>
      <c r="D2070" s="18">
        <v>420</v>
      </c>
      <c r="E2070" s="19"/>
      <c r="F2070" s="15">
        <f t="shared" si="32"/>
        <v>-420</v>
      </c>
    </row>
    <row r="2071" spans="1:6" x14ac:dyDescent="0.2">
      <c r="A2071" s="91">
        <v>45623</v>
      </c>
      <c r="B2071" s="43">
        <v>12778</v>
      </c>
      <c r="C2071" s="17" t="s">
        <v>8</v>
      </c>
      <c r="D2071" s="18">
        <v>311.85000000000002</v>
      </c>
      <c r="E2071" s="19"/>
      <c r="F2071" s="15">
        <f t="shared" si="32"/>
        <v>-311.85000000000002</v>
      </c>
    </row>
    <row r="2072" spans="1:6" x14ac:dyDescent="0.2">
      <c r="A2072" s="91">
        <v>45623</v>
      </c>
      <c r="B2072" s="43">
        <v>12779</v>
      </c>
      <c r="C2072" s="17" t="s">
        <v>8</v>
      </c>
      <c r="D2072" s="18">
        <v>311.85000000000002</v>
      </c>
      <c r="E2072" s="19"/>
      <c r="F2072" s="15">
        <f t="shared" si="32"/>
        <v>-311.85000000000002</v>
      </c>
    </row>
    <row r="2073" spans="1:6" x14ac:dyDescent="0.2">
      <c r="A2073" s="91">
        <v>45624</v>
      </c>
      <c r="B2073" s="45"/>
      <c r="C2073" s="17" t="s">
        <v>8</v>
      </c>
      <c r="D2073" s="18">
        <v>9324</v>
      </c>
      <c r="E2073" s="19"/>
      <c r="F2073" s="15">
        <f t="shared" si="32"/>
        <v>-9324</v>
      </c>
    </row>
    <row r="2074" spans="1:6" x14ac:dyDescent="0.2">
      <c r="A2074" s="91">
        <v>45624</v>
      </c>
      <c r="B2074" s="45"/>
      <c r="C2074" s="17" t="s">
        <v>8</v>
      </c>
      <c r="D2074" s="18">
        <v>9298.7999999999993</v>
      </c>
      <c r="E2074" s="19"/>
      <c r="F2074" s="15">
        <f t="shared" si="32"/>
        <v>-9298.7999999999993</v>
      </c>
    </row>
    <row r="2075" spans="1:6" x14ac:dyDescent="0.2">
      <c r="A2075" s="91">
        <v>45625</v>
      </c>
      <c r="B2075" s="45"/>
      <c r="C2075" s="17" t="s">
        <v>8</v>
      </c>
      <c r="D2075" s="18">
        <v>1050</v>
      </c>
      <c r="E2075" s="19"/>
      <c r="F2075" s="15">
        <f t="shared" si="32"/>
        <v>-1050</v>
      </c>
    </row>
    <row r="2076" spans="1:6" x14ac:dyDescent="0.2">
      <c r="A2076" s="91">
        <v>45659</v>
      </c>
      <c r="B2076" s="45"/>
      <c r="C2076" s="17" t="s">
        <v>227</v>
      </c>
      <c r="D2076" s="18">
        <v>102.9</v>
      </c>
      <c r="E2076" s="19"/>
      <c r="F2076" s="15">
        <f t="shared" si="32"/>
        <v>-102.9</v>
      </c>
    </row>
    <row r="2077" spans="1:6" x14ac:dyDescent="0.2">
      <c r="A2077" s="91">
        <v>45659</v>
      </c>
      <c r="B2077" s="45"/>
      <c r="C2077" s="17" t="s">
        <v>227</v>
      </c>
      <c r="D2077" s="18">
        <v>231</v>
      </c>
      <c r="E2077" s="19"/>
      <c r="F2077" s="15">
        <f t="shared" si="32"/>
        <v>-231</v>
      </c>
    </row>
    <row r="2078" spans="1:6" x14ac:dyDescent="0.2">
      <c r="A2078" s="91">
        <v>45666</v>
      </c>
      <c r="B2078" s="43">
        <v>12495</v>
      </c>
      <c r="C2078" s="17" t="s">
        <v>227</v>
      </c>
      <c r="D2078" s="18">
        <v>311.85000000000002</v>
      </c>
      <c r="E2078" s="19"/>
      <c r="F2078" s="15">
        <f t="shared" si="32"/>
        <v>-311.85000000000002</v>
      </c>
    </row>
    <row r="2079" spans="1:6" x14ac:dyDescent="0.2">
      <c r="A2079" s="91">
        <v>45667</v>
      </c>
      <c r="B2079" s="45"/>
      <c r="C2079" s="17" t="s">
        <v>227</v>
      </c>
      <c r="D2079" s="18">
        <v>231</v>
      </c>
      <c r="E2079" s="19"/>
      <c r="F2079" s="15">
        <f t="shared" si="32"/>
        <v>-231</v>
      </c>
    </row>
    <row r="2080" spans="1:6" x14ac:dyDescent="0.2">
      <c r="A2080" s="91">
        <v>45670</v>
      </c>
      <c r="B2080" s="43">
        <v>13051</v>
      </c>
      <c r="C2080" s="17" t="s">
        <v>227</v>
      </c>
      <c r="D2080" s="18">
        <v>151.19999999999999</v>
      </c>
      <c r="E2080" s="19"/>
      <c r="F2080" s="15">
        <f t="shared" si="32"/>
        <v>-151.19999999999999</v>
      </c>
    </row>
    <row r="2081" spans="1:6" x14ac:dyDescent="0.2">
      <c r="A2081" s="91">
        <v>45670</v>
      </c>
      <c r="B2081" s="43">
        <v>13052</v>
      </c>
      <c r="C2081" s="17" t="s">
        <v>227</v>
      </c>
      <c r="D2081" s="18">
        <v>151.19999999999999</v>
      </c>
      <c r="E2081" s="19"/>
      <c r="F2081" s="15">
        <f t="shared" si="32"/>
        <v>-151.19999999999999</v>
      </c>
    </row>
    <row r="2082" spans="1:6" x14ac:dyDescent="0.2">
      <c r="A2082" s="91">
        <v>45672</v>
      </c>
      <c r="B2082" s="45"/>
      <c r="C2082" s="17" t="s">
        <v>227</v>
      </c>
      <c r="D2082" s="18">
        <v>231</v>
      </c>
      <c r="E2082" s="19"/>
      <c r="F2082" s="15">
        <f t="shared" si="32"/>
        <v>-231</v>
      </c>
    </row>
    <row r="2083" spans="1:6" x14ac:dyDescent="0.2">
      <c r="A2083" s="91">
        <v>45673</v>
      </c>
      <c r="B2083" s="43">
        <v>12503</v>
      </c>
      <c r="C2083" s="17" t="s">
        <v>227</v>
      </c>
      <c r="D2083" s="18">
        <v>151.19999999999999</v>
      </c>
      <c r="E2083" s="19"/>
      <c r="F2083" s="15">
        <f t="shared" si="32"/>
        <v>-151.19999999999999</v>
      </c>
    </row>
    <row r="2084" spans="1:6" x14ac:dyDescent="0.2">
      <c r="A2084" s="91">
        <v>45677</v>
      </c>
      <c r="B2084" s="43">
        <v>13696</v>
      </c>
      <c r="C2084" s="17" t="s">
        <v>227</v>
      </c>
      <c r="D2084" s="18">
        <v>151.19999999999999</v>
      </c>
      <c r="E2084" s="19"/>
      <c r="F2084" s="15">
        <f t="shared" si="32"/>
        <v>-151.19999999999999</v>
      </c>
    </row>
    <row r="2085" spans="1:6" x14ac:dyDescent="0.2">
      <c r="A2085" s="91">
        <v>45677</v>
      </c>
      <c r="B2085" s="43">
        <v>13697</v>
      </c>
      <c r="C2085" s="17" t="s">
        <v>227</v>
      </c>
      <c r="D2085" s="18">
        <v>311.85000000000002</v>
      </c>
      <c r="E2085" s="19"/>
      <c r="F2085" s="15">
        <f t="shared" si="32"/>
        <v>-311.85000000000002</v>
      </c>
    </row>
    <row r="2086" spans="1:6" x14ac:dyDescent="0.2">
      <c r="A2086" s="91">
        <v>45677</v>
      </c>
      <c r="B2086" s="43">
        <v>13698</v>
      </c>
      <c r="C2086" s="17" t="s">
        <v>227</v>
      </c>
      <c r="D2086" s="18">
        <v>311.85000000000002</v>
      </c>
      <c r="E2086" s="19"/>
      <c r="F2086" s="15">
        <f t="shared" si="32"/>
        <v>-311.85000000000002</v>
      </c>
    </row>
    <row r="2087" spans="1:6" x14ac:dyDescent="0.2">
      <c r="A2087" s="91">
        <v>45678</v>
      </c>
      <c r="B2087" s="43">
        <v>11959</v>
      </c>
      <c r="C2087" s="17" t="s">
        <v>227</v>
      </c>
      <c r="D2087" s="18">
        <v>311.85000000000002</v>
      </c>
      <c r="E2087" s="19"/>
      <c r="F2087" s="15">
        <f t="shared" si="32"/>
        <v>-311.85000000000002</v>
      </c>
    </row>
    <row r="2088" spans="1:6" x14ac:dyDescent="0.2">
      <c r="A2088" s="91">
        <v>45679</v>
      </c>
      <c r="B2088" s="51"/>
      <c r="C2088" s="47" t="s">
        <v>227</v>
      </c>
      <c r="D2088" s="48">
        <v>840</v>
      </c>
      <c r="E2088" s="49"/>
      <c r="F2088" s="15">
        <f t="shared" si="32"/>
        <v>-840</v>
      </c>
    </row>
    <row r="2089" spans="1:6" x14ac:dyDescent="0.2">
      <c r="A2089" s="91">
        <v>45680</v>
      </c>
      <c r="B2089" s="50"/>
      <c r="C2089" s="22" t="s">
        <v>227</v>
      </c>
      <c r="D2089" s="23">
        <v>630</v>
      </c>
      <c r="E2089" s="24"/>
      <c r="F2089" s="15">
        <f t="shared" si="32"/>
        <v>-630</v>
      </c>
    </row>
    <row r="2090" spans="1:6" x14ac:dyDescent="0.2">
      <c r="A2090" s="91">
        <v>45681</v>
      </c>
      <c r="B2090" s="45"/>
      <c r="C2090" s="17" t="s">
        <v>227</v>
      </c>
      <c r="D2090" s="18">
        <v>840</v>
      </c>
      <c r="E2090" s="19"/>
      <c r="F2090" s="15">
        <f t="shared" si="32"/>
        <v>-840</v>
      </c>
    </row>
    <row r="2091" spans="1:6" x14ac:dyDescent="0.2">
      <c r="A2091" s="91">
        <v>45681</v>
      </c>
      <c r="B2091" s="43">
        <v>14357</v>
      </c>
      <c r="C2091" s="17" t="s">
        <v>227</v>
      </c>
      <c r="D2091" s="18">
        <v>311.85000000000002</v>
      </c>
      <c r="E2091" s="19"/>
      <c r="F2091" s="15">
        <f t="shared" si="32"/>
        <v>-311.85000000000002</v>
      </c>
    </row>
    <row r="2092" spans="1:6" x14ac:dyDescent="0.2">
      <c r="A2092" s="91">
        <v>45681</v>
      </c>
      <c r="B2092" s="43">
        <v>14358</v>
      </c>
      <c r="C2092" s="17" t="s">
        <v>227</v>
      </c>
      <c r="D2092" s="18">
        <v>311.85000000000002</v>
      </c>
      <c r="E2092" s="19"/>
      <c r="F2092" s="15">
        <f t="shared" si="32"/>
        <v>-311.85000000000002</v>
      </c>
    </row>
    <row r="2093" spans="1:6" x14ac:dyDescent="0.2">
      <c r="A2093" s="91">
        <v>45684</v>
      </c>
      <c r="B2093" s="45"/>
      <c r="C2093" s="17" t="s">
        <v>227</v>
      </c>
      <c r="D2093" s="18">
        <v>420</v>
      </c>
      <c r="E2093" s="19"/>
      <c r="F2093" s="15">
        <f t="shared" si="32"/>
        <v>-420</v>
      </c>
    </row>
    <row r="2094" spans="1:6" x14ac:dyDescent="0.2">
      <c r="A2094" s="91">
        <v>45687</v>
      </c>
      <c r="B2094" s="45"/>
      <c r="C2094" s="17" t="s">
        <v>227</v>
      </c>
      <c r="D2094" s="18">
        <v>8610</v>
      </c>
      <c r="E2094" s="19"/>
      <c r="F2094" s="15">
        <f t="shared" si="32"/>
        <v>-8610</v>
      </c>
    </row>
    <row r="2095" spans="1:6" x14ac:dyDescent="0.2">
      <c r="A2095" s="91">
        <v>45687</v>
      </c>
      <c r="B2095" s="45"/>
      <c r="C2095" s="17" t="s">
        <v>227</v>
      </c>
      <c r="D2095" s="18">
        <v>9324</v>
      </c>
      <c r="E2095" s="19"/>
      <c r="F2095" s="15">
        <f t="shared" si="32"/>
        <v>-9324</v>
      </c>
    </row>
    <row r="2096" spans="1:6" x14ac:dyDescent="0.2">
      <c r="A2096" s="91">
        <v>45687</v>
      </c>
      <c r="B2096" s="43">
        <v>11878</v>
      </c>
      <c r="C2096" s="17" t="s">
        <v>227</v>
      </c>
      <c r="D2096" s="18">
        <v>151.19999999999999</v>
      </c>
      <c r="E2096" s="19"/>
      <c r="F2096" s="15">
        <f t="shared" si="32"/>
        <v>-151.19999999999999</v>
      </c>
    </row>
    <row r="2097" spans="1:6" x14ac:dyDescent="0.2">
      <c r="A2097" s="91">
        <v>45687</v>
      </c>
      <c r="B2097" s="43">
        <v>11879</v>
      </c>
      <c r="C2097" s="17" t="s">
        <v>227</v>
      </c>
      <c r="D2097" s="18">
        <v>151.19999999999999</v>
      </c>
      <c r="E2097" s="19"/>
      <c r="F2097" s="15">
        <f t="shared" si="32"/>
        <v>-151.19999999999999</v>
      </c>
    </row>
    <row r="2098" spans="1:6" x14ac:dyDescent="0.2">
      <c r="A2098" s="91">
        <v>45691</v>
      </c>
      <c r="B2098" s="45"/>
      <c r="C2098" s="17" t="s">
        <v>227</v>
      </c>
      <c r="D2098" s="18">
        <v>102.9</v>
      </c>
      <c r="E2098" s="19"/>
      <c r="F2098" s="15">
        <f t="shared" si="32"/>
        <v>-102.9</v>
      </c>
    </row>
    <row r="2099" spans="1:6" x14ac:dyDescent="0.2">
      <c r="A2099" s="91">
        <v>45694</v>
      </c>
      <c r="B2099" s="54"/>
      <c r="C2099" s="33" t="s">
        <v>227</v>
      </c>
      <c r="D2099" s="64">
        <v>2351.09</v>
      </c>
      <c r="E2099" s="35"/>
      <c r="F2099" s="15">
        <f t="shared" si="32"/>
        <v>-2351.09</v>
      </c>
    </row>
    <row r="2100" spans="1:6" x14ac:dyDescent="0.2">
      <c r="A2100" s="92">
        <v>45699</v>
      </c>
      <c r="B2100" s="70">
        <v>12265</v>
      </c>
      <c r="C2100" s="47" t="s">
        <v>227</v>
      </c>
      <c r="D2100" s="63">
        <v>151.19999999999999</v>
      </c>
      <c r="E2100" s="49"/>
      <c r="F2100" s="15">
        <f t="shared" si="32"/>
        <v>-151.19999999999999</v>
      </c>
    </row>
    <row r="2101" spans="1:6" x14ac:dyDescent="0.2">
      <c r="A2101" s="92">
        <v>45700</v>
      </c>
      <c r="B2101" s="71"/>
      <c r="C2101" s="47" t="s">
        <v>227</v>
      </c>
      <c r="D2101" s="63">
        <v>231</v>
      </c>
      <c r="E2101" s="49"/>
      <c r="F2101" s="15">
        <f t="shared" si="32"/>
        <v>-231</v>
      </c>
    </row>
    <row r="2102" spans="1:6" x14ac:dyDescent="0.2">
      <c r="A2102" s="92">
        <v>45701</v>
      </c>
      <c r="B2102" s="71"/>
      <c r="C2102" s="47" t="s">
        <v>227</v>
      </c>
      <c r="D2102" s="63">
        <v>840</v>
      </c>
      <c r="E2102" s="49"/>
      <c r="F2102" s="15">
        <f t="shared" si="32"/>
        <v>-840</v>
      </c>
    </row>
    <row r="2103" spans="1:6" x14ac:dyDescent="0.2">
      <c r="A2103" s="91">
        <v>45702</v>
      </c>
      <c r="B2103" s="72">
        <v>15122</v>
      </c>
      <c r="C2103" s="55" t="s">
        <v>227</v>
      </c>
      <c r="D2103" s="8">
        <v>151.19999999999999</v>
      </c>
      <c r="E2103" s="7"/>
      <c r="F2103" s="15">
        <f t="shared" si="32"/>
        <v>-151.19999999999999</v>
      </c>
    </row>
    <row r="2104" spans="1:6" x14ac:dyDescent="0.2">
      <c r="A2104" s="91">
        <v>45702</v>
      </c>
      <c r="B2104" s="60">
        <v>15123</v>
      </c>
      <c r="C2104" s="61" t="s">
        <v>227</v>
      </c>
      <c r="D2104" s="13">
        <v>151.19999999999999</v>
      </c>
      <c r="E2104" s="14"/>
      <c r="F2104" s="15">
        <f t="shared" si="32"/>
        <v>-151.19999999999999</v>
      </c>
    </row>
    <row r="2105" spans="1:6" x14ac:dyDescent="0.2">
      <c r="A2105" s="91">
        <v>45702</v>
      </c>
      <c r="B2105" s="43">
        <v>15124</v>
      </c>
      <c r="C2105" s="17" t="s">
        <v>227</v>
      </c>
      <c r="D2105" s="18">
        <v>151.19999999999999</v>
      </c>
      <c r="E2105" s="19"/>
      <c r="F2105" s="15">
        <f t="shared" si="32"/>
        <v>-151.19999999999999</v>
      </c>
    </row>
    <row r="2106" spans="1:6" x14ac:dyDescent="0.2">
      <c r="A2106" s="91">
        <v>45705</v>
      </c>
      <c r="B2106" s="43">
        <v>13253</v>
      </c>
      <c r="C2106" s="17" t="s">
        <v>227</v>
      </c>
      <c r="D2106" s="18">
        <v>151.19999999999999</v>
      </c>
      <c r="E2106" s="19"/>
      <c r="F2106" s="15">
        <f t="shared" si="32"/>
        <v>-151.19999999999999</v>
      </c>
    </row>
    <row r="2107" spans="1:6" x14ac:dyDescent="0.2">
      <c r="A2107" s="91">
        <v>45705</v>
      </c>
      <c r="B2107" s="43">
        <v>13254</v>
      </c>
      <c r="C2107" s="17" t="s">
        <v>227</v>
      </c>
      <c r="D2107" s="18">
        <v>311.85000000000002</v>
      </c>
      <c r="E2107" s="19"/>
      <c r="F2107" s="15">
        <f t="shared" si="32"/>
        <v>-311.85000000000002</v>
      </c>
    </row>
    <row r="2108" spans="1:6" x14ac:dyDescent="0.2">
      <c r="A2108" s="91">
        <v>45705</v>
      </c>
      <c r="B2108" s="43">
        <v>13255</v>
      </c>
      <c r="C2108" s="17" t="s">
        <v>227</v>
      </c>
      <c r="D2108" s="18">
        <v>311.85000000000002</v>
      </c>
      <c r="E2108" s="19"/>
      <c r="F2108" s="15">
        <f t="shared" si="32"/>
        <v>-311.85000000000002</v>
      </c>
    </row>
    <row r="2109" spans="1:6" x14ac:dyDescent="0.2">
      <c r="A2109" s="91">
        <v>45705</v>
      </c>
      <c r="B2109" s="43">
        <v>13256</v>
      </c>
      <c r="C2109" s="17" t="s">
        <v>227</v>
      </c>
      <c r="D2109" s="18">
        <v>311.85000000000002</v>
      </c>
      <c r="E2109" s="19"/>
      <c r="F2109" s="15">
        <f t="shared" si="32"/>
        <v>-311.85000000000002</v>
      </c>
    </row>
    <row r="2110" spans="1:6" x14ac:dyDescent="0.2">
      <c r="A2110" s="91">
        <v>45707</v>
      </c>
      <c r="B2110" s="45"/>
      <c r="C2110" s="17" t="s">
        <v>227</v>
      </c>
      <c r="D2110" s="18">
        <v>840</v>
      </c>
      <c r="E2110" s="19"/>
      <c r="F2110" s="15">
        <f t="shared" si="32"/>
        <v>-840</v>
      </c>
    </row>
    <row r="2111" spans="1:6" x14ac:dyDescent="0.2">
      <c r="A2111" s="91">
        <v>45707</v>
      </c>
      <c r="B2111" s="43">
        <v>11628</v>
      </c>
      <c r="C2111" s="17" t="s">
        <v>227</v>
      </c>
      <c r="D2111" s="18">
        <v>311.85000000000002</v>
      </c>
      <c r="E2111" s="19"/>
      <c r="F2111" s="15">
        <f t="shared" si="32"/>
        <v>-311.85000000000002</v>
      </c>
    </row>
    <row r="2112" spans="1:6" x14ac:dyDescent="0.2">
      <c r="A2112" s="91">
        <v>45708</v>
      </c>
      <c r="B2112" s="45"/>
      <c r="C2112" s="17" t="s">
        <v>227</v>
      </c>
      <c r="D2112" s="18">
        <v>840</v>
      </c>
      <c r="E2112" s="19"/>
      <c r="F2112" s="15">
        <f t="shared" si="32"/>
        <v>-840</v>
      </c>
    </row>
    <row r="2113" spans="1:6" x14ac:dyDescent="0.2">
      <c r="A2113" s="91">
        <v>45709</v>
      </c>
      <c r="B2113" s="45"/>
      <c r="C2113" s="17" t="s">
        <v>227</v>
      </c>
      <c r="D2113" s="18">
        <v>378</v>
      </c>
      <c r="E2113" s="19"/>
      <c r="F2113" s="15">
        <f t="shared" si="32"/>
        <v>-378</v>
      </c>
    </row>
    <row r="2114" spans="1:6" x14ac:dyDescent="0.2">
      <c r="A2114" s="91">
        <v>45709</v>
      </c>
      <c r="B2114" s="43">
        <v>15377</v>
      </c>
      <c r="C2114" s="17" t="s">
        <v>227</v>
      </c>
      <c r="D2114" s="18">
        <v>151.19999999999999</v>
      </c>
      <c r="E2114" s="19"/>
      <c r="F2114" s="15">
        <f t="shared" si="32"/>
        <v>-151.19999999999999</v>
      </c>
    </row>
    <row r="2115" spans="1:6" x14ac:dyDescent="0.2">
      <c r="A2115" s="91">
        <v>45709</v>
      </c>
      <c r="B2115" s="43">
        <v>15378</v>
      </c>
      <c r="C2115" s="17" t="s">
        <v>227</v>
      </c>
      <c r="D2115" s="18">
        <v>151.19999999999999</v>
      </c>
      <c r="E2115" s="19"/>
      <c r="F2115" s="15">
        <f t="shared" ref="F2115:F2178" si="33">+E2115-D2115</f>
        <v>-151.19999999999999</v>
      </c>
    </row>
    <row r="2116" spans="1:6" x14ac:dyDescent="0.2">
      <c r="A2116" s="91">
        <v>45709</v>
      </c>
      <c r="B2116" s="43">
        <v>15379</v>
      </c>
      <c r="C2116" s="17" t="s">
        <v>227</v>
      </c>
      <c r="D2116" s="18">
        <v>311.85000000000002</v>
      </c>
      <c r="E2116" s="19"/>
      <c r="F2116" s="15">
        <f t="shared" si="33"/>
        <v>-311.85000000000002</v>
      </c>
    </row>
    <row r="2117" spans="1:6" x14ac:dyDescent="0.2">
      <c r="A2117" s="91">
        <v>45712</v>
      </c>
      <c r="B2117" s="43">
        <v>13188</v>
      </c>
      <c r="C2117" s="17" t="s">
        <v>227</v>
      </c>
      <c r="D2117" s="18">
        <v>151.19999999999999</v>
      </c>
      <c r="E2117" s="19"/>
      <c r="F2117" s="15">
        <f t="shared" si="33"/>
        <v>-151.19999999999999</v>
      </c>
    </row>
    <row r="2118" spans="1:6" x14ac:dyDescent="0.2">
      <c r="A2118" s="91">
        <v>45715</v>
      </c>
      <c r="B2118" s="45"/>
      <c r="C2118" s="17" t="s">
        <v>227</v>
      </c>
      <c r="D2118" s="18">
        <v>9324</v>
      </c>
      <c r="E2118" s="19"/>
      <c r="F2118" s="15">
        <f t="shared" si="33"/>
        <v>-9324</v>
      </c>
    </row>
    <row r="2119" spans="1:6" x14ac:dyDescent="0.2">
      <c r="A2119" s="91">
        <v>45715</v>
      </c>
      <c r="B2119" s="45"/>
      <c r="C2119" s="17" t="s">
        <v>227</v>
      </c>
      <c r="D2119" s="18">
        <v>7060.2</v>
      </c>
      <c r="E2119" s="19"/>
      <c r="F2119" s="15">
        <f t="shared" si="33"/>
        <v>-7060.2</v>
      </c>
    </row>
    <row r="2120" spans="1:6" x14ac:dyDescent="0.2">
      <c r="A2120" s="91">
        <v>45716</v>
      </c>
      <c r="B2120" s="43">
        <v>16873</v>
      </c>
      <c r="C2120" s="17" t="s">
        <v>227</v>
      </c>
      <c r="D2120" s="18">
        <v>66.150000000000006</v>
      </c>
      <c r="E2120" s="19"/>
      <c r="F2120" s="15">
        <f t="shared" si="33"/>
        <v>-66.150000000000006</v>
      </c>
    </row>
    <row r="2121" spans="1:6" x14ac:dyDescent="0.2">
      <c r="A2121" s="91">
        <v>45716</v>
      </c>
      <c r="B2121" s="46">
        <v>16874</v>
      </c>
      <c r="C2121" s="58" t="s">
        <v>227</v>
      </c>
      <c r="D2121" s="48">
        <v>151.19999999999999</v>
      </c>
      <c r="E2121" s="49"/>
      <c r="F2121" s="15">
        <f t="shared" si="33"/>
        <v>-151.19999999999999</v>
      </c>
    </row>
    <row r="2122" spans="1:6" x14ac:dyDescent="0.2">
      <c r="A2122" s="91">
        <v>45716</v>
      </c>
      <c r="B2122" s="44">
        <v>16875</v>
      </c>
      <c r="C2122" s="59" t="s">
        <v>227</v>
      </c>
      <c r="D2122" s="23">
        <v>151.19999999999999</v>
      </c>
      <c r="E2122" s="24"/>
      <c r="F2122" s="15">
        <f t="shared" si="33"/>
        <v>-151.19999999999999</v>
      </c>
    </row>
    <row r="2123" spans="1:6" x14ac:dyDescent="0.2">
      <c r="A2123" s="91">
        <v>45716</v>
      </c>
      <c r="B2123" s="43">
        <v>16876</v>
      </c>
      <c r="C2123" s="17" t="s">
        <v>227</v>
      </c>
      <c r="D2123" s="18">
        <v>151.19999999999999</v>
      </c>
      <c r="E2123" s="19"/>
      <c r="F2123" s="15">
        <f t="shared" si="33"/>
        <v>-151.19999999999999</v>
      </c>
    </row>
    <row r="2124" spans="1:6" x14ac:dyDescent="0.2">
      <c r="A2124" s="91">
        <v>45716</v>
      </c>
      <c r="B2124" s="43">
        <v>16877</v>
      </c>
      <c r="C2124" s="17" t="s">
        <v>227</v>
      </c>
      <c r="D2124" s="18">
        <v>311.85000000000002</v>
      </c>
      <c r="E2124" s="19"/>
      <c r="F2124" s="15">
        <f t="shared" si="33"/>
        <v>-311.85000000000002</v>
      </c>
    </row>
    <row r="2125" spans="1:6" x14ac:dyDescent="0.2">
      <c r="A2125" s="91">
        <v>45716</v>
      </c>
      <c r="B2125" s="43">
        <v>16878</v>
      </c>
      <c r="C2125" s="17" t="s">
        <v>227</v>
      </c>
      <c r="D2125" s="18">
        <v>311.85000000000002</v>
      </c>
      <c r="E2125" s="19"/>
      <c r="F2125" s="15">
        <f t="shared" si="33"/>
        <v>-311.85000000000002</v>
      </c>
    </row>
    <row r="2126" spans="1:6" x14ac:dyDescent="0.2">
      <c r="A2126" s="91">
        <v>45716</v>
      </c>
      <c r="B2126" s="43">
        <v>16879</v>
      </c>
      <c r="C2126" s="17" t="s">
        <v>227</v>
      </c>
      <c r="D2126" s="18">
        <v>311.85000000000002</v>
      </c>
      <c r="E2126" s="19"/>
      <c r="F2126" s="15">
        <f t="shared" si="33"/>
        <v>-311.85000000000002</v>
      </c>
    </row>
    <row r="2127" spans="1:6" x14ac:dyDescent="0.2">
      <c r="A2127" s="91">
        <v>45716</v>
      </c>
      <c r="B2127" s="43">
        <v>16880</v>
      </c>
      <c r="C2127" s="17" t="s">
        <v>227</v>
      </c>
      <c r="D2127" s="18">
        <v>311.85000000000002</v>
      </c>
      <c r="E2127" s="19"/>
      <c r="F2127" s="15">
        <f t="shared" si="33"/>
        <v>-311.85000000000002</v>
      </c>
    </row>
    <row r="2128" spans="1:6" x14ac:dyDescent="0.2">
      <c r="A2128" s="91">
        <v>45716</v>
      </c>
      <c r="B2128" s="43">
        <v>16881</v>
      </c>
      <c r="C2128" s="17" t="s">
        <v>227</v>
      </c>
      <c r="D2128" s="18">
        <v>311.85000000000002</v>
      </c>
      <c r="E2128" s="19"/>
      <c r="F2128" s="15">
        <f t="shared" si="33"/>
        <v>-311.85000000000002</v>
      </c>
    </row>
    <row r="2129" spans="1:6" x14ac:dyDescent="0.2">
      <c r="A2129" s="91">
        <v>45721</v>
      </c>
      <c r="B2129" s="45"/>
      <c r="C2129" s="17" t="s">
        <v>227</v>
      </c>
      <c r="D2129" s="18">
        <v>205.8</v>
      </c>
      <c r="E2129" s="19"/>
      <c r="F2129" s="15">
        <f t="shared" si="33"/>
        <v>-205.8</v>
      </c>
    </row>
    <row r="2130" spans="1:6" x14ac:dyDescent="0.2">
      <c r="A2130" s="91">
        <v>45721</v>
      </c>
      <c r="B2130" s="45"/>
      <c r="C2130" s="17" t="s">
        <v>227</v>
      </c>
      <c r="D2130" s="18">
        <v>119.33</v>
      </c>
      <c r="E2130" s="19"/>
      <c r="F2130" s="15">
        <f t="shared" si="33"/>
        <v>-119.33</v>
      </c>
    </row>
    <row r="2131" spans="1:6" x14ac:dyDescent="0.2">
      <c r="A2131" s="91">
        <v>45722</v>
      </c>
      <c r="B2131" s="45"/>
      <c r="C2131" s="17" t="s">
        <v>227</v>
      </c>
      <c r="D2131" s="18">
        <v>4924.24</v>
      </c>
      <c r="E2131" s="19"/>
      <c r="F2131" s="15">
        <f t="shared" si="33"/>
        <v>-4924.24</v>
      </c>
    </row>
    <row r="2132" spans="1:6" x14ac:dyDescent="0.2">
      <c r="A2132" s="91">
        <v>45722</v>
      </c>
      <c r="B2132" s="45"/>
      <c r="C2132" s="17" t="s">
        <v>227</v>
      </c>
      <c r="D2132" s="18">
        <v>242.03</v>
      </c>
      <c r="E2132" s="19"/>
      <c r="F2132" s="15">
        <f t="shared" si="33"/>
        <v>-242.03</v>
      </c>
    </row>
    <row r="2133" spans="1:6" x14ac:dyDescent="0.2">
      <c r="A2133" s="91">
        <v>45723</v>
      </c>
      <c r="B2133" s="43">
        <v>14608</v>
      </c>
      <c r="C2133" s="17" t="s">
        <v>227</v>
      </c>
      <c r="D2133" s="18">
        <v>311.85000000000002</v>
      </c>
      <c r="E2133" s="19"/>
      <c r="F2133" s="15">
        <f t="shared" si="33"/>
        <v>-311.85000000000002</v>
      </c>
    </row>
    <row r="2134" spans="1:6" x14ac:dyDescent="0.2">
      <c r="A2134" s="91">
        <v>45727</v>
      </c>
      <c r="B2134" s="45"/>
      <c r="C2134" s="17" t="s">
        <v>227</v>
      </c>
      <c r="D2134" s="18">
        <v>5040</v>
      </c>
      <c r="E2134" s="19"/>
      <c r="F2134" s="15">
        <f t="shared" si="33"/>
        <v>-5040</v>
      </c>
    </row>
    <row r="2135" spans="1:6" x14ac:dyDescent="0.2">
      <c r="A2135" s="91">
        <v>45730</v>
      </c>
      <c r="B2135" s="43">
        <v>15732</v>
      </c>
      <c r="C2135" s="17" t="s">
        <v>227</v>
      </c>
      <c r="D2135" s="18">
        <v>66.150000000000006</v>
      </c>
      <c r="E2135" s="19"/>
      <c r="F2135" s="15">
        <f t="shared" si="33"/>
        <v>-66.150000000000006</v>
      </c>
    </row>
    <row r="2136" spans="1:6" x14ac:dyDescent="0.2">
      <c r="A2136" s="91">
        <v>45730</v>
      </c>
      <c r="B2136" s="43">
        <v>15733</v>
      </c>
      <c r="C2136" s="17" t="s">
        <v>227</v>
      </c>
      <c r="D2136" s="18">
        <v>151.19999999999999</v>
      </c>
      <c r="E2136" s="19"/>
      <c r="F2136" s="15">
        <f t="shared" si="33"/>
        <v>-151.19999999999999</v>
      </c>
    </row>
    <row r="2137" spans="1:6" x14ac:dyDescent="0.2">
      <c r="A2137" s="91">
        <v>45730</v>
      </c>
      <c r="B2137" s="43">
        <v>15734</v>
      </c>
      <c r="C2137" s="17" t="s">
        <v>227</v>
      </c>
      <c r="D2137" s="18">
        <v>311.85000000000002</v>
      </c>
      <c r="E2137" s="19"/>
      <c r="F2137" s="15">
        <f t="shared" si="33"/>
        <v>-311.85000000000002</v>
      </c>
    </row>
    <row r="2138" spans="1:6" x14ac:dyDescent="0.2">
      <c r="A2138" s="91">
        <v>45730</v>
      </c>
      <c r="B2138" s="43">
        <v>15735</v>
      </c>
      <c r="C2138" s="17" t="s">
        <v>227</v>
      </c>
      <c r="D2138" s="18">
        <v>311.85000000000002</v>
      </c>
      <c r="E2138" s="19"/>
      <c r="F2138" s="15">
        <f t="shared" si="33"/>
        <v>-311.85000000000002</v>
      </c>
    </row>
    <row r="2139" spans="1:6" x14ac:dyDescent="0.2">
      <c r="A2139" s="91">
        <v>45733</v>
      </c>
      <c r="B2139" s="45"/>
      <c r="C2139" s="17" t="s">
        <v>227</v>
      </c>
      <c r="D2139" s="18">
        <v>277.2</v>
      </c>
      <c r="E2139" s="19"/>
      <c r="F2139" s="15">
        <f t="shared" si="33"/>
        <v>-277.2</v>
      </c>
    </row>
    <row r="2140" spans="1:6" x14ac:dyDescent="0.2">
      <c r="A2140" s="91">
        <v>45734</v>
      </c>
      <c r="B2140" s="45"/>
      <c r="C2140" s="17" t="s">
        <v>227</v>
      </c>
      <c r="D2140" s="18">
        <v>277.2</v>
      </c>
      <c r="E2140" s="19"/>
      <c r="F2140" s="15">
        <f t="shared" si="33"/>
        <v>-277.2</v>
      </c>
    </row>
    <row r="2141" spans="1:6" x14ac:dyDescent="0.2">
      <c r="A2141" s="91">
        <v>45735</v>
      </c>
      <c r="B2141" s="43">
        <v>12690</v>
      </c>
      <c r="C2141" s="17" t="s">
        <v>227</v>
      </c>
      <c r="D2141" s="18">
        <v>311.85000000000002</v>
      </c>
      <c r="E2141" s="19"/>
      <c r="F2141" s="15">
        <f t="shared" si="33"/>
        <v>-311.85000000000002</v>
      </c>
    </row>
    <row r="2142" spans="1:6" x14ac:dyDescent="0.2">
      <c r="A2142" s="91">
        <v>45735</v>
      </c>
      <c r="B2142" s="43">
        <v>12691</v>
      </c>
      <c r="C2142" s="17" t="s">
        <v>227</v>
      </c>
      <c r="D2142" s="18">
        <v>311.85000000000002</v>
      </c>
      <c r="E2142" s="19"/>
      <c r="F2142" s="15">
        <f t="shared" si="33"/>
        <v>-311.85000000000002</v>
      </c>
    </row>
    <row r="2143" spans="1:6" x14ac:dyDescent="0.2">
      <c r="A2143" s="91">
        <v>45736</v>
      </c>
      <c r="B2143" s="45"/>
      <c r="C2143" s="17" t="s">
        <v>227</v>
      </c>
      <c r="D2143" s="18">
        <v>840</v>
      </c>
      <c r="E2143" s="19"/>
      <c r="F2143" s="15">
        <f t="shared" si="33"/>
        <v>-840</v>
      </c>
    </row>
    <row r="2144" spans="1:6" x14ac:dyDescent="0.2">
      <c r="A2144" s="91">
        <v>45737</v>
      </c>
      <c r="B2144" s="45"/>
      <c r="C2144" s="17" t="s">
        <v>227</v>
      </c>
      <c r="D2144" s="18">
        <v>840</v>
      </c>
      <c r="E2144" s="19"/>
      <c r="F2144" s="15">
        <f t="shared" si="33"/>
        <v>-840</v>
      </c>
    </row>
    <row r="2145" spans="1:6" x14ac:dyDescent="0.2">
      <c r="A2145" s="91">
        <v>45742</v>
      </c>
      <c r="B2145" s="43">
        <v>13357</v>
      </c>
      <c r="C2145" s="17" t="s">
        <v>227</v>
      </c>
      <c r="D2145" s="18">
        <v>151.19999999999999</v>
      </c>
      <c r="E2145" s="19"/>
      <c r="F2145" s="15">
        <f t="shared" si="33"/>
        <v>-151.19999999999999</v>
      </c>
    </row>
    <row r="2146" spans="1:6" x14ac:dyDescent="0.2">
      <c r="A2146" s="91">
        <v>45742</v>
      </c>
      <c r="B2146" s="43">
        <v>13358</v>
      </c>
      <c r="C2146" s="17" t="s">
        <v>227</v>
      </c>
      <c r="D2146" s="18">
        <v>151.19999999999999</v>
      </c>
      <c r="E2146" s="19"/>
      <c r="F2146" s="15">
        <f t="shared" si="33"/>
        <v>-151.19999999999999</v>
      </c>
    </row>
    <row r="2147" spans="1:6" x14ac:dyDescent="0.2">
      <c r="A2147" s="91">
        <v>45742</v>
      </c>
      <c r="B2147" s="43">
        <v>13359</v>
      </c>
      <c r="C2147" s="17" t="s">
        <v>227</v>
      </c>
      <c r="D2147" s="18">
        <v>311.85000000000002</v>
      </c>
      <c r="E2147" s="19"/>
      <c r="F2147" s="15">
        <f t="shared" si="33"/>
        <v>-311.85000000000002</v>
      </c>
    </row>
    <row r="2148" spans="1:6" x14ac:dyDescent="0.2">
      <c r="A2148" s="91">
        <v>45742</v>
      </c>
      <c r="B2148" s="43">
        <v>13360</v>
      </c>
      <c r="C2148" s="17" t="s">
        <v>227</v>
      </c>
      <c r="D2148" s="18">
        <v>311.85000000000002</v>
      </c>
      <c r="E2148" s="19"/>
      <c r="F2148" s="15">
        <f t="shared" si="33"/>
        <v>-311.85000000000002</v>
      </c>
    </row>
    <row r="2149" spans="1:6" x14ac:dyDescent="0.2">
      <c r="A2149" s="91">
        <v>45742</v>
      </c>
      <c r="B2149" s="43">
        <v>13361</v>
      </c>
      <c r="C2149" s="17" t="s">
        <v>227</v>
      </c>
      <c r="D2149" s="18">
        <v>311.85000000000002</v>
      </c>
      <c r="E2149" s="19"/>
      <c r="F2149" s="15">
        <f t="shared" si="33"/>
        <v>-311.85000000000002</v>
      </c>
    </row>
    <row r="2150" spans="1:6" x14ac:dyDescent="0.2">
      <c r="A2150" s="91">
        <v>45743</v>
      </c>
      <c r="B2150" s="45"/>
      <c r="C2150" s="17" t="s">
        <v>227</v>
      </c>
      <c r="D2150" s="18">
        <v>840</v>
      </c>
      <c r="E2150" s="19"/>
      <c r="F2150" s="15">
        <f t="shared" si="33"/>
        <v>-840</v>
      </c>
    </row>
    <row r="2151" spans="1:6" x14ac:dyDescent="0.2">
      <c r="A2151" s="91">
        <v>45744</v>
      </c>
      <c r="B2151" s="45"/>
      <c r="C2151" s="17" t="s">
        <v>227</v>
      </c>
      <c r="D2151" s="18">
        <v>4410</v>
      </c>
      <c r="E2151" s="19"/>
      <c r="F2151" s="15">
        <f t="shared" si="33"/>
        <v>-4410</v>
      </c>
    </row>
    <row r="2152" spans="1:6" x14ac:dyDescent="0.2">
      <c r="A2152" s="91">
        <v>45744</v>
      </c>
      <c r="B2152" s="45"/>
      <c r="C2152" s="17" t="s">
        <v>227</v>
      </c>
      <c r="D2152" s="18">
        <v>11193</v>
      </c>
      <c r="E2152" s="19"/>
      <c r="F2152" s="15">
        <f t="shared" si="33"/>
        <v>-11193</v>
      </c>
    </row>
    <row r="2153" spans="1:6" x14ac:dyDescent="0.2">
      <c r="A2153" s="91">
        <v>45744</v>
      </c>
      <c r="B2153" s="45"/>
      <c r="C2153" s="17" t="s">
        <v>227</v>
      </c>
      <c r="D2153" s="18">
        <v>11790.45</v>
      </c>
      <c r="E2153" s="19"/>
      <c r="F2153" s="15">
        <f t="shared" si="33"/>
        <v>-11790.45</v>
      </c>
    </row>
    <row r="2154" spans="1:6" x14ac:dyDescent="0.2">
      <c r="A2154" s="91">
        <v>45744</v>
      </c>
      <c r="B2154" s="43">
        <v>16924</v>
      </c>
      <c r="C2154" s="17" t="s">
        <v>227</v>
      </c>
      <c r="D2154" s="18">
        <v>66.150000000000006</v>
      </c>
      <c r="E2154" s="19"/>
      <c r="F2154" s="15">
        <f t="shared" si="33"/>
        <v>-66.150000000000006</v>
      </c>
    </row>
    <row r="2155" spans="1:6" x14ac:dyDescent="0.2">
      <c r="A2155" s="91">
        <v>45744</v>
      </c>
      <c r="B2155" s="43">
        <v>16925</v>
      </c>
      <c r="C2155" s="17" t="s">
        <v>227</v>
      </c>
      <c r="D2155" s="18">
        <v>151.19999999999999</v>
      </c>
      <c r="E2155" s="19"/>
      <c r="F2155" s="15">
        <f t="shared" si="33"/>
        <v>-151.19999999999999</v>
      </c>
    </row>
    <row r="2156" spans="1:6" x14ac:dyDescent="0.2">
      <c r="A2156" s="91">
        <v>45744</v>
      </c>
      <c r="B2156" s="43">
        <v>16926</v>
      </c>
      <c r="C2156" s="17" t="s">
        <v>227</v>
      </c>
      <c r="D2156" s="18">
        <v>311.85000000000002</v>
      </c>
      <c r="E2156" s="19"/>
      <c r="F2156" s="15">
        <f t="shared" si="33"/>
        <v>-311.85000000000002</v>
      </c>
    </row>
    <row r="2157" spans="1:6" x14ac:dyDescent="0.2">
      <c r="A2157" s="91">
        <v>45747</v>
      </c>
      <c r="B2157" s="45"/>
      <c r="C2157" s="17" t="s">
        <v>227</v>
      </c>
      <c r="D2157" s="18">
        <v>85091.62</v>
      </c>
      <c r="E2157" s="19"/>
      <c r="F2157" s="15">
        <f t="shared" si="33"/>
        <v>-85091.62</v>
      </c>
    </row>
    <row r="2158" spans="1:6" x14ac:dyDescent="0.2">
      <c r="A2158" s="91">
        <v>45747</v>
      </c>
      <c r="B2158" s="43">
        <v>14502</v>
      </c>
      <c r="C2158" s="17" t="s">
        <v>227</v>
      </c>
      <c r="D2158" s="18">
        <v>311.85000000000002</v>
      </c>
      <c r="E2158" s="19"/>
      <c r="F2158" s="15">
        <f t="shared" si="33"/>
        <v>-311.85000000000002</v>
      </c>
    </row>
    <row r="2159" spans="1:6" x14ac:dyDescent="0.2">
      <c r="A2159" s="91">
        <v>45748</v>
      </c>
      <c r="B2159" s="45"/>
      <c r="C2159" s="17" t="s">
        <v>227</v>
      </c>
      <c r="D2159" s="18">
        <v>268.8</v>
      </c>
      <c r="E2159" s="19"/>
      <c r="F2159" s="15">
        <f t="shared" si="33"/>
        <v>-268.8</v>
      </c>
    </row>
    <row r="2160" spans="1:6" x14ac:dyDescent="0.2">
      <c r="A2160" s="91">
        <v>45754</v>
      </c>
      <c r="B2160" s="43">
        <v>12339</v>
      </c>
      <c r="C2160" s="17" t="s">
        <v>227</v>
      </c>
      <c r="D2160" s="18">
        <v>311.85000000000002</v>
      </c>
      <c r="E2160" s="19"/>
      <c r="F2160" s="15">
        <f t="shared" si="33"/>
        <v>-311.85000000000002</v>
      </c>
    </row>
    <row r="2161" spans="1:6" x14ac:dyDescent="0.2">
      <c r="A2161" s="91">
        <v>45754</v>
      </c>
      <c r="B2161" s="43">
        <v>12340</v>
      </c>
      <c r="C2161" s="17" t="s">
        <v>227</v>
      </c>
      <c r="D2161" s="18">
        <v>311.85000000000002</v>
      </c>
      <c r="E2161" s="19"/>
      <c r="F2161" s="15">
        <f t="shared" si="33"/>
        <v>-311.85000000000002</v>
      </c>
    </row>
    <row r="2162" spans="1:6" x14ac:dyDescent="0.2">
      <c r="A2162" s="91">
        <v>45757</v>
      </c>
      <c r="B2162" s="46">
        <v>13984</v>
      </c>
      <c r="C2162" s="58" t="s">
        <v>227</v>
      </c>
      <c r="D2162" s="48">
        <v>311.85000000000002</v>
      </c>
      <c r="E2162" s="49"/>
      <c r="F2162" s="15">
        <f t="shared" si="33"/>
        <v>-311.85000000000002</v>
      </c>
    </row>
    <row r="2163" spans="1:6" x14ac:dyDescent="0.2">
      <c r="A2163" s="91">
        <v>45763</v>
      </c>
      <c r="B2163" s="50"/>
      <c r="C2163" s="59" t="s">
        <v>227</v>
      </c>
      <c r="D2163" s="23">
        <v>277.2</v>
      </c>
      <c r="E2163" s="24"/>
      <c r="F2163" s="15">
        <f t="shared" si="33"/>
        <v>-277.2</v>
      </c>
    </row>
    <row r="2164" spans="1:6" x14ac:dyDescent="0.2">
      <c r="A2164" s="91">
        <v>45768</v>
      </c>
      <c r="B2164" s="45"/>
      <c r="C2164" s="17" t="s">
        <v>227</v>
      </c>
      <c r="D2164" s="18">
        <v>277.2</v>
      </c>
      <c r="E2164" s="19"/>
      <c r="F2164" s="15">
        <f t="shared" si="33"/>
        <v>-277.2</v>
      </c>
    </row>
    <row r="2165" spans="1:6" x14ac:dyDescent="0.2">
      <c r="A2165" s="91">
        <v>45769</v>
      </c>
      <c r="B2165" s="45"/>
      <c r="C2165" s="17" t="s">
        <v>227</v>
      </c>
      <c r="D2165" s="18">
        <v>840</v>
      </c>
      <c r="E2165" s="19"/>
      <c r="F2165" s="15">
        <f t="shared" si="33"/>
        <v>-840</v>
      </c>
    </row>
    <row r="2166" spans="1:6" x14ac:dyDescent="0.2">
      <c r="A2166" s="91">
        <v>45770</v>
      </c>
      <c r="B2166" s="43">
        <v>13765</v>
      </c>
      <c r="C2166" s="17" t="s">
        <v>227</v>
      </c>
      <c r="D2166" s="18">
        <v>151.19999999999999</v>
      </c>
      <c r="E2166" s="19"/>
      <c r="F2166" s="15">
        <f t="shared" si="33"/>
        <v>-151.19999999999999</v>
      </c>
    </row>
    <row r="2167" spans="1:6" x14ac:dyDescent="0.2">
      <c r="A2167" s="91">
        <v>45770</v>
      </c>
      <c r="B2167" s="43">
        <v>13766</v>
      </c>
      <c r="C2167" s="17" t="s">
        <v>227</v>
      </c>
      <c r="D2167" s="18">
        <v>311.85000000000002</v>
      </c>
      <c r="E2167" s="19"/>
      <c r="F2167" s="15">
        <f t="shared" si="33"/>
        <v>-311.85000000000002</v>
      </c>
    </row>
    <row r="2168" spans="1:6" x14ac:dyDescent="0.2">
      <c r="A2168" s="91">
        <v>45770</v>
      </c>
      <c r="B2168" s="43">
        <v>13767</v>
      </c>
      <c r="C2168" s="17" t="s">
        <v>227</v>
      </c>
      <c r="D2168" s="18">
        <v>311.85000000000002</v>
      </c>
      <c r="E2168" s="19"/>
      <c r="F2168" s="15">
        <f t="shared" si="33"/>
        <v>-311.85000000000002</v>
      </c>
    </row>
    <row r="2169" spans="1:6" x14ac:dyDescent="0.2">
      <c r="A2169" s="91">
        <v>45770</v>
      </c>
      <c r="B2169" s="43">
        <v>13768</v>
      </c>
      <c r="C2169" s="17" t="s">
        <v>227</v>
      </c>
      <c r="D2169" s="18">
        <v>311.85000000000002</v>
      </c>
      <c r="E2169" s="19"/>
      <c r="F2169" s="15">
        <f t="shared" si="33"/>
        <v>-311.85000000000002</v>
      </c>
    </row>
    <row r="2170" spans="1:6" x14ac:dyDescent="0.2">
      <c r="A2170" s="91">
        <v>45770</v>
      </c>
      <c r="B2170" s="43">
        <v>13769</v>
      </c>
      <c r="C2170" s="17" t="s">
        <v>227</v>
      </c>
      <c r="D2170" s="18">
        <v>311.85000000000002</v>
      </c>
      <c r="E2170" s="19"/>
      <c r="F2170" s="15">
        <f t="shared" si="33"/>
        <v>-311.85000000000002</v>
      </c>
    </row>
    <row r="2171" spans="1:6" x14ac:dyDescent="0.2">
      <c r="A2171" s="91">
        <v>45770</v>
      </c>
      <c r="B2171" s="43">
        <v>13770</v>
      </c>
      <c r="C2171" s="17" t="s">
        <v>227</v>
      </c>
      <c r="D2171" s="18">
        <v>311.85000000000002</v>
      </c>
      <c r="E2171" s="19"/>
      <c r="F2171" s="15">
        <f t="shared" si="33"/>
        <v>-311.85000000000002</v>
      </c>
    </row>
    <row r="2172" spans="1:6" x14ac:dyDescent="0.2">
      <c r="A2172" s="91">
        <v>45771</v>
      </c>
      <c r="B2172" s="45"/>
      <c r="C2172" s="17" t="s">
        <v>227</v>
      </c>
      <c r="D2172" s="18">
        <v>840</v>
      </c>
      <c r="E2172" s="19"/>
      <c r="F2172" s="15">
        <f t="shared" si="33"/>
        <v>-840</v>
      </c>
    </row>
    <row r="2173" spans="1:6" x14ac:dyDescent="0.2">
      <c r="A2173" s="91">
        <v>45772</v>
      </c>
      <c r="B2173" s="45"/>
      <c r="C2173" s="17" t="s">
        <v>227</v>
      </c>
      <c r="D2173" s="18">
        <v>277.2</v>
      </c>
      <c r="E2173" s="19"/>
      <c r="F2173" s="15">
        <f t="shared" si="33"/>
        <v>-277.2</v>
      </c>
    </row>
    <row r="2174" spans="1:6" x14ac:dyDescent="0.2">
      <c r="A2174" s="91">
        <v>45775</v>
      </c>
      <c r="B2174" s="43">
        <v>14639</v>
      </c>
      <c r="C2174" s="17" t="s">
        <v>227</v>
      </c>
      <c r="D2174" s="18">
        <v>151.19999999999999</v>
      </c>
      <c r="E2174" s="19"/>
      <c r="F2174" s="15">
        <f t="shared" si="33"/>
        <v>-151.19999999999999</v>
      </c>
    </row>
    <row r="2175" spans="1:6" x14ac:dyDescent="0.2">
      <c r="A2175" s="91">
        <v>45775</v>
      </c>
      <c r="B2175" s="43">
        <v>14640</v>
      </c>
      <c r="C2175" s="17" t="s">
        <v>227</v>
      </c>
      <c r="D2175" s="18">
        <v>311.85000000000002</v>
      </c>
      <c r="E2175" s="19"/>
      <c r="F2175" s="15">
        <f t="shared" si="33"/>
        <v>-311.85000000000002</v>
      </c>
    </row>
    <row r="2176" spans="1:6" x14ac:dyDescent="0.2">
      <c r="A2176" s="91">
        <v>45775</v>
      </c>
      <c r="B2176" s="43">
        <v>14641</v>
      </c>
      <c r="C2176" s="17" t="s">
        <v>227</v>
      </c>
      <c r="D2176" s="18">
        <v>311.85000000000002</v>
      </c>
      <c r="E2176" s="19"/>
      <c r="F2176" s="15">
        <f t="shared" si="33"/>
        <v>-311.85000000000002</v>
      </c>
    </row>
    <row r="2177" spans="1:6" x14ac:dyDescent="0.2">
      <c r="A2177" s="91">
        <v>45776</v>
      </c>
      <c r="B2177" s="45"/>
      <c r="C2177" s="17" t="s">
        <v>227</v>
      </c>
      <c r="D2177" s="18">
        <v>11193</v>
      </c>
      <c r="E2177" s="19"/>
      <c r="F2177" s="15">
        <f t="shared" si="33"/>
        <v>-11193</v>
      </c>
    </row>
    <row r="2178" spans="1:6" x14ac:dyDescent="0.2">
      <c r="A2178" s="91">
        <v>45776</v>
      </c>
      <c r="B2178" s="45"/>
      <c r="C2178" s="17" t="s">
        <v>227</v>
      </c>
      <c r="D2178" s="18">
        <v>12824.7</v>
      </c>
      <c r="E2178" s="19"/>
      <c r="F2178" s="15">
        <f t="shared" si="33"/>
        <v>-12824.7</v>
      </c>
    </row>
    <row r="2179" spans="1:6" x14ac:dyDescent="0.2">
      <c r="A2179" s="91">
        <v>45782</v>
      </c>
      <c r="B2179" s="45"/>
      <c r="C2179" s="17" t="s">
        <v>227</v>
      </c>
      <c r="D2179" s="18">
        <v>268.8</v>
      </c>
      <c r="E2179" s="19"/>
      <c r="F2179" s="15">
        <f t="shared" ref="F2179:F2242" si="34">+E2179-D2179</f>
        <v>-268.8</v>
      </c>
    </row>
    <row r="2180" spans="1:6" x14ac:dyDescent="0.2">
      <c r="A2180" s="91">
        <v>45783</v>
      </c>
      <c r="B2180" s="45"/>
      <c r="C2180" s="17" t="s">
        <v>227</v>
      </c>
      <c r="D2180" s="18">
        <v>5040</v>
      </c>
      <c r="E2180" s="19"/>
      <c r="F2180" s="15">
        <f t="shared" si="34"/>
        <v>-5040</v>
      </c>
    </row>
    <row r="2181" spans="1:6" x14ac:dyDescent="0.2">
      <c r="A2181" s="91">
        <v>45784</v>
      </c>
      <c r="B2181" s="43">
        <v>12034</v>
      </c>
      <c r="C2181" s="17" t="s">
        <v>227</v>
      </c>
      <c r="D2181" s="18">
        <v>311.85000000000002</v>
      </c>
      <c r="E2181" s="19"/>
      <c r="F2181" s="15">
        <f t="shared" si="34"/>
        <v>-311.85000000000002</v>
      </c>
    </row>
    <row r="2182" spans="1:6" x14ac:dyDescent="0.2">
      <c r="A2182" s="91">
        <v>45786</v>
      </c>
      <c r="B2182" s="45"/>
      <c r="C2182" s="17" t="s">
        <v>227</v>
      </c>
      <c r="D2182" s="18">
        <v>3929.22</v>
      </c>
      <c r="E2182" s="19"/>
      <c r="F2182" s="15">
        <f t="shared" si="34"/>
        <v>-3929.22</v>
      </c>
    </row>
    <row r="2183" spans="1:6" x14ac:dyDescent="0.2">
      <c r="A2183" s="91">
        <v>45786</v>
      </c>
      <c r="B2183" s="43">
        <v>17621</v>
      </c>
      <c r="C2183" s="17" t="s">
        <v>227</v>
      </c>
      <c r="D2183" s="18">
        <v>151.19999999999999</v>
      </c>
      <c r="E2183" s="19"/>
      <c r="F2183" s="15">
        <f t="shared" si="34"/>
        <v>-151.19999999999999</v>
      </c>
    </row>
    <row r="2184" spans="1:6" x14ac:dyDescent="0.2">
      <c r="A2184" s="91">
        <v>45786</v>
      </c>
      <c r="B2184" s="43">
        <v>17622</v>
      </c>
      <c r="C2184" s="17" t="s">
        <v>227</v>
      </c>
      <c r="D2184" s="18">
        <v>311.85000000000002</v>
      </c>
      <c r="E2184" s="19"/>
      <c r="F2184" s="15">
        <f t="shared" si="34"/>
        <v>-311.85000000000002</v>
      </c>
    </row>
    <row r="2185" spans="1:6" x14ac:dyDescent="0.2">
      <c r="A2185" s="91">
        <v>45786</v>
      </c>
      <c r="B2185" s="43">
        <v>17623</v>
      </c>
      <c r="C2185" s="17" t="s">
        <v>227</v>
      </c>
      <c r="D2185" s="18">
        <v>311.85000000000002</v>
      </c>
      <c r="E2185" s="19"/>
      <c r="F2185" s="15">
        <f t="shared" si="34"/>
        <v>-311.85000000000002</v>
      </c>
    </row>
    <row r="2186" spans="1:6" x14ac:dyDescent="0.2">
      <c r="A2186" s="91">
        <v>45792</v>
      </c>
      <c r="B2186" s="45"/>
      <c r="C2186" s="17" t="s">
        <v>227</v>
      </c>
      <c r="D2186" s="18">
        <v>840</v>
      </c>
      <c r="E2186" s="19"/>
      <c r="F2186" s="15">
        <f t="shared" si="34"/>
        <v>-840</v>
      </c>
    </row>
    <row r="2187" spans="1:6" x14ac:dyDescent="0.2">
      <c r="A2187" s="91">
        <v>45792</v>
      </c>
      <c r="B2187" s="43">
        <v>13649</v>
      </c>
      <c r="C2187" s="17" t="s">
        <v>227</v>
      </c>
      <c r="D2187" s="18">
        <v>311.85000000000002</v>
      </c>
      <c r="E2187" s="19"/>
      <c r="F2187" s="15">
        <f t="shared" si="34"/>
        <v>-311.85000000000002</v>
      </c>
    </row>
    <row r="2188" spans="1:6" x14ac:dyDescent="0.2">
      <c r="A2188" s="91">
        <v>45796</v>
      </c>
      <c r="B2188" s="43">
        <v>13899</v>
      </c>
      <c r="C2188" s="17" t="s">
        <v>227</v>
      </c>
      <c r="D2188" s="18">
        <v>151.19999999999999</v>
      </c>
      <c r="E2188" s="19"/>
      <c r="F2188" s="15">
        <f t="shared" si="34"/>
        <v>-151.19999999999999</v>
      </c>
    </row>
    <row r="2189" spans="1:6" x14ac:dyDescent="0.2">
      <c r="A2189" s="91">
        <v>45796</v>
      </c>
      <c r="B2189" s="46">
        <v>13900</v>
      </c>
      <c r="C2189" s="58" t="s">
        <v>227</v>
      </c>
      <c r="D2189" s="48">
        <v>151.19999999999999</v>
      </c>
      <c r="E2189" s="49"/>
      <c r="F2189" s="15">
        <f t="shared" si="34"/>
        <v>-151.19999999999999</v>
      </c>
    </row>
    <row r="2190" spans="1:6" x14ac:dyDescent="0.2">
      <c r="A2190" s="91">
        <v>45796</v>
      </c>
      <c r="B2190" s="44">
        <v>13901</v>
      </c>
      <c r="C2190" s="59" t="s">
        <v>227</v>
      </c>
      <c r="D2190" s="23">
        <v>151.19999999999999</v>
      </c>
      <c r="E2190" s="24"/>
      <c r="F2190" s="15">
        <f t="shared" si="34"/>
        <v>-151.19999999999999</v>
      </c>
    </row>
    <row r="2191" spans="1:6" x14ac:dyDescent="0.2">
      <c r="A2191" s="91">
        <v>45796</v>
      </c>
      <c r="B2191" s="43">
        <v>13902</v>
      </c>
      <c r="C2191" s="17" t="s">
        <v>227</v>
      </c>
      <c r="D2191" s="18">
        <v>311.85000000000002</v>
      </c>
      <c r="E2191" s="19"/>
      <c r="F2191" s="15">
        <f t="shared" si="34"/>
        <v>-311.85000000000002</v>
      </c>
    </row>
    <row r="2192" spans="1:6" x14ac:dyDescent="0.2">
      <c r="A2192" s="91">
        <v>45796</v>
      </c>
      <c r="B2192" s="43">
        <v>13903</v>
      </c>
      <c r="C2192" s="17" t="s">
        <v>227</v>
      </c>
      <c r="D2192" s="18">
        <v>311.85000000000002</v>
      </c>
      <c r="E2192" s="19"/>
      <c r="F2192" s="15">
        <f t="shared" si="34"/>
        <v>-311.85000000000002</v>
      </c>
    </row>
    <row r="2193" spans="1:6" x14ac:dyDescent="0.2">
      <c r="A2193" s="91">
        <v>45796</v>
      </c>
      <c r="B2193" s="43">
        <v>13904</v>
      </c>
      <c r="C2193" s="17" t="s">
        <v>227</v>
      </c>
      <c r="D2193" s="18">
        <v>311.85000000000002</v>
      </c>
      <c r="E2193" s="19"/>
      <c r="F2193" s="15">
        <f t="shared" si="34"/>
        <v>-311.85000000000002</v>
      </c>
    </row>
    <row r="2194" spans="1:6" x14ac:dyDescent="0.2">
      <c r="A2194" s="91">
        <v>45799</v>
      </c>
      <c r="B2194" s="45"/>
      <c r="C2194" s="17" t="s">
        <v>227</v>
      </c>
      <c r="D2194" s="18">
        <v>277.2</v>
      </c>
      <c r="E2194" s="19"/>
      <c r="F2194" s="15">
        <f t="shared" si="34"/>
        <v>-277.2</v>
      </c>
    </row>
    <row r="2195" spans="1:6" x14ac:dyDescent="0.2">
      <c r="A2195" s="91">
        <v>45800</v>
      </c>
      <c r="B2195" s="45"/>
      <c r="C2195" s="17" t="s">
        <v>227</v>
      </c>
      <c r="D2195" s="18">
        <v>277.2</v>
      </c>
      <c r="E2195" s="19"/>
      <c r="F2195" s="15">
        <f t="shared" si="34"/>
        <v>-277.2</v>
      </c>
    </row>
    <row r="2196" spans="1:6" x14ac:dyDescent="0.2">
      <c r="A2196" s="91">
        <v>45800</v>
      </c>
      <c r="B2196" s="43">
        <v>15753</v>
      </c>
      <c r="C2196" s="17" t="s">
        <v>227</v>
      </c>
      <c r="D2196" s="18">
        <v>25.2</v>
      </c>
      <c r="E2196" s="19"/>
      <c r="F2196" s="15">
        <f t="shared" si="34"/>
        <v>-25.2</v>
      </c>
    </row>
    <row r="2197" spans="1:6" x14ac:dyDescent="0.2">
      <c r="A2197" s="91">
        <v>45800</v>
      </c>
      <c r="B2197" s="43">
        <v>15754</v>
      </c>
      <c r="C2197" s="17" t="s">
        <v>227</v>
      </c>
      <c r="D2197" s="18">
        <v>151.19999999999999</v>
      </c>
      <c r="E2197" s="19"/>
      <c r="F2197" s="15">
        <f t="shared" si="34"/>
        <v>-151.19999999999999</v>
      </c>
    </row>
    <row r="2198" spans="1:6" x14ac:dyDescent="0.2">
      <c r="A2198" s="91">
        <v>45800</v>
      </c>
      <c r="B2198" s="43">
        <v>15755</v>
      </c>
      <c r="C2198" s="17" t="s">
        <v>227</v>
      </c>
      <c r="D2198" s="18">
        <v>151.19999999999999</v>
      </c>
      <c r="E2198" s="19"/>
      <c r="F2198" s="15">
        <f t="shared" si="34"/>
        <v>-151.19999999999999</v>
      </c>
    </row>
    <row r="2199" spans="1:6" x14ac:dyDescent="0.2">
      <c r="A2199" s="91">
        <v>45800</v>
      </c>
      <c r="B2199" s="43">
        <v>15756</v>
      </c>
      <c r="C2199" s="17" t="s">
        <v>227</v>
      </c>
      <c r="D2199" s="18">
        <v>151.19999999999999</v>
      </c>
      <c r="E2199" s="19"/>
      <c r="F2199" s="15">
        <f t="shared" si="34"/>
        <v>-151.19999999999999</v>
      </c>
    </row>
    <row r="2200" spans="1:6" x14ac:dyDescent="0.2">
      <c r="A2200" s="91">
        <v>45800</v>
      </c>
      <c r="B2200" s="43">
        <v>15757</v>
      </c>
      <c r="C2200" s="17" t="s">
        <v>227</v>
      </c>
      <c r="D2200" s="18">
        <v>311.85000000000002</v>
      </c>
      <c r="E2200" s="19"/>
      <c r="F2200" s="15">
        <f t="shared" si="34"/>
        <v>-311.85000000000002</v>
      </c>
    </row>
    <row r="2201" spans="1:6" x14ac:dyDescent="0.2">
      <c r="A2201" s="91">
        <v>45800</v>
      </c>
      <c r="B2201" s="43">
        <v>15758</v>
      </c>
      <c r="C2201" s="17" t="s">
        <v>227</v>
      </c>
      <c r="D2201" s="18">
        <v>311.85000000000002</v>
      </c>
      <c r="E2201" s="19"/>
      <c r="F2201" s="15">
        <f t="shared" si="34"/>
        <v>-311.85000000000002</v>
      </c>
    </row>
    <row r="2202" spans="1:6" x14ac:dyDescent="0.2">
      <c r="A2202" s="91">
        <v>45800</v>
      </c>
      <c r="B2202" s="43">
        <v>15759</v>
      </c>
      <c r="C2202" s="17" t="s">
        <v>227</v>
      </c>
      <c r="D2202" s="18">
        <v>311.85000000000002</v>
      </c>
      <c r="E2202" s="19"/>
      <c r="F2202" s="15">
        <f t="shared" si="34"/>
        <v>-311.85000000000002</v>
      </c>
    </row>
    <row r="2203" spans="1:6" x14ac:dyDescent="0.2">
      <c r="A2203" s="91">
        <v>45800</v>
      </c>
      <c r="B2203" s="43">
        <v>15760</v>
      </c>
      <c r="C2203" s="17" t="s">
        <v>227</v>
      </c>
      <c r="D2203" s="18">
        <v>311.85000000000002</v>
      </c>
      <c r="E2203" s="19"/>
      <c r="F2203" s="15">
        <f t="shared" si="34"/>
        <v>-311.85000000000002</v>
      </c>
    </row>
    <row r="2204" spans="1:6" x14ac:dyDescent="0.2">
      <c r="A2204" s="91">
        <v>45800</v>
      </c>
      <c r="B2204" s="43">
        <v>15761</v>
      </c>
      <c r="C2204" s="17" t="s">
        <v>227</v>
      </c>
      <c r="D2204" s="18">
        <v>311.85000000000002</v>
      </c>
      <c r="E2204" s="19"/>
      <c r="F2204" s="15">
        <f t="shared" si="34"/>
        <v>-311.85000000000002</v>
      </c>
    </row>
    <row r="2205" spans="1:6" x14ac:dyDescent="0.2">
      <c r="A2205" s="91">
        <v>45806</v>
      </c>
      <c r="B2205" s="45"/>
      <c r="C2205" s="17" t="s">
        <v>227</v>
      </c>
      <c r="D2205" s="18">
        <v>11193</v>
      </c>
      <c r="E2205" s="19"/>
      <c r="F2205" s="15">
        <f t="shared" si="34"/>
        <v>-11193</v>
      </c>
    </row>
    <row r="2206" spans="1:6" x14ac:dyDescent="0.2">
      <c r="A2206" s="91">
        <v>45806</v>
      </c>
      <c r="B2206" s="45"/>
      <c r="C2206" s="17" t="s">
        <v>227</v>
      </c>
      <c r="D2206" s="18">
        <v>12204.15</v>
      </c>
      <c r="E2206" s="19"/>
      <c r="F2206" s="15">
        <f t="shared" si="34"/>
        <v>-12204.15</v>
      </c>
    </row>
    <row r="2207" spans="1:6" x14ac:dyDescent="0.2">
      <c r="A2207" s="91">
        <v>45810</v>
      </c>
      <c r="B2207" s="45"/>
      <c r="C2207" s="17" t="s">
        <v>227</v>
      </c>
      <c r="D2207" s="18">
        <v>268.8</v>
      </c>
      <c r="E2207" s="19"/>
      <c r="F2207" s="15">
        <f t="shared" si="34"/>
        <v>-268.8</v>
      </c>
    </row>
    <row r="2208" spans="1:6" x14ac:dyDescent="0.2">
      <c r="A2208" s="91">
        <v>45811</v>
      </c>
      <c r="B2208" s="45"/>
      <c r="C2208" s="17" t="s">
        <v>227</v>
      </c>
      <c r="D2208" s="18">
        <v>25.53</v>
      </c>
      <c r="E2208" s="19"/>
      <c r="F2208" s="15">
        <f t="shared" si="34"/>
        <v>-25.53</v>
      </c>
    </row>
    <row r="2209" spans="1:6" x14ac:dyDescent="0.2">
      <c r="A2209" s="91">
        <v>45812</v>
      </c>
      <c r="B2209" s="45"/>
      <c r="C2209" s="17" t="s">
        <v>227</v>
      </c>
      <c r="D2209" s="18">
        <v>5040</v>
      </c>
      <c r="E2209" s="19"/>
      <c r="F2209" s="15">
        <f t="shared" si="34"/>
        <v>-5040</v>
      </c>
    </row>
    <row r="2210" spans="1:6" x14ac:dyDescent="0.2">
      <c r="A2210" s="91">
        <v>45812</v>
      </c>
      <c r="B2210" s="45"/>
      <c r="C2210" s="17" t="s">
        <v>227</v>
      </c>
      <c r="D2210" s="18">
        <v>333.76</v>
      </c>
      <c r="E2210" s="19"/>
      <c r="F2210" s="15">
        <f t="shared" si="34"/>
        <v>-333.76</v>
      </c>
    </row>
    <row r="2211" spans="1:6" x14ac:dyDescent="0.2">
      <c r="A2211" s="91">
        <v>45813</v>
      </c>
      <c r="B2211" s="45"/>
      <c r="C2211" s="17" t="s">
        <v>227</v>
      </c>
      <c r="D2211" s="18">
        <v>763.48</v>
      </c>
      <c r="E2211" s="19"/>
      <c r="F2211" s="15">
        <f t="shared" si="34"/>
        <v>-763.48</v>
      </c>
    </row>
    <row r="2212" spans="1:6" x14ac:dyDescent="0.2">
      <c r="A2212" s="91">
        <v>45813</v>
      </c>
      <c r="B2212" s="43">
        <v>13071</v>
      </c>
      <c r="C2212" s="17" t="s">
        <v>227</v>
      </c>
      <c r="D2212" s="18">
        <v>311.85000000000002</v>
      </c>
      <c r="E2212" s="19"/>
      <c r="F2212" s="15">
        <f t="shared" si="34"/>
        <v>-311.85000000000002</v>
      </c>
    </row>
    <row r="2213" spans="1:6" x14ac:dyDescent="0.2">
      <c r="A2213" s="91">
        <v>45820</v>
      </c>
      <c r="B2213" s="45"/>
      <c r="C2213" s="17" t="s">
        <v>227</v>
      </c>
      <c r="D2213" s="18">
        <v>3801.79</v>
      </c>
      <c r="E2213" s="19"/>
      <c r="F2213" s="15">
        <f t="shared" si="34"/>
        <v>-3801.79</v>
      </c>
    </row>
    <row r="2214" spans="1:6" x14ac:dyDescent="0.2">
      <c r="A2214" s="91">
        <v>45825</v>
      </c>
      <c r="B2214" s="45"/>
      <c r="C2214" s="17" t="s">
        <v>227</v>
      </c>
      <c r="D2214" s="18">
        <v>5040</v>
      </c>
      <c r="E2214" s="19"/>
      <c r="F2214" s="15">
        <f t="shared" si="34"/>
        <v>-5040</v>
      </c>
    </row>
    <row r="2215" spans="1:6" x14ac:dyDescent="0.2">
      <c r="A2215" s="91">
        <v>45825</v>
      </c>
      <c r="B2215" s="46">
        <v>17891</v>
      </c>
      <c r="C2215" s="58" t="s">
        <v>227</v>
      </c>
      <c r="D2215" s="48">
        <v>151.19999999999999</v>
      </c>
      <c r="E2215" s="49"/>
      <c r="F2215" s="15">
        <f t="shared" si="34"/>
        <v>-151.19999999999999</v>
      </c>
    </row>
    <row r="2216" spans="1:6" x14ac:dyDescent="0.2">
      <c r="A2216" s="91">
        <v>45825</v>
      </c>
      <c r="B2216" s="44">
        <v>17892</v>
      </c>
      <c r="C2216" s="59" t="s">
        <v>227</v>
      </c>
      <c r="D2216" s="23">
        <v>151.19999999999999</v>
      </c>
      <c r="E2216" s="24"/>
      <c r="F2216" s="15">
        <f t="shared" si="34"/>
        <v>-151.19999999999999</v>
      </c>
    </row>
    <row r="2217" spans="1:6" x14ac:dyDescent="0.2">
      <c r="A2217" s="91">
        <v>45825</v>
      </c>
      <c r="B2217" s="43">
        <v>17893</v>
      </c>
      <c r="C2217" s="17" t="s">
        <v>227</v>
      </c>
      <c r="D2217" s="18">
        <v>151.19999999999999</v>
      </c>
      <c r="E2217" s="19"/>
      <c r="F2217" s="15">
        <f t="shared" si="34"/>
        <v>-151.19999999999999</v>
      </c>
    </row>
    <row r="2218" spans="1:6" x14ac:dyDescent="0.2">
      <c r="A2218" s="91">
        <v>45825</v>
      </c>
      <c r="B2218" s="43">
        <v>17894</v>
      </c>
      <c r="C2218" s="17" t="s">
        <v>227</v>
      </c>
      <c r="D2218" s="18">
        <v>151.19999999999999</v>
      </c>
      <c r="E2218" s="19"/>
      <c r="F2218" s="15">
        <f t="shared" si="34"/>
        <v>-151.19999999999999</v>
      </c>
    </row>
    <row r="2219" spans="1:6" x14ac:dyDescent="0.2">
      <c r="A2219" s="91">
        <v>45825</v>
      </c>
      <c r="B2219" s="43">
        <v>17895</v>
      </c>
      <c r="C2219" s="17" t="s">
        <v>227</v>
      </c>
      <c r="D2219" s="18">
        <v>311.85000000000002</v>
      </c>
      <c r="E2219" s="19"/>
      <c r="F2219" s="15">
        <f t="shared" si="34"/>
        <v>-311.85000000000002</v>
      </c>
    </row>
    <row r="2220" spans="1:6" x14ac:dyDescent="0.2">
      <c r="A2220" s="91">
        <v>45825</v>
      </c>
      <c r="B2220" s="43">
        <v>17896</v>
      </c>
      <c r="C2220" s="17" t="s">
        <v>227</v>
      </c>
      <c r="D2220" s="18">
        <v>311.85000000000002</v>
      </c>
      <c r="E2220" s="19"/>
      <c r="F2220" s="15">
        <f t="shared" si="34"/>
        <v>-311.85000000000002</v>
      </c>
    </row>
    <row r="2221" spans="1:6" x14ac:dyDescent="0.2">
      <c r="A2221" s="91">
        <v>45825</v>
      </c>
      <c r="B2221" s="43">
        <v>17897</v>
      </c>
      <c r="C2221" s="17" t="s">
        <v>227</v>
      </c>
      <c r="D2221" s="18">
        <v>311.85000000000002</v>
      </c>
      <c r="E2221" s="19"/>
      <c r="F2221" s="15">
        <f t="shared" si="34"/>
        <v>-311.85000000000002</v>
      </c>
    </row>
    <row r="2222" spans="1:6" x14ac:dyDescent="0.2">
      <c r="A2222" s="91">
        <v>45825</v>
      </c>
      <c r="B2222" s="43">
        <v>17898</v>
      </c>
      <c r="C2222" s="17" t="s">
        <v>227</v>
      </c>
      <c r="D2222" s="18">
        <v>311.85000000000002</v>
      </c>
      <c r="E2222" s="19"/>
      <c r="F2222" s="15">
        <f t="shared" si="34"/>
        <v>-311.85000000000002</v>
      </c>
    </row>
    <row r="2223" spans="1:6" x14ac:dyDescent="0.2">
      <c r="A2223" s="91">
        <v>45825</v>
      </c>
      <c r="B2223" s="43">
        <v>17899</v>
      </c>
      <c r="C2223" s="17" t="s">
        <v>227</v>
      </c>
      <c r="D2223" s="18">
        <v>311.85000000000002</v>
      </c>
      <c r="E2223" s="19"/>
      <c r="F2223" s="15">
        <f t="shared" si="34"/>
        <v>-311.85000000000002</v>
      </c>
    </row>
    <row r="2224" spans="1:6" x14ac:dyDescent="0.2">
      <c r="A2224" s="91">
        <v>45831</v>
      </c>
      <c r="B2224" s="45"/>
      <c r="C2224" s="17" t="s">
        <v>227</v>
      </c>
      <c r="D2224" s="18">
        <v>277.2</v>
      </c>
      <c r="E2224" s="19"/>
      <c r="F2224" s="15">
        <f t="shared" si="34"/>
        <v>-277.2</v>
      </c>
    </row>
    <row r="2225" spans="1:6" x14ac:dyDescent="0.2">
      <c r="A2225" s="91">
        <v>45832</v>
      </c>
      <c r="B2225" s="45"/>
      <c r="C2225" s="17" t="s">
        <v>227</v>
      </c>
      <c r="D2225" s="18">
        <v>277.2</v>
      </c>
      <c r="E2225" s="19"/>
      <c r="F2225" s="15">
        <f t="shared" si="34"/>
        <v>-277.2</v>
      </c>
    </row>
    <row r="2226" spans="1:6" x14ac:dyDescent="0.2">
      <c r="A2226" s="91">
        <v>45832</v>
      </c>
      <c r="B2226" s="43">
        <v>14331</v>
      </c>
      <c r="C2226" s="17" t="s">
        <v>227</v>
      </c>
      <c r="D2226" s="18">
        <v>311.85000000000002</v>
      </c>
      <c r="E2226" s="19"/>
      <c r="F2226" s="15">
        <f t="shared" si="34"/>
        <v>-311.85000000000002</v>
      </c>
    </row>
    <row r="2227" spans="1:6" x14ac:dyDescent="0.2">
      <c r="A2227" s="91">
        <v>45832</v>
      </c>
      <c r="B2227" s="43">
        <v>14332</v>
      </c>
      <c r="C2227" s="17" t="s">
        <v>227</v>
      </c>
      <c r="D2227" s="18">
        <v>311.85000000000002</v>
      </c>
      <c r="E2227" s="19"/>
      <c r="F2227" s="15">
        <f t="shared" si="34"/>
        <v>-311.85000000000002</v>
      </c>
    </row>
    <row r="2228" spans="1:6" x14ac:dyDescent="0.2">
      <c r="A2228" s="91">
        <v>45833</v>
      </c>
      <c r="B2228" s="43">
        <v>13559</v>
      </c>
      <c r="C2228" s="17" t="s">
        <v>227</v>
      </c>
      <c r="D2228" s="18">
        <v>151.19999999999999</v>
      </c>
      <c r="E2228" s="19"/>
      <c r="F2228" s="15">
        <f t="shared" si="34"/>
        <v>-151.19999999999999</v>
      </c>
    </row>
    <row r="2229" spans="1:6" x14ac:dyDescent="0.2">
      <c r="A2229" s="91">
        <v>45833</v>
      </c>
      <c r="B2229" s="43">
        <v>13560</v>
      </c>
      <c r="C2229" s="17" t="s">
        <v>227</v>
      </c>
      <c r="D2229" s="18">
        <v>151.19999999999999</v>
      </c>
      <c r="E2229" s="19"/>
      <c r="F2229" s="15">
        <f t="shared" si="34"/>
        <v>-151.19999999999999</v>
      </c>
    </row>
    <row r="2230" spans="1:6" x14ac:dyDescent="0.2">
      <c r="A2230" s="91">
        <v>45833</v>
      </c>
      <c r="B2230" s="43">
        <v>13561</v>
      </c>
      <c r="C2230" s="17" t="s">
        <v>227</v>
      </c>
      <c r="D2230" s="18">
        <v>151.19999999999999</v>
      </c>
      <c r="E2230" s="19"/>
      <c r="F2230" s="15">
        <f t="shared" si="34"/>
        <v>-151.19999999999999</v>
      </c>
    </row>
    <row r="2231" spans="1:6" x14ac:dyDescent="0.2">
      <c r="A2231" s="91">
        <v>45833</v>
      </c>
      <c r="B2231" s="43">
        <v>13562</v>
      </c>
      <c r="C2231" s="17" t="s">
        <v>227</v>
      </c>
      <c r="D2231" s="18">
        <v>151.19999999999999</v>
      </c>
      <c r="E2231" s="19"/>
      <c r="F2231" s="15">
        <f t="shared" si="34"/>
        <v>-151.19999999999999</v>
      </c>
    </row>
    <row r="2232" spans="1:6" x14ac:dyDescent="0.2">
      <c r="A2232" s="91">
        <v>45833</v>
      </c>
      <c r="B2232" s="43">
        <v>13563</v>
      </c>
      <c r="C2232" s="17" t="s">
        <v>227</v>
      </c>
      <c r="D2232" s="18">
        <v>311.85000000000002</v>
      </c>
      <c r="E2232" s="19"/>
      <c r="F2232" s="15">
        <f t="shared" si="34"/>
        <v>-311.85000000000002</v>
      </c>
    </row>
    <row r="2233" spans="1:6" x14ac:dyDescent="0.2">
      <c r="A2233" s="91">
        <v>45833</v>
      </c>
      <c r="B2233" s="43">
        <v>13564</v>
      </c>
      <c r="C2233" s="17" t="s">
        <v>227</v>
      </c>
      <c r="D2233" s="18">
        <v>311.85000000000002</v>
      </c>
      <c r="E2233" s="19"/>
      <c r="F2233" s="15">
        <f t="shared" si="34"/>
        <v>-311.85000000000002</v>
      </c>
    </row>
    <row r="2234" spans="1:6" x14ac:dyDescent="0.2">
      <c r="A2234" s="91">
        <v>45833</v>
      </c>
      <c r="B2234" s="43">
        <v>13565</v>
      </c>
      <c r="C2234" s="17" t="s">
        <v>227</v>
      </c>
      <c r="D2234" s="18">
        <v>311.85000000000002</v>
      </c>
      <c r="E2234" s="19"/>
      <c r="F2234" s="15">
        <f t="shared" si="34"/>
        <v>-311.85000000000002</v>
      </c>
    </row>
    <row r="2235" spans="1:6" x14ac:dyDescent="0.2">
      <c r="A2235" s="91">
        <v>45833</v>
      </c>
      <c r="B2235" s="43">
        <v>13566</v>
      </c>
      <c r="C2235" s="17" t="s">
        <v>227</v>
      </c>
      <c r="D2235" s="18">
        <v>311.85000000000002</v>
      </c>
      <c r="E2235" s="19"/>
      <c r="F2235" s="15">
        <f t="shared" si="34"/>
        <v>-311.85000000000002</v>
      </c>
    </row>
    <row r="2236" spans="1:6" x14ac:dyDescent="0.2">
      <c r="A2236" s="91">
        <v>45833</v>
      </c>
      <c r="B2236" s="43">
        <v>13567</v>
      </c>
      <c r="C2236" s="17" t="s">
        <v>227</v>
      </c>
      <c r="D2236" s="18">
        <v>311.85000000000002</v>
      </c>
      <c r="E2236" s="19"/>
      <c r="F2236" s="15">
        <f t="shared" si="34"/>
        <v>-311.85000000000002</v>
      </c>
    </row>
    <row r="2237" spans="1:6" x14ac:dyDescent="0.2">
      <c r="A2237" s="91">
        <v>45834</v>
      </c>
      <c r="B2237" s="43">
        <v>13967</v>
      </c>
      <c r="C2237" s="17" t="s">
        <v>227</v>
      </c>
      <c r="D2237" s="18">
        <v>151.19999999999999</v>
      </c>
      <c r="E2237" s="19"/>
      <c r="F2237" s="15">
        <f t="shared" si="34"/>
        <v>-151.19999999999999</v>
      </c>
    </row>
    <row r="2238" spans="1:6" x14ac:dyDescent="0.2">
      <c r="A2238" s="91">
        <v>45834</v>
      </c>
      <c r="B2238" s="43">
        <v>13968</v>
      </c>
      <c r="C2238" s="17" t="s">
        <v>227</v>
      </c>
      <c r="D2238" s="18">
        <v>151.19999999999999</v>
      </c>
      <c r="E2238" s="19"/>
      <c r="F2238" s="15">
        <f t="shared" si="34"/>
        <v>-151.19999999999999</v>
      </c>
    </row>
    <row r="2239" spans="1:6" x14ac:dyDescent="0.2">
      <c r="A2239" s="91">
        <v>45834</v>
      </c>
      <c r="B2239" s="43">
        <v>13969</v>
      </c>
      <c r="C2239" s="17" t="s">
        <v>227</v>
      </c>
      <c r="D2239" s="18">
        <v>151.19999999999999</v>
      </c>
      <c r="E2239" s="19"/>
      <c r="F2239" s="15">
        <f t="shared" si="34"/>
        <v>-151.19999999999999</v>
      </c>
    </row>
    <row r="2240" spans="1:6" x14ac:dyDescent="0.2">
      <c r="A2240" s="91">
        <v>45834</v>
      </c>
      <c r="B2240" s="43">
        <v>13970</v>
      </c>
      <c r="C2240" s="17" t="s">
        <v>227</v>
      </c>
      <c r="D2240" s="18">
        <v>311.85000000000002</v>
      </c>
      <c r="E2240" s="19"/>
      <c r="F2240" s="15">
        <f t="shared" si="34"/>
        <v>-311.85000000000002</v>
      </c>
    </row>
    <row r="2241" spans="1:6" x14ac:dyDescent="0.2">
      <c r="A2241" s="91">
        <v>45835</v>
      </c>
      <c r="B2241" s="51"/>
      <c r="C2241" s="58" t="s">
        <v>227</v>
      </c>
      <c r="D2241" s="48">
        <v>11193</v>
      </c>
      <c r="E2241" s="49"/>
      <c r="F2241" s="15">
        <f t="shared" si="34"/>
        <v>-11193</v>
      </c>
    </row>
    <row r="2242" spans="1:6" x14ac:dyDescent="0.2">
      <c r="A2242" s="91">
        <v>45835</v>
      </c>
      <c r="B2242" s="50"/>
      <c r="C2242" s="59" t="s">
        <v>227</v>
      </c>
      <c r="D2242" s="23">
        <v>12204.15</v>
      </c>
      <c r="E2242" s="24"/>
      <c r="F2242" s="15">
        <f t="shared" si="34"/>
        <v>-12204.15</v>
      </c>
    </row>
    <row r="2243" spans="1:6" x14ac:dyDescent="0.2">
      <c r="A2243" s="91">
        <v>45839</v>
      </c>
      <c r="B2243" s="45"/>
      <c r="C2243" s="17" t="s">
        <v>227</v>
      </c>
      <c r="D2243" s="18">
        <v>268.8</v>
      </c>
      <c r="E2243" s="19"/>
      <c r="F2243" s="15">
        <f t="shared" ref="F2243:F2306" si="35">+E2243-D2243</f>
        <v>-268.8</v>
      </c>
    </row>
    <row r="2244" spans="1:6" x14ac:dyDescent="0.2">
      <c r="A2244" s="91">
        <v>45841</v>
      </c>
      <c r="B2244" s="45"/>
      <c r="C2244" s="17" t="s">
        <v>227</v>
      </c>
      <c r="D2244" s="18">
        <v>90243.3</v>
      </c>
      <c r="E2244" s="19"/>
      <c r="F2244" s="15">
        <f t="shared" si="35"/>
        <v>-90243.3</v>
      </c>
    </row>
    <row r="2245" spans="1:6" x14ac:dyDescent="0.2">
      <c r="A2245" s="91">
        <v>45842</v>
      </c>
      <c r="B2245" s="45"/>
      <c r="C2245" s="17" t="s">
        <v>227</v>
      </c>
      <c r="D2245" s="18">
        <v>1796.87</v>
      </c>
      <c r="E2245" s="19"/>
      <c r="F2245" s="15">
        <f t="shared" si="35"/>
        <v>-1796.87</v>
      </c>
    </row>
    <row r="2246" spans="1:6" x14ac:dyDescent="0.2">
      <c r="A2246" s="91">
        <v>45845</v>
      </c>
      <c r="B2246" s="45"/>
      <c r="C2246" s="17" t="s">
        <v>227</v>
      </c>
      <c r="D2246" s="18">
        <v>840</v>
      </c>
      <c r="E2246" s="19"/>
      <c r="F2246" s="15">
        <f t="shared" si="35"/>
        <v>-840</v>
      </c>
    </row>
    <row r="2247" spans="1:6" x14ac:dyDescent="0.2">
      <c r="A2247" s="91">
        <v>45845</v>
      </c>
      <c r="B2247" s="43">
        <v>15011</v>
      </c>
      <c r="C2247" s="17" t="s">
        <v>227</v>
      </c>
      <c r="D2247" s="18">
        <v>311.85000000000002</v>
      </c>
      <c r="E2247" s="19"/>
      <c r="F2247" s="15">
        <f t="shared" si="35"/>
        <v>-311.85000000000002</v>
      </c>
    </row>
    <row r="2248" spans="1:6" x14ac:dyDescent="0.2">
      <c r="A2248" s="91">
        <v>45846</v>
      </c>
      <c r="B2248" s="45"/>
      <c r="C2248" s="17" t="s">
        <v>227</v>
      </c>
      <c r="D2248" s="18">
        <v>840</v>
      </c>
      <c r="E2248" s="19"/>
      <c r="F2248" s="15">
        <f t="shared" si="35"/>
        <v>-840</v>
      </c>
    </row>
    <row r="2249" spans="1:6" x14ac:dyDescent="0.2">
      <c r="A2249" s="91">
        <v>45846</v>
      </c>
      <c r="B2249" s="43">
        <v>14421</v>
      </c>
      <c r="C2249" s="17" t="s">
        <v>227</v>
      </c>
      <c r="D2249" s="18">
        <v>311.85000000000002</v>
      </c>
      <c r="E2249" s="19"/>
      <c r="F2249" s="15">
        <f t="shared" si="35"/>
        <v>-311.85000000000002</v>
      </c>
    </row>
    <row r="2250" spans="1:6" x14ac:dyDescent="0.2">
      <c r="A2250" s="91">
        <v>45848</v>
      </c>
      <c r="B2250" s="45"/>
      <c r="C2250" s="17" t="s">
        <v>227</v>
      </c>
      <c r="D2250" s="18">
        <v>277.2</v>
      </c>
      <c r="E2250" s="19"/>
      <c r="F2250" s="15">
        <f t="shared" si="35"/>
        <v>-277.2</v>
      </c>
    </row>
    <row r="2251" spans="1:6" x14ac:dyDescent="0.2">
      <c r="A2251" s="91">
        <v>45852</v>
      </c>
      <c r="B2251" s="43">
        <v>15964</v>
      </c>
      <c r="C2251" s="17" t="s">
        <v>227</v>
      </c>
      <c r="D2251" s="18">
        <v>151.19999999999999</v>
      </c>
      <c r="E2251" s="19"/>
      <c r="F2251" s="15">
        <f t="shared" si="35"/>
        <v>-151.19999999999999</v>
      </c>
    </row>
    <row r="2252" spans="1:6" x14ac:dyDescent="0.2">
      <c r="A2252" s="91">
        <v>45854</v>
      </c>
      <c r="B2252" s="45"/>
      <c r="C2252" s="17" t="s">
        <v>227</v>
      </c>
      <c r="D2252" s="18">
        <v>277.2</v>
      </c>
      <c r="E2252" s="19"/>
      <c r="F2252" s="15">
        <f t="shared" si="35"/>
        <v>-277.2</v>
      </c>
    </row>
    <row r="2253" spans="1:6" x14ac:dyDescent="0.2">
      <c r="A2253" s="91">
        <v>45856</v>
      </c>
      <c r="B2253" s="43">
        <v>16725</v>
      </c>
      <c r="C2253" s="17" t="s">
        <v>227</v>
      </c>
      <c r="D2253" s="18">
        <v>25.2</v>
      </c>
      <c r="E2253" s="19"/>
      <c r="F2253" s="15">
        <f t="shared" si="35"/>
        <v>-25.2</v>
      </c>
    </row>
    <row r="2254" spans="1:6" x14ac:dyDescent="0.2">
      <c r="A2254" s="91">
        <v>45856</v>
      </c>
      <c r="B2254" s="43">
        <v>16726</v>
      </c>
      <c r="C2254" s="17" t="s">
        <v>227</v>
      </c>
      <c r="D2254" s="18">
        <v>151.19999999999999</v>
      </c>
      <c r="E2254" s="19"/>
      <c r="F2254" s="15">
        <f t="shared" si="35"/>
        <v>-151.19999999999999</v>
      </c>
    </row>
    <row r="2255" spans="1:6" x14ac:dyDescent="0.2">
      <c r="A2255" s="91">
        <v>45856</v>
      </c>
      <c r="B2255" s="43">
        <v>16727</v>
      </c>
      <c r="C2255" s="17" t="s">
        <v>227</v>
      </c>
      <c r="D2255" s="18">
        <v>151.19999999999999</v>
      </c>
      <c r="E2255" s="19"/>
      <c r="F2255" s="15">
        <f t="shared" si="35"/>
        <v>-151.19999999999999</v>
      </c>
    </row>
    <row r="2256" spans="1:6" x14ac:dyDescent="0.2">
      <c r="A2256" s="91">
        <v>45856</v>
      </c>
      <c r="B2256" s="43">
        <v>16728</v>
      </c>
      <c r="C2256" s="17" t="s">
        <v>227</v>
      </c>
      <c r="D2256" s="18">
        <v>151.19999999999999</v>
      </c>
      <c r="E2256" s="19"/>
      <c r="F2256" s="15">
        <f t="shared" si="35"/>
        <v>-151.19999999999999</v>
      </c>
    </row>
    <row r="2257" spans="1:6" x14ac:dyDescent="0.2">
      <c r="A2257" s="91">
        <v>45856</v>
      </c>
      <c r="B2257" s="43">
        <v>16729</v>
      </c>
      <c r="C2257" s="17" t="s">
        <v>227</v>
      </c>
      <c r="D2257" s="18">
        <v>311.85000000000002</v>
      </c>
      <c r="E2257" s="19"/>
      <c r="F2257" s="15">
        <f t="shared" si="35"/>
        <v>-311.85000000000002</v>
      </c>
    </row>
    <row r="2258" spans="1:6" x14ac:dyDescent="0.2">
      <c r="A2258" s="91">
        <v>45856</v>
      </c>
      <c r="B2258" s="43">
        <v>16730</v>
      </c>
      <c r="C2258" s="17" t="s">
        <v>227</v>
      </c>
      <c r="D2258" s="18">
        <v>311.85000000000002</v>
      </c>
      <c r="E2258" s="19"/>
      <c r="F2258" s="15">
        <f t="shared" si="35"/>
        <v>-311.85000000000002</v>
      </c>
    </row>
    <row r="2259" spans="1:6" x14ac:dyDescent="0.2">
      <c r="A2259" s="91">
        <v>45856</v>
      </c>
      <c r="B2259" s="43">
        <v>16731</v>
      </c>
      <c r="C2259" s="17" t="s">
        <v>227</v>
      </c>
      <c r="D2259" s="18">
        <v>311.85000000000002</v>
      </c>
      <c r="E2259" s="19"/>
      <c r="F2259" s="15">
        <f t="shared" si="35"/>
        <v>-311.85000000000002</v>
      </c>
    </row>
    <row r="2260" spans="1:6" x14ac:dyDescent="0.2">
      <c r="A2260" s="91">
        <v>45856</v>
      </c>
      <c r="B2260" s="43">
        <v>16732</v>
      </c>
      <c r="C2260" s="17" t="s">
        <v>227</v>
      </c>
      <c r="D2260" s="18">
        <v>311.85000000000002</v>
      </c>
      <c r="E2260" s="19"/>
      <c r="F2260" s="15">
        <f t="shared" si="35"/>
        <v>-311.85000000000002</v>
      </c>
    </row>
    <row r="2261" spans="1:6" x14ac:dyDescent="0.2">
      <c r="A2261" s="91">
        <v>45863</v>
      </c>
      <c r="B2261" s="43">
        <v>15431</v>
      </c>
      <c r="C2261" s="17" t="s">
        <v>227</v>
      </c>
      <c r="D2261" s="18">
        <v>66.150000000000006</v>
      </c>
      <c r="E2261" s="19"/>
      <c r="F2261" s="15">
        <f t="shared" si="35"/>
        <v>-66.150000000000006</v>
      </c>
    </row>
    <row r="2262" spans="1:6" x14ac:dyDescent="0.2">
      <c r="A2262" s="91">
        <v>45863</v>
      </c>
      <c r="B2262" s="43">
        <v>15432</v>
      </c>
      <c r="C2262" s="17" t="s">
        <v>227</v>
      </c>
      <c r="D2262" s="18">
        <v>151.19999999999999</v>
      </c>
      <c r="E2262" s="19"/>
      <c r="F2262" s="15">
        <f t="shared" si="35"/>
        <v>-151.19999999999999</v>
      </c>
    </row>
    <row r="2263" spans="1:6" x14ac:dyDescent="0.2">
      <c r="A2263" s="91">
        <v>45863</v>
      </c>
      <c r="B2263" s="43">
        <v>15433</v>
      </c>
      <c r="C2263" s="17" t="s">
        <v>227</v>
      </c>
      <c r="D2263" s="18">
        <v>151.19999999999999</v>
      </c>
      <c r="E2263" s="19"/>
      <c r="F2263" s="15">
        <f t="shared" si="35"/>
        <v>-151.19999999999999</v>
      </c>
    </row>
    <row r="2264" spans="1:6" x14ac:dyDescent="0.2">
      <c r="A2264" s="91">
        <v>45863</v>
      </c>
      <c r="B2264" s="46">
        <v>15436</v>
      </c>
      <c r="C2264" s="58" t="s">
        <v>227</v>
      </c>
      <c r="D2264" s="48">
        <v>311.85000000000002</v>
      </c>
      <c r="E2264" s="49"/>
      <c r="F2264" s="15">
        <f t="shared" si="35"/>
        <v>-311.85000000000002</v>
      </c>
    </row>
    <row r="2265" spans="1:6" x14ac:dyDescent="0.2">
      <c r="A2265" s="91">
        <v>45863</v>
      </c>
      <c r="B2265" s="44">
        <v>15437</v>
      </c>
      <c r="C2265" s="59" t="s">
        <v>227</v>
      </c>
      <c r="D2265" s="23">
        <v>311.85000000000002</v>
      </c>
      <c r="E2265" s="24"/>
      <c r="F2265" s="15">
        <f t="shared" si="35"/>
        <v>-311.85000000000002</v>
      </c>
    </row>
    <row r="2266" spans="1:6" x14ac:dyDescent="0.2">
      <c r="A2266" s="91">
        <v>45868</v>
      </c>
      <c r="B2266" s="45"/>
      <c r="C2266" s="17" t="s">
        <v>227</v>
      </c>
      <c r="D2266" s="18">
        <v>11193</v>
      </c>
      <c r="E2266" s="19"/>
      <c r="F2266" s="15">
        <f t="shared" si="35"/>
        <v>-11193</v>
      </c>
    </row>
    <row r="2267" spans="1:6" x14ac:dyDescent="0.2">
      <c r="A2267" s="91">
        <v>45868</v>
      </c>
      <c r="B2267" s="45"/>
      <c r="C2267" s="17" t="s">
        <v>227</v>
      </c>
      <c r="D2267" s="18">
        <v>13652.1</v>
      </c>
      <c r="E2267" s="19"/>
      <c r="F2267" s="15">
        <f t="shared" si="35"/>
        <v>-13652.1</v>
      </c>
    </row>
    <row r="2268" spans="1:6" x14ac:dyDescent="0.2">
      <c r="A2268" s="91">
        <v>45870</v>
      </c>
      <c r="B2268" s="45"/>
      <c r="C2268" s="17" t="s">
        <v>227</v>
      </c>
      <c r="D2268" s="18">
        <v>268.8</v>
      </c>
      <c r="E2268" s="19"/>
      <c r="F2268" s="15">
        <f t="shared" si="35"/>
        <v>-268.8</v>
      </c>
    </row>
    <row r="2269" spans="1:6" x14ac:dyDescent="0.2">
      <c r="A2269" s="91">
        <v>45870</v>
      </c>
      <c r="B2269" s="45"/>
      <c r="C2269" s="17" t="s">
        <v>227</v>
      </c>
      <c r="D2269" s="18">
        <v>3690.62</v>
      </c>
      <c r="E2269" s="19"/>
      <c r="F2269" s="15">
        <f t="shared" si="35"/>
        <v>-3690.62</v>
      </c>
    </row>
    <row r="2270" spans="1:6" x14ac:dyDescent="0.2">
      <c r="A2270" s="91">
        <v>45874</v>
      </c>
      <c r="B2270" s="43">
        <v>11728</v>
      </c>
      <c r="C2270" s="17" t="s">
        <v>227</v>
      </c>
      <c r="D2270" s="18">
        <v>311.85000000000002</v>
      </c>
      <c r="E2270" s="19"/>
      <c r="F2270" s="15">
        <f t="shared" si="35"/>
        <v>-311.85000000000002</v>
      </c>
    </row>
    <row r="2271" spans="1:6" x14ac:dyDescent="0.2">
      <c r="A2271" s="91">
        <v>45877</v>
      </c>
      <c r="B2271" s="45"/>
      <c r="C2271" s="17" t="s">
        <v>227</v>
      </c>
      <c r="D2271" s="18">
        <v>136.63999999999999</v>
      </c>
      <c r="E2271" s="19"/>
      <c r="F2271" s="15">
        <f t="shared" si="35"/>
        <v>-136.63999999999999</v>
      </c>
    </row>
    <row r="2272" spans="1:6" x14ac:dyDescent="0.2">
      <c r="A2272" s="91">
        <v>45880</v>
      </c>
      <c r="B2272" s="45"/>
      <c r="C2272" s="17" t="s">
        <v>227</v>
      </c>
      <c r="D2272" s="18">
        <v>2675.78</v>
      </c>
      <c r="E2272" s="19"/>
      <c r="F2272" s="15">
        <f t="shared" si="35"/>
        <v>-2675.78</v>
      </c>
    </row>
    <row r="2273" spans="1:6" x14ac:dyDescent="0.2">
      <c r="A2273" s="91">
        <v>45880</v>
      </c>
      <c r="B2273" s="43">
        <v>16361</v>
      </c>
      <c r="C2273" s="17" t="s">
        <v>227</v>
      </c>
      <c r="D2273" s="18">
        <v>311.85000000000002</v>
      </c>
      <c r="E2273" s="19"/>
      <c r="F2273" s="15">
        <f t="shared" si="35"/>
        <v>-311.85000000000002</v>
      </c>
    </row>
    <row r="2274" spans="1:6" x14ac:dyDescent="0.2">
      <c r="A2274" s="91">
        <v>45883</v>
      </c>
      <c r="B2274" s="45"/>
      <c r="C2274" s="17" t="s">
        <v>227</v>
      </c>
      <c r="D2274" s="18">
        <v>176.4</v>
      </c>
      <c r="E2274" s="19"/>
      <c r="F2274" s="15">
        <f t="shared" si="35"/>
        <v>-176.4</v>
      </c>
    </row>
    <row r="2275" spans="1:6" x14ac:dyDescent="0.2">
      <c r="A2275" s="91">
        <v>45887</v>
      </c>
      <c r="B2275" s="45"/>
      <c r="C2275" s="17" t="s">
        <v>227</v>
      </c>
      <c r="D2275" s="18">
        <v>673.25</v>
      </c>
      <c r="E2275" s="19"/>
      <c r="F2275" s="15">
        <f t="shared" si="35"/>
        <v>-673.25</v>
      </c>
    </row>
    <row r="2276" spans="1:6" x14ac:dyDescent="0.2">
      <c r="A2276" s="91">
        <v>45889</v>
      </c>
      <c r="B2276" s="43">
        <v>14308</v>
      </c>
      <c r="C2276" s="17" t="s">
        <v>227</v>
      </c>
      <c r="D2276" s="18">
        <v>151.19999999999999</v>
      </c>
      <c r="E2276" s="19"/>
      <c r="F2276" s="15">
        <f t="shared" si="35"/>
        <v>-151.19999999999999</v>
      </c>
    </row>
    <row r="2277" spans="1:6" x14ac:dyDescent="0.2">
      <c r="A2277" s="91">
        <v>45889</v>
      </c>
      <c r="B2277" s="43">
        <v>14309</v>
      </c>
      <c r="C2277" s="17" t="s">
        <v>227</v>
      </c>
      <c r="D2277" s="18">
        <v>151.19999999999999</v>
      </c>
      <c r="E2277" s="19"/>
      <c r="F2277" s="15">
        <f t="shared" si="35"/>
        <v>-151.19999999999999</v>
      </c>
    </row>
    <row r="2278" spans="1:6" x14ac:dyDescent="0.2">
      <c r="A2278" s="91">
        <v>45889</v>
      </c>
      <c r="B2278" s="43">
        <v>14310</v>
      </c>
      <c r="C2278" s="17" t="s">
        <v>227</v>
      </c>
      <c r="D2278" s="18">
        <v>311.85000000000002</v>
      </c>
      <c r="E2278" s="19"/>
      <c r="F2278" s="15">
        <f t="shared" si="35"/>
        <v>-311.85000000000002</v>
      </c>
    </row>
    <row r="2279" spans="1:6" x14ac:dyDescent="0.2">
      <c r="A2279" s="91">
        <v>45889</v>
      </c>
      <c r="B2279" s="43">
        <v>14311</v>
      </c>
      <c r="C2279" s="17" t="s">
        <v>227</v>
      </c>
      <c r="D2279" s="18">
        <v>311.85000000000002</v>
      </c>
      <c r="E2279" s="19"/>
      <c r="F2279" s="15">
        <f t="shared" si="35"/>
        <v>-311.85000000000002</v>
      </c>
    </row>
    <row r="2280" spans="1:6" x14ac:dyDescent="0.2">
      <c r="A2280" s="91">
        <v>45889</v>
      </c>
      <c r="B2280" s="43">
        <v>14312</v>
      </c>
      <c r="C2280" s="17" t="s">
        <v>227</v>
      </c>
      <c r="D2280" s="18">
        <v>311.85000000000002</v>
      </c>
      <c r="E2280" s="19"/>
      <c r="F2280" s="15">
        <f t="shared" si="35"/>
        <v>-311.85000000000002</v>
      </c>
    </row>
    <row r="2281" spans="1:6" x14ac:dyDescent="0.2">
      <c r="A2281" s="91">
        <v>45890</v>
      </c>
      <c r="B2281" s="45"/>
      <c r="C2281" s="17" t="s">
        <v>227</v>
      </c>
      <c r="D2281" s="18">
        <v>277.2</v>
      </c>
      <c r="E2281" s="19"/>
      <c r="F2281" s="15">
        <f t="shared" si="35"/>
        <v>-277.2</v>
      </c>
    </row>
    <row r="2282" spans="1:6" x14ac:dyDescent="0.2">
      <c r="A2282" s="91">
        <v>45891</v>
      </c>
      <c r="B2282" s="45"/>
      <c r="C2282" s="17" t="s">
        <v>227</v>
      </c>
      <c r="D2282" s="18">
        <v>277.2</v>
      </c>
      <c r="E2282" s="19"/>
      <c r="F2282" s="15">
        <f t="shared" si="35"/>
        <v>-277.2</v>
      </c>
    </row>
    <row r="2283" spans="1:6" x14ac:dyDescent="0.2">
      <c r="A2283" s="91">
        <v>45894</v>
      </c>
      <c r="B2283" s="45"/>
      <c r="C2283" s="17" t="s">
        <v>227</v>
      </c>
      <c r="D2283" s="18">
        <v>277.2</v>
      </c>
      <c r="E2283" s="19"/>
      <c r="F2283" s="15">
        <f t="shared" si="35"/>
        <v>-277.2</v>
      </c>
    </row>
    <row r="2284" spans="1:6" x14ac:dyDescent="0.2">
      <c r="A2284" s="91">
        <v>45896</v>
      </c>
      <c r="B2284" s="45"/>
      <c r="C2284" s="17" t="s">
        <v>227</v>
      </c>
      <c r="D2284" s="18">
        <v>277.2</v>
      </c>
      <c r="E2284" s="19"/>
      <c r="F2284" s="15">
        <f t="shared" si="35"/>
        <v>-277.2</v>
      </c>
    </row>
    <row r="2285" spans="1:6" x14ac:dyDescent="0.2">
      <c r="A2285" s="91">
        <v>45897</v>
      </c>
      <c r="B2285" s="45"/>
      <c r="C2285" s="17" t="s">
        <v>227</v>
      </c>
      <c r="D2285" s="18">
        <v>11193</v>
      </c>
      <c r="E2285" s="19"/>
      <c r="F2285" s="15">
        <f t="shared" si="35"/>
        <v>-11193</v>
      </c>
    </row>
    <row r="2286" spans="1:6" x14ac:dyDescent="0.2">
      <c r="A2286" s="91">
        <v>45897</v>
      </c>
      <c r="B2286" s="45"/>
      <c r="C2286" s="17" t="s">
        <v>227</v>
      </c>
      <c r="D2286" s="18">
        <v>8480.85</v>
      </c>
      <c r="E2286" s="19"/>
      <c r="F2286" s="15">
        <f t="shared" si="35"/>
        <v>-8480.85</v>
      </c>
    </row>
    <row r="2287" spans="1:6" x14ac:dyDescent="0.2">
      <c r="A2287" s="91">
        <v>45898</v>
      </c>
      <c r="B2287" s="45"/>
      <c r="C2287" s="17" t="s">
        <v>227</v>
      </c>
      <c r="D2287" s="18">
        <v>277.2</v>
      </c>
      <c r="E2287" s="19"/>
      <c r="F2287" s="15">
        <f t="shared" si="35"/>
        <v>-277.2</v>
      </c>
    </row>
    <row r="2288" spans="1:6" x14ac:dyDescent="0.2">
      <c r="A2288" s="91">
        <v>45898</v>
      </c>
      <c r="B2288" s="45"/>
      <c r="C2288" s="17" t="s">
        <v>227</v>
      </c>
      <c r="D2288" s="18">
        <v>1171.77</v>
      </c>
      <c r="E2288" s="19"/>
      <c r="F2288" s="15">
        <f t="shared" si="35"/>
        <v>-1171.77</v>
      </c>
    </row>
    <row r="2289" spans="1:6" x14ac:dyDescent="0.2">
      <c r="A2289" s="91">
        <v>45628</v>
      </c>
      <c r="B2289" s="45"/>
      <c r="C2289" s="17" t="s">
        <v>199</v>
      </c>
      <c r="D2289" s="18">
        <v>102.9</v>
      </c>
      <c r="E2289" s="19"/>
      <c r="F2289" s="15">
        <f t="shared" si="35"/>
        <v>-102.9</v>
      </c>
    </row>
    <row r="2290" spans="1:6" x14ac:dyDescent="0.2">
      <c r="A2290" s="91">
        <v>45628</v>
      </c>
      <c r="B2290" s="45"/>
      <c r="C2290" s="17" t="s">
        <v>199</v>
      </c>
      <c r="D2290" s="18">
        <v>420</v>
      </c>
      <c r="E2290" s="19"/>
      <c r="F2290" s="15">
        <f t="shared" si="35"/>
        <v>-420</v>
      </c>
    </row>
    <row r="2291" spans="1:6" x14ac:dyDescent="0.2">
      <c r="A2291" s="91">
        <v>45631</v>
      </c>
      <c r="B2291" s="46">
        <v>13200</v>
      </c>
      <c r="C2291" s="58" t="s">
        <v>199</v>
      </c>
      <c r="D2291" s="48">
        <v>311.85000000000002</v>
      </c>
      <c r="E2291" s="49"/>
      <c r="F2291" s="15">
        <f t="shared" si="35"/>
        <v>-311.85000000000002</v>
      </c>
    </row>
    <row r="2292" spans="1:6" x14ac:dyDescent="0.2">
      <c r="A2292" s="91">
        <v>45635</v>
      </c>
      <c r="B2292" s="50"/>
      <c r="C2292" s="59" t="s">
        <v>199</v>
      </c>
      <c r="D2292" s="23">
        <v>231</v>
      </c>
      <c r="E2292" s="24"/>
      <c r="F2292" s="15">
        <f t="shared" si="35"/>
        <v>-231</v>
      </c>
    </row>
    <row r="2293" spans="1:6" x14ac:dyDescent="0.2">
      <c r="A2293" s="91">
        <v>45636</v>
      </c>
      <c r="B2293" s="45"/>
      <c r="C2293" s="17" t="s">
        <v>199</v>
      </c>
      <c r="D2293" s="18">
        <v>231</v>
      </c>
      <c r="E2293" s="19"/>
      <c r="F2293" s="15">
        <f t="shared" si="35"/>
        <v>-231</v>
      </c>
    </row>
    <row r="2294" spans="1:6" x14ac:dyDescent="0.2">
      <c r="A2294" s="91">
        <v>45639</v>
      </c>
      <c r="B2294" s="43">
        <v>16834</v>
      </c>
      <c r="C2294" s="17" t="s">
        <v>199</v>
      </c>
      <c r="D2294" s="18">
        <v>25.2</v>
      </c>
      <c r="E2294" s="19"/>
      <c r="F2294" s="15">
        <f t="shared" si="35"/>
        <v>-25.2</v>
      </c>
    </row>
    <row r="2295" spans="1:6" x14ac:dyDescent="0.2">
      <c r="A2295" s="91">
        <v>45639</v>
      </c>
      <c r="B2295" s="43">
        <v>16835</v>
      </c>
      <c r="C2295" s="17" t="s">
        <v>199</v>
      </c>
      <c r="D2295" s="18">
        <v>151.19999999999999</v>
      </c>
      <c r="E2295" s="19"/>
      <c r="F2295" s="15">
        <f t="shared" si="35"/>
        <v>-151.19999999999999</v>
      </c>
    </row>
    <row r="2296" spans="1:6" x14ac:dyDescent="0.2">
      <c r="A2296" s="91">
        <v>45639</v>
      </c>
      <c r="B2296" s="43">
        <v>16836</v>
      </c>
      <c r="C2296" s="17" t="s">
        <v>199</v>
      </c>
      <c r="D2296" s="18">
        <v>311.85000000000002</v>
      </c>
      <c r="E2296" s="19"/>
      <c r="F2296" s="15">
        <f t="shared" si="35"/>
        <v>-311.85000000000002</v>
      </c>
    </row>
    <row r="2297" spans="1:6" x14ac:dyDescent="0.2">
      <c r="A2297" s="91">
        <v>45639</v>
      </c>
      <c r="B2297" s="43">
        <v>16837</v>
      </c>
      <c r="C2297" s="17" t="s">
        <v>199</v>
      </c>
      <c r="D2297" s="18">
        <v>311.85000000000002</v>
      </c>
      <c r="E2297" s="19"/>
      <c r="F2297" s="15">
        <f t="shared" si="35"/>
        <v>-311.85000000000002</v>
      </c>
    </row>
    <row r="2298" spans="1:6" x14ac:dyDescent="0.2">
      <c r="A2298" s="91">
        <v>45639</v>
      </c>
      <c r="B2298" s="43">
        <v>16838</v>
      </c>
      <c r="C2298" s="17" t="s">
        <v>199</v>
      </c>
      <c r="D2298" s="18">
        <v>311.85000000000002</v>
      </c>
      <c r="E2298" s="19"/>
      <c r="F2298" s="15">
        <f t="shared" si="35"/>
        <v>-311.85000000000002</v>
      </c>
    </row>
    <row r="2299" spans="1:6" x14ac:dyDescent="0.2">
      <c r="A2299" s="91">
        <v>45642</v>
      </c>
      <c r="B2299" s="43">
        <v>14536</v>
      </c>
      <c r="C2299" s="17" t="s">
        <v>199</v>
      </c>
      <c r="D2299" s="18">
        <v>151.19999999999999</v>
      </c>
      <c r="E2299" s="19"/>
      <c r="F2299" s="15">
        <f t="shared" si="35"/>
        <v>-151.19999999999999</v>
      </c>
    </row>
    <row r="2300" spans="1:6" x14ac:dyDescent="0.2">
      <c r="A2300" s="91">
        <v>45642</v>
      </c>
      <c r="B2300" s="43">
        <v>14537</v>
      </c>
      <c r="C2300" s="17" t="s">
        <v>199</v>
      </c>
      <c r="D2300" s="18">
        <v>311.85000000000002</v>
      </c>
      <c r="E2300" s="19"/>
      <c r="F2300" s="15">
        <f t="shared" si="35"/>
        <v>-311.85000000000002</v>
      </c>
    </row>
    <row r="2301" spans="1:6" x14ac:dyDescent="0.2">
      <c r="A2301" s="91">
        <v>45645</v>
      </c>
      <c r="B2301" s="45"/>
      <c r="C2301" s="17" t="s">
        <v>199</v>
      </c>
      <c r="D2301" s="18">
        <v>420</v>
      </c>
      <c r="E2301" s="19"/>
      <c r="F2301" s="15">
        <f t="shared" si="35"/>
        <v>-420</v>
      </c>
    </row>
    <row r="2302" spans="1:6" x14ac:dyDescent="0.2">
      <c r="A2302" s="91">
        <v>45645</v>
      </c>
      <c r="B2302" s="43">
        <v>15015</v>
      </c>
      <c r="C2302" s="17" t="s">
        <v>199</v>
      </c>
      <c r="D2302" s="18">
        <v>311.85000000000002</v>
      </c>
      <c r="E2302" s="19"/>
      <c r="F2302" s="15">
        <f t="shared" si="35"/>
        <v>-311.85000000000002</v>
      </c>
    </row>
    <row r="2303" spans="1:6" x14ac:dyDescent="0.2">
      <c r="A2303" s="91">
        <v>45645</v>
      </c>
      <c r="B2303" s="43">
        <v>15016</v>
      </c>
      <c r="C2303" s="17" t="s">
        <v>199</v>
      </c>
      <c r="D2303" s="18">
        <v>311.85000000000002</v>
      </c>
      <c r="E2303" s="19"/>
      <c r="F2303" s="15">
        <f t="shared" si="35"/>
        <v>-311.85000000000002</v>
      </c>
    </row>
    <row r="2304" spans="1:6" x14ac:dyDescent="0.2">
      <c r="A2304" s="91">
        <v>45646</v>
      </c>
      <c r="B2304" s="43">
        <v>19865</v>
      </c>
      <c r="C2304" s="17" t="s">
        <v>199</v>
      </c>
      <c r="D2304" s="18">
        <v>66.150000000000006</v>
      </c>
      <c r="E2304" s="19"/>
      <c r="F2304" s="15">
        <f t="shared" si="35"/>
        <v>-66.150000000000006</v>
      </c>
    </row>
    <row r="2305" spans="1:8" x14ac:dyDescent="0.2">
      <c r="A2305" s="91">
        <v>45646</v>
      </c>
      <c r="B2305" s="43">
        <v>19866</v>
      </c>
      <c r="C2305" s="17" t="s">
        <v>199</v>
      </c>
      <c r="D2305" s="18">
        <v>151.19999999999999</v>
      </c>
      <c r="E2305" s="19"/>
      <c r="F2305" s="15">
        <f t="shared" si="35"/>
        <v>-151.19999999999999</v>
      </c>
    </row>
    <row r="2306" spans="1:8" x14ac:dyDescent="0.2">
      <c r="A2306" s="91">
        <v>45646</v>
      </c>
      <c r="B2306" s="43">
        <v>19867</v>
      </c>
      <c r="C2306" s="17" t="s">
        <v>199</v>
      </c>
      <c r="D2306" s="18">
        <v>311.85000000000002</v>
      </c>
      <c r="E2306" s="19"/>
      <c r="F2306" s="15">
        <f t="shared" si="35"/>
        <v>-311.85000000000002</v>
      </c>
    </row>
    <row r="2307" spans="1:8" x14ac:dyDescent="0.2">
      <c r="A2307" s="91">
        <v>45649</v>
      </c>
      <c r="B2307" s="43">
        <v>17244</v>
      </c>
      <c r="C2307" s="17" t="s">
        <v>199</v>
      </c>
      <c r="D2307" s="18">
        <v>311.85000000000002</v>
      </c>
      <c r="E2307" s="19"/>
      <c r="F2307" s="15">
        <f t="shared" ref="F2307:F2370" si="36">+E2307-D2307</f>
        <v>-311.85000000000002</v>
      </c>
    </row>
    <row r="2308" spans="1:8" x14ac:dyDescent="0.2">
      <c r="A2308" s="91">
        <v>45649</v>
      </c>
      <c r="B2308" s="43">
        <v>17245</v>
      </c>
      <c r="C2308" s="17" t="s">
        <v>199</v>
      </c>
      <c r="D2308" s="18">
        <v>311.85000000000002</v>
      </c>
      <c r="E2308" s="19"/>
      <c r="F2308" s="15">
        <f t="shared" si="36"/>
        <v>-311.85000000000002</v>
      </c>
    </row>
    <row r="2309" spans="1:8" x14ac:dyDescent="0.2">
      <c r="A2309" s="91">
        <v>45653</v>
      </c>
      <c r="B2309" s="45"/>
      <c r="C2309" s="17" t="s">
        <v>199</v>
      </c>
      <c r="D2309" s="18">
        <v>420</v>
      </c>
      <c r="E2309" s="19"/>
      <c r="F2309" s="15">
        <f t="shared" si="36"/>
        <v>-420</v>
      </c>
    </row>
    <row r="2310" spans="1:8" x14ac:dyDescent="0.2">
      <c r="A2310" s="91">
        <v>45653</v>
      </c>
      <c r="B2310" s="43">
        <v>16938</v>
      </c>
      <c r="C2310" s="17" t="s">
        <v>199</v>
      </c>
      <c r="D2310" s="18">
        <v>151.19999999999999</v>
      </c>
      <c r="E2310" s="19"/>
      <c r="F2310" s="15">
        <f t="shared" si="36"/>
        <v>-151.19999999999999</v>
      </c>
    </row>
    <row r="2311" spans="1:8" x14ac:dyDescent="0.2">
      <c r="A2311" s="91">
        <v>45656</v>
      </c>
      <c r="B2311" s="45"/>
      <c r="C2311" s="17" t="s">
        <v>199</v>
      </c>
      <c r="D2311" s="18">
        <v>840</v>
      </c>
      <c r="E2311" s="19"/>
      <c r="F2311" s="15">
        <f t="shared" si="36"/>
        <v>-840</v>
      </c>
    </row>
    <row r="2312" spans="1:8" x14ac:dyDescent="0.2">
      <c r="A2312" s="91">
        <v>45656</v>
      </c>
      <c r="B2312" s="45"/>
      <c r="C2312" s="17" t="s">
        <v>199</v>
      </c>
      <c r="D2312" s="25">
        <v>9324</v>
      </c>
      <c r="E2312" s="19"/>
      <c r="F2312" s="15">
        <f t="shared" si="36"/>
        <v>-9324</v>
      </c>
    </row>
    <row r="2313" spans="1:8" x14ac:dyDescent="0.2">
      <c r="A2313" s="91">
        <v>45656</v>
      </c>
      <c r="B2313" s="45"/>
      <c r="C2313" s="17" t="s">
        <v>199</v>
      </c>
      <c r="D2313" s="25">
        <v>9643.2000000000007</v>
      </c>
      <c r="E2313" s="19"/>
      <c r="F2313" s="15">
        <f t="shared" si="36"/>
        <v>-9643.2000000000007</v>
      </c>
    </row>
    <row r="2314" spans="1:8" x14ac:dyDescent="0.2">
      <c r="A2314" s="91">
        <v>45604</v>
      </c>
      <c r="B2314" s="45"/>
      <c r="C2314" s="17" t="s">
        <v>153</v>
      </c>
      <c r="D2314" s="18">
        <v>555.59</v>
      </c>
      <c r="E2314" s="19"/>
      <c r="F2314" s="15">
        <f t="shared" si="36"/>
        <v>-555.59</v>
      </c>
    </row>
    <row r="2315" spans="1:8" x14ac:dyDescent="0.2">
      <c r="A2315" s="91">
        <v>45817</v>
      </c>
      <c r="B2315" s="45"/>
      <c r="C2315" s="17" t="s">
        <v>153</v>
      </c>
      <c r="D2315" s="18">
        <v>255.76</v>
      </c>
      <c r="E2315" s="19"/>
      <c r="F2315" s="15">
        <f t="shared" si="36"/>
        <v>-255.76</v>
      </c>
    </row>
    <row r="2316" spans="1:8" x14ac:dyDescent="0.2">
      <c r="A2316" s="91">
        <v>45846</v>
      </c>
      <c r="B2316" s="51"/>
      <c r="C2316" s="58" t="s">
        <v>153</v>
      </c>
      <c r="D2316" s="48">
        <v>150.97</v>
      </c>
      <c r="E2316" s="49"/>
      <c r="F2316" s="15">
        <f t="shared" si="36"/>
        <v>-150.97</v>
      </c>
    </row>
    <row r="2317" spans="1:8" x14ac:dyDescent="0.2">
      <c r="A2317" s="91">
        <v>45876</v>
      </c>
      <c r="B2317" s="50"/>
      <c r="C2317" s="59" t="s">
        <v>153</v>
      </c>
      <c r="D2317" s="23">
        <v>2039.31</v>
      </c>
      <c r="E2317" s="24"/>
      <c r="F2317" s="15">
        <f t="shared" si="36"/>
        <v>-2039.31</v>
      </c>
    </row>
    <row r="2318" spans="1:8" x14ac:dyDescent="0.2">
      <c r="A2318" s="91">
        <v>45545</v>
      </c>
      <c r="B2318" s="26"/>
      <c r="C2318" s="17" t="s">
        <v>37</v>
      </c>
      <c r="D2318" s="18">
        <v>120</v>
      </c>
      <c r="E2318" s="19"/>
      <c r="F2318" s="15">
        <f t="shared" si="36"/>
        <v>-120</v>
      </c>
      <c r="H2318" s="10"/>
    </row>
    <row r="2319" spans="1:8" x14ac:dyDescent="0.2">
      <c r="A2319" s="91">
        <v>45562</v>
      </c>
      <c r="B2319" s="26"/>
      <c r="C2319" s="17" t="s">
        <v>37</v>
      </c>
      <c r="D2319" s="18">
        <v>999</v>
      </c>
      <c r="E2319" s="19"/>
      <c r="F2319" s="15">
        <f t="shared" si="36"/>
        <v>-999</v>
      </c>
      <c r="H2319" s="10"/>
    </row>
    <row r="2320" spans="1:8" x14ac:dyDescent="0.2">
      <c r="A2320" s="91">
        <v>45562</v>
      </c>
      <c r="B2320" s="26"/>
      <c r="C2320" s="17" t="s">
        <v>37</v>
      </c>
      <c r="D2320" s="18">
        <v>1020.6</v>
      </c>
      <c r="E2320" s="19"/>
      <c r="F2320" s="15">
        <f t="shared" si="36"/>
        <v>-1020.6</v>
      </c>
      <c r="H2320" s="10"/>
    </row>
    <row r="2321" spans="1:6" x14ac:dyDescent="0.2">
      <c r="A2321" s="91">
        <v>45567</v>
      </c>
      <c r="B2321" s="45"/>
      <c r="C2321" s="17" t="s">
        <v>37</v>
      </c>
      <c r="D2321" s="18">
        <v>60</v>
      </c>
      <c r="E2321" s="19"/>
      <c r="F2321" s="15">
        <f t="shared" si="36"/>
        <v>-60</v>
      </c>
    </row>
    <row r="2322" spans="1:6" x14ac:dyDescent="0.2">
      <c r="A2322" s="91">
        <v>45568</v>
      </c>
      <c r="B2322" s="45"/>
      <c r="C2322" s="17" t="s">
        <v>37</v>
      </c>
      <c r="D2322" s="18">
        <v>120</v>
      </c>
      <c r="E2322" s="19"/>
      <c r="F2322" s="15">
        <f t="shared" si="36"/>
        <v>-120</v>
      </c>
    </row>
    <row r="2323" spans="1:6" x14ac:dyDescent="0.2">
      <c r="A2323" s="91">
        <v>45595</v>
      </c>
      <c r="B2323" s="45"/>
      <c r="C2323" s="17" t="s">
        <v>37</v>
      </c>
      <c r="D2323" s="18">
        <v>999</v>
      </c>
      <c r="E2323" s="19"/>
      <c r="F2323" s="15">
        <f t="shared" si="36"/>
        <v>-999</v>
      </c>
    </row>
    <row r="2324" spans="1:6" x14ac:dyDescent="0.2">
      <c r="A2324" s="91">
        <v>45595</v>
      </c>
      <c r="B2324" s="45"/>
      <c r="C2324" s="17" t="s">
        <v>37</v>
      </c>
      <c r="D2324" s="18">
        <v>1266.3</v>
      </c>
      <c r="E2324" s="19"/>
      <c r="F2324" s="15">
        <f t="shared" si="36"/>
        <v>-1266.3</v>
      </c>
    </row>
    <row r="2325" spans="1:6" x14ac:dyDescent="0.2">
      <c r="A2325" s="91">
        <v>45596</v>
      </c>
      <c r="B2325" s="45"/>
      <c r="C2325" s="17" t="s">
        <v>37</v>
      </c>
      <c r="D2325" s="25">
        <v>120</v>
      </c>
      <c r="E2325" s="19"/>
      <c r="F2325" s="15">
        <f t="shared" si="36"/>
        <v>-120</v>
      </c>
    </row>
    <row r="2326" spans="1:6" x14ac:dyDescent="0.2">
      <c r="A2326" s="91">
        <v>45615</v>
      </c>
      <c r="B2326" s="45"/>
      <c r="C2326" s="17" t="s">
        <v>37</v>
      </c>
      <c r="D2326" s="18">
        <v>90</v>
      </c>
      <c r="E2326" s="19"/>
      <c r="F2326" s="15">
        <f t="shared" si="36"/>
        <v>-90</v>
      </c>
    </row>
    <row r="2327" spans="1:6" x14ac:dyDescent="0.2">
      <c r="A2327" s="91">
        <v>45616</v>
      </c>
      <c r="B2327" s="45"/>
      <c r="C2327" s="17" t="s">
        <v>37</v>
      </c>
      <c r="D2327" s="18">
        <v>120</v>
      </c>
      <c r="E2327" s="19"/>
      <c r="F2327" s="15">
        <f t="shared" si="36"/>
        <v>-120</v>
      </c>
    </row>
    <row r="2328" spans="1:6" x14ac:dyDescent="0.2">
      <c r="A2328" s="91">
        <v>45622</v>
      </c>
      <c r="B2328" s="45"/>
      <c r="C2328" s="17" t="s">
        <v>37</v>
      </c>
      <c r="D2328" s="18">
        <v>60</v>
      </c>
      <c r="E2328" s="19"/>
      <c r="F2328" s="15">
        <f t="shared" si="36"/>
        <v>-60</v>
      </c>
    </row>
    <row r="2329" spans="1:6" x14ac:dyDescent="0.2">
      <c r="A2329" s="91">
        <v>45624</v>
      </c>
      <c r="B2329" s="45"/>
      <c r="C2329" s="17" t="s">
        <v>37</v>
      </c>
      <c r="D2329" s="18">
        <v>1332</v>
      </c>
      <c r="E2329" s="19"/>
      <c r="F2329" s="15">
        <f t="shared" si="36"/>
        <v>-1332</v>
      </c>
    </row>
    <row r="2330" spans="1:6" x14ac:dyDescent="0.2">
      <c r="A2330" s="91">
        <v>45624</v>
      </c>
      <c r="B2330" s="45"/>
      <c r="C2330" s="17" t="s">
        <v>37</v>
      </c>
      <c r="D2330" s="18">
        <v>1328.4</v>
      </c>
      <c r="E2330" s="19"/>
      <c r="F2330" s="15">
        <f t="shared" si="36"/>
        <v>-1328.4</v>
      </c>
    </row>
    <row r="2331" spans="1:6" x14ac:dyDescent="0.2">
      <c r="A2331" s="91">
        <v>45625</v>
      </c>
      <c r="B2331" s="45"/>
      <c r="C2331" s="17" t="s">
        <v>37</v>
      </c>
      <c r="D2331" s="18">
        <v>150</v>
      </c>
      <c r="E2331" s="19"/>
      <c r="F2331" s="15">
        <f t="shared" si="36"/>
        <v>-150</v>
      </c>
    </row>
    <row r="2332" spans="1:6" x14ac:dyDescent="0.2">
      <c r="A2332" s="91">
        <v>45628</v>
      </c>
      <c r="B2332" s="45"/>
      <c r="C2332" s="17" t="s">
        <v>37</v>
      </c>
      <c r="D2332" s="18">
        <v>60</v>
      </c>
      <c r="E2332" s="19"/>
      <c r="F2332" s="15">
        <f t="shared" si="36"/>
        <v>-60</v>
      </c>
    </row>
    <row r="2333" spans="1:6" x14ac:dyDescent="0.2">
      <c r="A2333" s="91">
        <v>45645</v>
      </c>
      <c r="B2333" s="45"/>
      <c r="C2333" s="17" t="s">
        <v>37</v>
      </c>
      <c r="D2333" s="18">
        <v>60</v>
      </c>
      <c r="E2333" s="19"/>
      <c r="F2333" s="15">
        <f t="shared" si="36"/>
        <v>-60</v>
      </c>
    </row>
    <row r="2334" spans="1:6" x14ac:dyDescent="0.2">
      <c r="A2334" s="91">
        <v>45653</v>
      </c>
      <c r="B2334" s="45"/>
      <c r="C2334" s="17" t="s">
        <v>37</v>
      </c>
      <c r="D2334" s="18">
        <v>60</v>
      </c>
      <c r="E2334" s="19"/>
      <c r="F2334" s="15">
        <f t="shared" si="36"/>
        <v>-60</v>
      </c>
    </row>
    <row r="2335" spans="1:6" x14ac:dyDescent="0.2">
      <c r="A2335" s="91">
        <v>45656</v>
      </c>
      <c r="B2335" s="45"/>
      <c r="C2335" s="17" t="s">
        <v>37</v>
      </c>
      <c r="D2335" s="18">
        <v>120</v>
      </c>
      <c r="E2335" s="19"/>
      <c r="F2335" s="15">
        <f t="shared" si="36"/>
        <v>-120</v>
      </c>
    </row>
    <row r="2336" spans="1:6" x14ac:dyDescent="0.2">
      <c r="A2336" s="91">
        <v>45656</v>
      </c>
      <c r="B2336" s="45"/>
      <c r="C2336" s="17" t="s">
        <v>37</v>
      </c>
      <c r="D2336" s="25">
        <v>1332</v>
      </c>
      <c r="E2336" s="19"/>
      <c r="F2336" s="15">
        <f t="shared" si="36"/>
        <v>-1332</v>
      </c>
    </row>
    <row r="2337" spans="1:6" x14ac:dyDescent="0.2">
      <c r="A2337" s="91">
        <v>45656</v>
      </c>
      <c r="B2337" s="45"/>
      <c r="C2337" s="17" t="s">
        <v>37</v>
      </c>
      <c r="D2337" s="25">
        <v>1377.6</v>
      </c>
      <c r="E2337" s="19"/>
      <c r="F2337" s="15">
        <f t="shared" si="36"/>
        <v>-1377.6</v>
      </c>
    </row>
    <row r="2338" spans="1:6" x14ac:dyDescent="0.2">
      <c r="A2338" s="91">
        <v>45679</v>
      </c>
      <c r="B2338" s="45"/>
      <c r="C2338" s="17" t="s">
        <v>37</v>
      </c>
      <c r="D2338" s="18">
        <v>120</v>
      </c>
      <c r="E2338" s="19"/>
      <c r="F2338" s="15">
        <f t="shared" si="36"/>
        <v>-120</v>
      </c>
    </row>
    <row r="2339" spans="1:6" x14ac:dyDescent="0.2">
      <c r="A2339" s="91">
        <v>45680</v>
      </c>
      <c r="B2339" s="51"/>
      <c r="C2339" s="58" t="s">
        <v>37</v>
      </c>
      <c r="D2339" s="48">
        <v>90</v>
      </c>
      <c r="E2339" s="49"/>
      <c r="F2339" s="15">
        <f t="shared" si="36"/>
        <v>-90</v>
      </c>
    </row>
    <row r="2340" spans="1:6" x14ac:dyDescent="0.2">
      <c r="A2340" s="91">
        <v>45681</v>
      </c>
      <c r="B2340" s="50"/>
      <c r="C2340" s="59" t="s">
        <v>37</v>
      </c>
      <c r="D2340" s="23">
        <v>120</v>
      </c>
      <c r="E2340" s="24"/>
      <c r="F2340" s="15">
        <f t="shared" si="36"/>
        <v>-120</v>
      </c>
    </row>
    <row r="2341" spans="1:6" x14ac:dyDescent="0.2">
      <c r="A2341" s="91">
        <v>45684</v>
      </c>
      <c r="B2341" s="45"/>
      <c r="C2341" s="17" t="s">
        <v>37</v>
      </c>
      <c r="D2341" s="18">
        <v>60</v>
      </c>
      <c r="E2341" s="19"/>
      <c r="F2341" s="15">
        <f t="shared" si="36"/>
        <v>-60</v>
      </c>
    </row>
    <row r="2342" spans="1:6" x14ac:dyDescent="0.2">
      <c r="A2342" s="91">
        <v>45687</v>
      </c>
      <c r="B2342" s="45"/>
      <c r="C2342" s="17" t="s">
        <v>37</v>
      </c>
      <c r="D2342" s="18">
        <v>1230</v>
      </c>
      <c r="E2342" s="19"/>
      <c r="F2342" s="15">
        <f t="shared" si="36"/>
        <v>-1230</v>
      </c>
    </row>
    <row r="2343" spans="1:6" x14ac:dyDescent="0.2">
      <c r="A2343" s="91">
        <v>45687</v>
      </c>
      <c r="B2343" s="45"/>
      <c r="C2343" s="17" t="s">
        <v>37</v>
      </c>
      <c r="D2343" s="18">
        <v>1332</v>
      </c>
      <c r="E2343" s="19"/>
      <c r="F2343" s="15">
        <f t="shared" si="36"/>
        <v>-1332</v>
      </c>
    </row>
    <row r="2344" spans="1:6" x14ac:dyDescent="0.2">
      <c r="A2344" s="91">
        <v>45694</v>
      </c>
      <c r="B2344" s="45"/>
      <c r="C2344" s="17" t="s">
        <v>37</v>
      </c>
      <c r="D2344" s="18">
        <v>335.87</v>
      </c>
      <c r="E2344" s="19"/>
      <c r="F2344" s="15">
        <f t="shared" si="36"/>
        <v>-335.87</v>
      </c>
    </row>
    <row r="2345" spans="1:6" x14ac:dyDescent="0.2">
      <c r="A2345" s="91">
        <v>45701</v>
      </c>
      <c r="B2345" s="45"/>
      <c r="C2345" s="17" t="s">
        <v>37</v>
      </c>
      <c r="D2345" s="18">
        <v>120</v>
      </c>
      <c r="E2345" s="19"/>
      <c r="F2345" s="15">
        <f t="shared" si="36"/>
        <v>-120</v>
      </c>
    </row>
    <row r="2346" spans="1:6" x14ac:dyDescent="0.2">
      <c r="A2346" s="91">
        <v>45707</v>
      </c>
      <c r="B2346" s="45"/>
      <c r="C2346" s="17" t="s">
        <v>37</v>
      </c>
      <c r="D2346" s="18">
        <v>120</v>
      </c>
      <c r="E2346" s="19"/>
      <c r="F2346" s="15">
        <f t="shared" si="36"/>
        <v>-120</v>
      </c>
    </row>
    <row r="2347" spans="1:6" x14ac:dyDescent="0.2">
      <c r="A2347" s="91">
        <v>45708</v>
      </c>
      <c r="B2347" s="45"/>
      <c r="C2347" s="17" t="s">
        <v>37</v>
      </c>
      <c r="D2347" s="18">
        <v>120</v>
      </c>
      <c r="E2347" s="19"/>
      <c r="F2347" s="15">
        <f t="shared" si="36"/>
        <v>-120</v>
      </c>
    </row>
    <row r="2348" spans="1:6" x14ac:dyDescent="0.2">
      <c r="A2348" s="91">
        <v>45715</v>
      </c>
      <c r="B2348" s="45"/>
      <c r="C2348" s="17" t="s">
        <v>37</v>
      </c>
      <c r="D2348" s="18">
        <v>1332</v>
      </c>
      <c r="E2348" s="19"/>
      <c r="F2348" s="15">
        <f t="shared" si="36"/>
        <v>-1332</v>
      </c>
    </row>
    <row r="2349" spans="1:6" x14ac:dyDescent="0.2">
      <c r="A2349" s="91">
        <v>45715</v>
      </c>
      <c r="B2349" s="45"/>
      <c r="C2349" s="17" t="s">
        <v>37</v>
      </c>
      <c r="D2349" s="18">
        <v>1008.6</v>
      </c>
      <c r="E2349" s="19"/>
      <c r="F2349" s="15">
        <f t="shared" si="36"/>
        <v>-1008.6</v>
      </c>
    </row>
    <row r="2350" spans="1:6" x14ac:dyDescent="0.2">
      <c r="A2350" s="91">
        <v>45722</v>
      </c>
      <c r="B2350" s="45"/>
      <c r="C2350" s="17" t="s">
        <v>37</v>
      </c>
      <c r="D2350" s="18">
        <v>703.46</v>
      </c>
      <c r="E2350" s="19"/>
      <c r="F2350" s="15">
        <f t="shared" si="36"/>
        <v>-703.46</v>
      </c>
    </row>
    <row r="2351" spans="1:6" x14ac:dyDescent="0.2">
      <c r="A2351" s="91">
        <v>45727</v>
      </c>
      <c r="B2351" s="45"/>
      <c r="C2351" s="17" t="s">
        <v>37</v>
      </c>
      <c r="D2351" s="18">
        <v>720</v>
      </c>
      <c r="E2351" s="19"/>
      <c r="F2351" s="15">
        <f t="shared" si="36"/>
        <v>-720</v>
      </c>
    </row>
    <row r="2352" spans="1:6" x14ac:dyDescent="0.2">
      <c r="A2352" s="91">
        <v>45736</v>
      </c>
      <c r="B2352" s="45"/>
      <c r="C2352" s="17" t="s">
        <v>37</v>
      </c>
      <c r="D2352" s="18">
        <v>120</v>
      </c>
      <c r="E2352" s="19"/>
      <c r="F2352" s="15">
        <f t="shared" si="36"/>
        <v>-120</v>
      </c>
    </row>
    <row r="2353" spans="1:6" x14ac:dyDescent="0.2">
      <c r="A2353" s="91">
        <v>45737</v>
      </c>
      <c r="B2353" s="45"/>
      <c r="C2353" s="17" t="s">
        <v>37</v>
      </c>
      <c r="D2353" s="18">
        <v>120</v>
      </c>
      <c r="E2353" s="19"/>
      <c r="F2353" s="15">
        <f t="shared" si="36"/>
        <v>-120</v>
      </c>
    </row>
    <row r="2354" spans="1:6" x14ac:dyDescent="0.2">
      <c r="A2354" s="91">
        <v>45743</v>
      </c>
      <c r="B2354" s="45"/>
      <c r="C2354" s="17" t="s">
        <v>37</v>
      </c>
      <c r="D2354" s="18">
        <v>120</v>
      </c>
      <c r="E2354" s="19"/>
      <c r="F2354" s="15">
        <f t="shared" si="36"/>
        <v>-120</v>
      </c>
    </row>
    <row r="2355" spans="1:6" x14ac:dyDescent="0.2">
      <c r="A2355" s="91">
        <v>45744</v>
      </c>
      <c r="B2355" s="45"/>
      <c r="C2355" s="17" t="s">
        <v>37</v>
      </c>
      <c r="D2355" s="18">
        <v>630</v>
      </c>
      <c r="E2355" s="19"/>
      <c r="F2355" s="15">
        <f t="shared" si="36"/>
        <v>-630</v>
      </c>
    </row>
    <row r="2356" spans="1:6" x14ac:dyDescent="0.2">
      <c r="A2356" s="91">
        <v>45744</v>
      </c>
      <c r="B2356" s="45"/>
      <c r="C2356" s="17" t="s">
        <v>37</v>
      </c>
      <c r="D2356" s="18">
        <v>1599</v>
      </c>
      <c r="E2356" s="19"/>
      <c r="F2356" s="15">
        <f t="shared" si="36"/>
        <v>-1599</v>
      </c>
    </row>
    <row r="2357" spans="1:6" x14ac:dyDescent="0.2">
      <c r="A2357" s="91">
        <v>45744</v>
      </c>
      <c r="B2357" s="45"/>
      <c r="C2357" s="17" t="s">
        <v>37</v>
      </c>
      <c r="D2357" s="18">
        <v>1684.35</v>
      </c>
      <c r="E2357" s="19"/>
      <c r="F2357" s="15">
        <f t="shared" si="36"/>
        <v>-1684.35</v>
      </c>
    </row>
    <row r="2358" spans="1:6" x14ac:dyDescent="0.2">
      <c r="A2358" s="91">
        <v>45747</v>
      </c>
      <c r="B2358" s="45"/>
      <c r="C2358" s="17" t="s">
        <v>37</v>
      </c>
      <c r="D2358" s="18">
        <v>12155.95</v>
      </c>
      <c r="E2358" s="19"/>
      <c r="F2358" s="15">
        <f t="shared" si="36"/>
        <v>-12155.95</v>
      </c>
    </row>
    <row r="2359" spans="1:6" x14ac:dyDescent="0.2">
      <c r="A2359" s="91">
        <v>45769</v>
      </c>
      <c r="B2359" s="45"/>
      <c r="C2359" s="17" t="s">
        <v>37</v>
      </c>
      <c r="D2359" s="18">
        <v>120</v>
      </c>
      <c r="E2359" s="19"/>
      <c r="F2359" s="15">
        <f t="shared" si="36"/>
        <v>-120</v>
      </c>
    </row>
    <row r="2360" spans="1:6" x14ac:dyDescent="0.2">
      <c r="A2360" s="91">
        <v>45771</v>
      </c>
      <c r="B2360" s="45"/>
      <c r="C2360" s="17" t="s">
        <v>37</v>
      </c>
      <c r="D2360" s="18">
        <v>120</v>
      </c>
      <c r="E2360" s="19"/>
      <c r="F2360" s="15">
        <f t="shared" si="36"/>
        <v>-120</v>
      </c>
    </row>
    <row r="2361" spans="1:6" x14ac:dyDescent="0.2">
      <c r="A2361" s="91">
        <v>45776</v>
      </c>
      <c r="B2361" s="45"/>
      <c r="C2361" s="17" t="s">
        <v>37</v>
      </c>
      <c r="D2361" s="18">
        <v>1599</v>
      </c>
      <c r="E2361" s="19"/>
      <c r="F2361" s="15">
        <f t="shared" si="36"/>
        <v>-1599</v>
      </c>
    </row>
    <row r="2362" spans="1:6" x14ac:dyDescent="0.2">
      <c r="A2362" s="91">
        <v>45776</v>
      </c>
      <c r="B2362" s="51"/>
      <c r="C2362" s="58" t="s">
        <v>37</v>
      </c>
      <c r="D2362" s="48">
        <v>1832.1</v>
      </c>
      <c r="E2362" s="49"/>
      <c r="F2362" s="15">
        <f t="shared" si="36"/>
        <v>-1832.1</v>
      </c>
    </row>
    <row r="2363" spans="1:6" x14ac:dyDescent="0.2">
      <c r="A2363" s="91">
        <v>45783</v>
      </c>
      <c r="B2363" s="50"/>
      <c r="C2363" s="59" t="s">
        <v>37</v>
      </c>
      <c r="D2363" s="23">
        <v>720</v>
      </c>
      <c r="E2363" s="24"/>
      <c r="F2363" s="15">
        <f t="shared" si="36"/>
        <v>-720</v>
      </c>
    </row>
    <row r="2364" spans="1:6" x14ac:dyDescent="0.2">
      <c r="A2364" s="91">
        <v>45786</v>
      </c>
      <c r="B2364" s="45"/>
      <c r="C2364" s="17" t="s">
        <v>37</v>
      </c>
      <c r="D2364" s="18">
        <v>561.32000000000005</v>
      </c>
      <c r="E2364" s="19"/>
      <c r="F2364" s="15">
        <f t="shared" si="36"/>
        <v>-561.32000000000005</v>
      </c>
    </row>
    <row r="2365" spans="1:6" x14ac:dyDescent="0.2">
      <c r="A2365" s="91">
        <v>45792</v>
      </c>
      <c r="B2365" s="45"/>
      <c r="C2365" s="17" t="s">
        <v>37</v>
      </c>
      <c r="D2365" s="18">
        <v>120</v>
      </c>
      <c r="E2365" s="19"/>
      <c r="F2365" s="15">
        <f t="shared" si="36"/>
        <v>-120</v>
      </c>
    </row>
    <row r="2366" spans="1:6" x14ac:dyDescent="0.2">
      <c r="A2366" s="91">
        <v>45806</v>
      </c>
      <c r="B2366" s="45"/>
      <c r="C2366" s="17" t="s">
        <v>37</v>
      </c>
      <c r="D2366" s="18">
        <v>1599</v>
      </c>
      <c r="E2366" s="19"/>
      <c r="F2366" s="15">
        <f t="shared" si="36"/>
        <v>-1599</v>
      </c>
    </row>
    <row r="2367" spans="1:6" x14ac:dyDescent="0.2">
      <c r="A2367" s="91">
        <v>45806</v>
      </c>
      <c r="B2367" s="45"/>
      <c r="C2367" s="17" t="s">
        <v>37</v>
      </c>
      <c r="D2367" s="18">
        <v>1743.45</v>
      </c>
      <c r="E2367" s="19"/>
      <c r="F2367" s="15">
        <f t="shared" si="36"/>
        <v>-1743.45</v>
      </c>
    </row>
    <row r="2368" spans="1:6" x14ac:dyDescent="0.2">
      <c r="A2368" s="91">
        <v>45812</v>
      </c>
      <c r="B2368" s="45"/>
      <c r="C2368" s="17" t="s">
        <v>37</v>
      </c>
      <c r="D2368" s="18">
        <v>720</v>
      </c>
      <c r="E2368" s="19"/>
      <c r="F2368" s="15">
        <f t="shared" si="36"/>
        <v>-720</v>
      </c>
    </row>
    <row r="2369" spans="1:6" x14ac:dyDescent="0.2">
      <c r="A2369" s="91">
        <v>45813</v>
      </c>
      <c r="B2369" s="45"/>
      <c r="C2369" s="17" t="s">
        <v>37</v>
      </c>
      <c r="D2369" s="18">
        <v>109.07</v>
      </c>
      <c r="E2369" s="19"/>
      <c r="F2369" s="15">
        <f t="shared" si="36"/>
        <v>-109.07</v>
      </c>
    </row>
    <row r="2370" spans="1:6" x14ac:dyDescent="0.2">
      <c r="A2370" s="91">
        <v>45820</v>
      </c>
      <c r="B2370" s="45"/>
      <c r="C2370" s="17" t="s">
        <v>37</v>
      </c>
      <c r="D2370" s="18">
        <v>543.11</v>
      </c>
      <c r="E2370" s="19"/>
      <c r="F2370" s="15">
        <f t="shared" si="36"/>
        <v>-543.11</v>
      </c>
    </row>
    <row r="2371" spans="1:6" x14ac:dyDescent="0.2">
      <c r="A2371" s="91">
        <v>45825</v>
      </c>
      <c r="B2371" s="45"/>
      <c r="C2371" s="17" t="s">
        <v>37</v>
      </c>
      <c r="D2371" s="18">
        <v>720</v>
      </c>
      <c r="E2371" s="19"/>
      <c r="F2371" s="15">
        <f t="shared" ref="F2371:F2434" si="37">+E2371-D2371</f>
        <v>-720</v>
      </c>
    </row>
    <row r="2372" spans="1:6" x14ac:dyDescent="0.2">
      <c r="A2372" s="91">
        <v>45835</v>
      </c>
      <c r="B2372" s="45"/>
      <c r="C2372" s="17" t="s">
        <v>37</v>
      </c>
      <c r="D2372" s="18">
        <v>1599</v>
      </c>
      <c r="E2372" s="19"/>
      <c r="F2372" s="15">
        <f t="shared" si="37"/>
        <v>-1599</v>
      </c>
    </row>
    <row r="2373" spans="1:6" x14ac:dyDescent="0.2">
      <c r="A2373" s="91">
        <v>45835</v>
      </c>
      <c r="B2373" s="45"/>
      <c r="C2373" s="17" t="s">
        <v>37</v>
      </c>
      <c r="D2373" s="18">
        <v>1743.45</v>
      </c>
      <c r="E2373" s="19"/>
      <c r="F2373" s="15">
        <f t="shared" si="37"/>
        <v>-1743.45</v>
      </c>
    </row>
    <row r="2374" spans="1:6" x14ac:dyDescent="0.2">
      <c r="A2374" s="91">
        <v>45841</v>
      </c>
      <c r="B2374" s="45"/>
      <c r="C2374" s="17" t="s">
        <v>37</v>
      </c>
      <c r="D2374" s="18">
        <v>12891.9</v>
      </c>
      <c r="E2374" s="19"/>
      <c r="F2374" s="15">
        <f t="shared" si="37"/>
        <v>-12891.9</v>
      </c>
    </row>
    <row r="2375" spans="1:6" x14ac:dyDescent="0.2">
      <c r="A2375" s="91">
        <v>45842</v>
      </c>
      <c r="B2375" s="45"/>
      <c r="C2375" s="17" t="s">
        <v>37</v>
      </c>
      <c r="D2375" s="18">
        <v>256.7</v>
      </c>
      <c r="E2375" s="19"/>
      <c r="F2375" s="15">
        <f t="shared" si="37"/>
        <v>-256.7</v>
      </c>
    </row>
    <row r="2376" spans="1:6" x14ac:dyDescent="0.2">
      <c r="A2376" s="91">
        <v>45845</v>
      </c>
      <c r="B2376" s="45"/>
      <c r="C2376" s="17" t="s">
        <v>37</v>
      </c>
      <c r="D2376" s="18">
        <v>120</v>
      </c>
      <c r="E2376" s="19"/>
      <c r="F2376" s="15">
        <f t="shared" si="37"/>
        <v>-120</v>
      </c>
    </row>
    <row r="2377" spans="1:6" x14ac:dyDescent="0.2">
      <c r="A2377" s="91">
        <v>45846</v>
      </c>
      <c r="B2377" s="45"/>
      <c r="C2377" s="17" t="s">
        <v>37</v>
      </c>
      <c r="D2377" s="18">
        <v>120</v>
      </c>
      <c r="E2377" s="19"/>
      <c r="F2377" s="15">
        <f t="shared" si="37"/>
        <v>-120</v>
      </c>
    </row>
    <row r="2378" spans="1:6" x14ac:dyDescent="0.2">
      <c r="A2378" s="91">
        <v>45868</v>
      </c>
      <c r="B2378" s="45"/>
      <c r="C2378" s="17" t="s">
        <v>37</v>
      </c>
      <c r="D2378" s="18">
        <v>1599</v>
      </c>
      <c r="E2378" s="19"/>
      <c r="F2378" s="15">
        <f t="shared" si="37"/>
        <v>-1599</v>
      </c>
    </row>
    <row r="2379" spans="1:6" x14ac:dyDescent="0.2">
      <c r="A2379" s="91">
        <v>45868</v>
      </c>
      <c r="B2379" s="45"/>
      <c r="C2379" s="17" t="s">
        <v>37</v>
      </c>
      <c r="D2379" s="18">
        <v>1950.3</v>
      </c>
      <c r="E2379" s="19"/>
      <c r="F2379" s="15">
        <f t="shared" si="37"/>
        <v>-1950.3</v>
      </c>
    </row>
    <row r="2380" spans="1:6" x14ac:dyDescent="0.2">
      <c r="A2380" s="91">
        <v>45870</v>
      </c>
      <c r="B2380" s="45"/>
      <c r="C2380" s="17" t="s">
        <v>37</v>
      </c>
      <c r="D2380" s="18">
        <v>527.23</v>
      </c>
      <c r="E2380" s="19"/>
      <c r="F2380" s="15">
        <f t="shared" si="37"/>
        <v>-527.23</v>
      </c>
    </row>
    <row r="2381" spans="1:6" x14ac:dyDescent="0.2">
      <c r="A2381" s="91">
        <v>45880</v>
      </c>
      <c r="B2381" s="45"/>
      <c r="C2381" s="17" t="s">
        <v>37</v>
      </c>
      <c r="D2381" s="18">
        <v>382.25</v>
      </c>
      <c r="E2381" s="19"/>
      <c r="F2381" s="15">
        <f t="shared" si="37"/>
        <v>-382.25</v>
      </c>
    </row>
    <row r="2382" spans="1:6" x14ac:dyDescent="0.2">
      <c r="A2382" s="91">
        <v>45887</v>
      </c>
      <c r="B2382" s="45"/>
      <c r="C2382" s="17" t="s">
        <v>37</v>
      </c>
      <c r="D2382" s="18">
        <v>96.18</v>
      </c>
      <c r="E2382" s="19"/>
      <c r="F2382" s="15">
        <f t="shared" si="37"/>
        <v>-96.18</v>
      </c>
    </row>
    <row r="2383" spans="1:6" x14ac:dyDescent="0.2">
      <c r="A2383" s="91">
        <v>45897</v>
      </c>
      <c r="B2383" s="45"/>
      <c r="C2383" s="17" t="s">
        <v>37</v>
      </c>
      <c r="D2383" s="18">
        <v>1599</v>
      </c>
      <c r="E2383" s="19"/>
      <c r="F2383" s="15">
        <f t="shared" si="37"/>
        <v>-1599</v>
      </c>
    </row>
    <row r="2384" spans="1:6" x14ac:dyDescent="0.2">
      <c r="A2384" s="91">
        <v>45897</v>
      </c>
      <c r="B2384" s="45"/>
      <c r="C2384" s="17" t="s">
        <v>37</v>
      </c>
      <c r="D2384" s="18">
        <v>1211.55</v>
      </c>
      <c r="E2384" s="19"/>
      <c r="F2384" s="15">
        <f t="shared" si="37"/>
        <v>-1211.55</v>
      </c>
    </row>
    <row r="2385" spans="1:8" x14ac:dyDescent="0.2">
      <c r="A2385" s="91">
        <v>45898</v>
      </c>
      <c r="B2385" s="45"/>
      <c r="C2385" s="17" t="s">
        <v>37</v>
      </c>
      <c r="D2385" s="18">
        <v>167.4</v>
      </c>
      <c r="E2385" s="19"/>
      <c r="F2385" s="15">
        <f t="shared" si="37"/>
        <v>-167.4</v>
      </c>
    </row>
    <row r="2386" spans="1:8" x14ac:dyDescent="0.2">
      <c r="A2386" s="93" t="s">
        <v>0</v>
      </c>
      <c r="B2386" s="80" t="s">
        <v>1</v>
      </c>
      <c r="C2386" s="80" t="s">
        <v>2</v>
      </c>
      <c r="D2386" s="86" t="s">
        <v>3</v>
      </c>
      <c r="E2386" s="39" t="s">
        <v>4</v>
      </c>
      <c r="F2386" s="15" t="e">
        <f t="shared" si="37"/>
        <v>#VALUE!</v>
      </c>
    </row>
    <row r="2387" spans="1:8" x14ac:dyDescent="0.2">
      <c r="A2387" s="94" t="s">
        <v>0</v>
      </c>
      <c r="B2387" s="76" t="s">
        <v>1</v>
      </c>
      <c r="C2387" s="76" t="s">
        <v>2</v>
      </c>
      <c r="D2387" s="76" t="s">
        <v>3</v>
      </c>
      <c r="E2387" s="89" t="s">
        <v>4</v>
      </c>
      <c r="F2387" s="15" t="e">
        <f t="shared" si="37"/>
        <v>#VALUE!</v>
      </c>
    </row>
    <row r="2388" spans="1:8" x14ac:dyDescent="0.2">
      <c r="A2388" s="94" t="s">
        <v>0</v>
      </c>
      <c r="B2388" s="73" t="s">
        <v>1</v>
      </c>
      <c r="C2388" s="73" t="s">
        <v>2</v>
      </c>
      <c r="D2388" s="73" t="s">
        <v>3</v>
      </c>
      <c r="E2388" s="73" t="s">
        <v>4</v>
      </c>
      <c r="F2388" s="15" t="e">
        <f t="shared" si="37"/>
        <v>#VALUE!</v>
      </c>
    </row>
    <row r="2389" spans="1:8" x14ac:dyDescent="0.2">
      <c r="A2389" s="94" t="s">
        <v>0</v>
      </c>
      <c r="B2389" s="73" t="s">
        <v>1</v>
      </c>
      <c r="C2389" s="73" t="s">
        <v>2</v>
      </c>
      <c r="D2389" s="73" t="s">
        <v>3</v>
      </c>
      <c r="E2389" s="73" t="s">
        <v>4</v>
      </c>
      <c r="F2389" s="15" t="e">
        <f t="shared" si="37"/>
        <v>#VALUE!</v>
      </c>
    </row>
    <row r="2390" spans="1:8" x14ac:dyDescent="0.2">
      <c r="A2390" s="94" t="s">
        <v>0</v>
      </c>
      <c r="B2390" s="73" t="s">
        <v>1</v>
      </c>
      <c r="C2390" s="73" t="s">
        <v>2</v>
      </c>
      <c r="D2390" s="73" t="s">
        <v>3</v>
      </c>
      <c r="E2390" s="73" t="s">
        <v>4</v>
      </c>
      <c r="F2390" s="15" t="e">
        <f t="shared" si="37"/>
        <v>#VALUE!</v>
      </c>
    </row>
    <row r="2391" spans="1:8" x14ac:dyDescent="0.2">
      <c r="A2391" s="94" t="s">
        <v>0</v>
      </c>
      <c r="B2391" s="73" t="s">
        <v>1</v>
      </c>
      <c r="C2391" s="73" t="s">
        <v>2</v>
      </c>
      <c r="D2391" s="73" t="s">
        <v>3</v>
      </c>
      <c r="E2391" s="73" t="s">
        <v>4</v>
      </c>
      <c r="F2391" s="15" t="e">
        <f t="shared" si="37"/>
        <v>#VALUE!</v>
      </c>
    </row>
    <row r="2392" spans="1:8" x14ac:dyDescent="0.2">
      <c r="A2392" s="94" t="s">
        <v>0</v>
      </c>
      <c r="B2392" s="73" t="s">
        <v>1</v>
      </c>
      <c r="C2392" s="73" t="s">
        <v>2</v>
      </c>
      <c r="D2392" s="73" t="s">
        <v>3</v>
      </c>
      <c r="E2392" s="73" t="s">
        <v>4</v>
      </c>
      <c r="F2392" s="15" t="e">
        <f t="shared" si="37"/>
        <v>#VALUE!</v>
      </c>
    </row>
    <row r="2393" spans="1:8" x14ac:dyDescent="0.2">
      <c r="A2393" s="94" t="s">
        <v>0</v>
      </c>
      <c r="B2393" s="73" t="s">
        <v>1</v>
      </c>
      <c r="C2393" s="73" t="s">
        <v>2</v>
      </c>
      <c r="D2393" s="73" t="s">
        <v>3</v>
      </c>
      <c r="E2393" s="73" t="s">
        <v>4</v>
      </c>
      <c r="F2393" s="15" t="e">
        <f t="shared" si="37"/>
        <v>#VALUE!</v>
      </c>
    </row>
    <row r="2394" spans="1:8" x14ac:dyDescent="0.2">
      <c r="A2394" s="94" t="s">
        <v>0</v>
      </c>
      <c r="B2394" s="73" t="s">
        <v>1</v>
      </c>
      <c r="C2394" s="73" t="s">
        <v>2</v>
      </c>
      <c r="D2394" s="73" t="s">
        <v>3</v>
      </c>
      <c r="E2394" s="73" t="s">
        <v>4</v>
      </c>
      <c r="F2394" s="15" t="e">
        <f t="shared" si="37"/>
        <v>#VALUE!</v>
      </c>
    </row>
    <row r="2395" spans="1:8" x14ac:dyDescent="0.2">
      <c r="A2395" s="94" t="s">
        <v>0</v>
      </c>
      <c r="B2395" s="73" t="s">
        <v>1</v>
      </c>
      <c r="C2395" s="73" t="s">
        <v>2</v>
      </c>
      <c r="D2395" s="73" t="s">
        <v>3</v>
      </c>
      <c r="E2395" s="73" t="s">
        <v>4</v>
      </c>
      <c r="F2395" s="15" t="e">
        <f t="shared" si="37"/>
        <v>#VALUE!</v>
      </c>
    </row>
    <row r="2396" spans="1:8" x14ac:dyDescent="0.2">
      <c r="A2396" s="94" t="s">
        <v>0</v>
      </c>
      <c r="B2396" s="73" t="s">
        <v>1</v>
      </c>
      <c r="C2396" s="73" t="s">
        <v>2</v>
      </c>
      <c r="D2396" s="73" t="s">
        <v>3</v>
      </c>
      <c r="E2396" s="73" t="s">
        <v>4</v>
      </c>
      <c r="F2396" s="15" t="e">
        <f t="shared" si="37"/>
        <v>#VALUE!</v>
      </c>
    </row>
    <row r="2397" spans="1:8" x14ac:dyDescent="0.2">
      <c r="A2397" s="91">
        <v>45747</v>
      </c>
      <c r="B2397" s="43">
        <v>31926</v>
      </c>
      <c r="C2397" s="17" t="s">
        <v>375</v>
      </c>
      <c r="D2397" s="18">
        <v>50000</v>
      </c>
      <c r="E2397" s="19"/>
      <c r="F2397" s="15">
        <f t="shared" si="37"/>
        <v>-50000</v>
      </c>
    </row>
    <row r="2398" spans="1:8" x14ac:dyDescent="0.2">
      <c r="A2398" s="91">
        <v>45560</v>
      </c>
      <c r="B2398" s="16">
        <v>12704764</v>
      </c>
      <c r="C2398" s="20" t="s">
        <v>84</v>
      </c>
      <c r="D2398" s="18">
        <v>3457100</v>
      </c>
      <c r="E2398" s="19"/>
      <c r="F2398" s="15">
        <f t="shared" si="37"/>
        <v>-3457100</v>
      </c>
      <c r="H2398" s="10"/>
    </row>
    <row r="2399" spans="1:8" x14ac:dyDescent="0.2">
      <c r="A2399" s="91">
        <v>45560</v>
      </c>
      <c r="B2399" s="16">
        <v>12704765</v>
      </c>
      <c r="C2399" s="20" t="s">
        <v>84</v>
      </c>
      <c r="D2399" s="18">
        <v>787810</v>
      </c>
      <c r="E2399" s="19"/>
      <c r="F2399" s="15">
        <f t="shared" si="37"/>
        <v>-787810</v>
      </c>
      <c r="H2399" s="10"/>
    </row>
    <row r="2400" spans="1:8" x14ac:dyDescent="0.2">
      <c r="A2400" s="91">
        <v>45560</v>
      </c>
      <c r="B2400" s="16">
        <v>12704766</v>
      </c>
      <c r="C2400" s="20" t="s">
        <v>84</v>
      </c>
      <c r="D2400" s="18">
        <v>2039810</v>
      </c>
      <c r="E2400" s="19"/>
      <c r="F2400" s="15">
        <f t="shared" si="37"/>
        <v>-2039810</v>
      </c>
      <c r="H2400" s="10"/>
    </row>
    <row r="2401" spans="1:8" x14ac:dyDescent="0.2">
      <c r="A2401" s="91">
        <v>45560</v>
      </c>
      <c r="B2401" s="16">
        <v>12704767</v>
      </c>
      <c r="C2401" s="20" t="s">
        <v>84</v>
      </c>
      <c r="D2401" s="18">
        <v>913600</v>
      </c>
      <c r="E2401" s="19"/>
      <c r="F2401" s="15">
        <f t="shared" si="37"/>
        <v>-913600</v>
      </c>
      <c r="H2401" s="10"/>
    </row>
    <row r="2402" spans="1:8" x14ac:dyDescent="0.2">
      <c r="A2402" s="91">
        <v>45560</v>
      </c>
      <c r="B2402" s="16">
        <v>12704768</v>
      </c>
      <c r="C2402" s="20" t="s">
        <v>84</v>
      </c>
      <c r="D2402" s="18">
        <v>784070</v>
      </c>
      <c r="E2402" s="19"/>
      <c r="F2402" s="15">
        <f t="shared" si="37"/>
        <v>-784070</v>
      </c>
      <c r="H2402" s="10"/>
    </row>
    <row r="2403" spans="1:8" x14ac:dyDescent="0.2">
      <c r="A2403" s="91">
        <v>45560</v>
      </c>
      <c r="B2403" s="16">
        <v>12704769</v>
      </c>
      <c r="C2403" s="20" t="s">
        <v>84</v>
      </c>
      <c r="D2403" s="18">
        <v>200000</v>
      </c>
      <c r="E2403" s="19"/>
      <c r="F2403" s="15">
        <f t="shared" si="37"/>
        <v>-200000</v>
      </c>
      <c r="H2403" s="10"/>
    </row>
    <row r="2404" spans="1:8" x14ac:dyDescent="0.2">
      <c r="A2404" s="91">
        <v>45560</v>
      </c>
      <c r="B2404" s="16">
        <v>12704770</v>
      </c>
      <c r="C2404" s="20" t="s">
        <v>84</v>
      </c>
      <c r="D2404" s="18">
        <v>2877725</v>
      </c>
      <c r="E2404" s="19"/>
      <c r="F2404" s="15">
        <f t="shared" si="37"/>
        <v>-2877725</v>
      </c>
      <c r="H2404" s="10"/>
    </row>
    <row r="2405" spans="1:8" x14ac:dyDescent="0.2">
      <c r="A2405" s="91">
        <v>45560</v>
      </c>
      <c r="B2405" s="16">
        <v>12704771</v>
      </c>
      <c r="C2405" s="20" t="s">
        <v>84</v>
      </c>
      <c r="D2405" s="18">
        <v>187500</v>
      </c>
      <c r="E2405" s="19"/>
      <c r="F2405" s="15">
        <f t="shared" si="37"/>
        <v>-187500</v>
      </c>
      <c r="H2405" s="10"/>
    </row>
    <row r="2406" spans="1:8" x14ac:dyDescent="0.2">
      <c r="A2406" s="91">
        <v>45560</v>
      </c>
      <c r="B2406" s="16">
        <v>12704772</v>
      </c>
      <c r="C2406" s="20" t="s">
        <v>84</v>
      </c>
      <c r="D2406" s="18">
        <v>627750</v>
      </c>
      <c r="E2406" s="19"/>
      <c r="F2406" s="15">
        <f t="shared" si="37"/>
        <v>-627750</v>
      </c>
      <c r="H2406" s="10"/>
    </row>
    <row r="2407" spans="1:8" x14ac:dyDescent="0.2">
      <c r="A2407" s="91">
        <v>45560</v>
      </c>
      <c r="B2407" s="16">
        <v>12704773</v>
      </c>
      <c r="C2407" s="20" t="s">
        <v>84</v>
      </c>
      <c r="D2407" s="18">
        <v>1934200</v>
      </c>
      <c r="E2407" s="19"/>
      <c r="F2407" s="15">
        <f t="shared" si="37"/>
        <v>-1934200</v>
      </c>
      <c r="H2407" s="10"/>
    </row>
    <row r="2408" spans="1:8" x14ac:dyDescent="0.2">
      <c r="A2408" s="91">
        <v>45560</v>
      </c>
      <c r="B2408" s="16">
        <v>12704774</v>
      </c>
      <c r="C2408" s="20" t="s">
        <v>84</v>
      </c>
      <c r="D2408" s="18">
        <v>847647</v>
      </c>
      <c r="E2408" s="19"/>
      <c r="F2408" s="15">
        <f t="shared" si="37"/>
        <v>-847647</v>
      </c>
      <c r="H2408" s="10"/>
    </row>
    <row r="2409" spans="1:8" x14ac:dyDescent="0.2">
      <c r="A2409" s="91">
        <v>45560</v>
      </c>
      <c r="B2409" s="16">
        <v>12704775</v>
      </c>
      <c r="C2409" s="20" t="s">
        <v>84</v>
      </c>
      <c r="D2409" s="18">
        <v>2100000</v>
      </c>
      <c r="E2409" s="19"/>
      <c r="F2409" s="15">
        <f t="shared" si="37"/>
        <v>-2100000</v>
      </c>
      <c r="H2409" s="10"/>
    </row>
    <row r="2410" spans="1:8" x14ac:dyDescent="0.2">
      <c r="A2410" s="91">
        <v>45560</v>
      </c>
      <c r="B2410" s="16">
        <v>12704776</v>
      </c>
      <c r="C2410" s="20" t="s">
        <v>84</v>
      </c>
      <c r="D2410" s="18">
        <v>300000</v>
      </c>
      <c r="E2410" s="19"/>
      <c r="F2410" s="15">
        <f t="shared" si="37"/>
        <v>-300000</v>
      </c>
      <c r="H2410" s="10"/>
    </row>
    <row r="2411" spans="1:8" x14ac:dyDescent="0.2">
      <c r="A2411" s="91">
        <v>45560</v>
      </c>
      <c r="B2411" s="16">
        <v>12704777</v>
      </c>
      <c r="C2411" s="20" t="s">
        <v>84</v>
      </c>
      <c r="D2411" s="18">
        <v>120000</v>
      </c>
      <c r="E2411" s="19"/>
      <c r="F2411" s="15">
        <f t="shared" si="37"/>
        <v>-120000</v>
      </c>
      <c r="H2411" s="10"/>
    </row>
    <row r="2412" spans="1:8" x14ac:dyDescent="0.2">
      <c r="A2412" s="91">
        <v>45560</v>
      </c>
      <c r="B2412" s="16">
        <v>12704778</v>
      </c>
      <c r="C2412" s="20" t="s">
        <v>84</v>
      </c>
      <c r="D2412" s="18">
        <v>32300</v>
      </c>
      <c r="E2412" s="19"/>
      <c r="F2412" s="15">
        <f t="shared" si="37"/>
        <v>-32300</v>
      </c>
      <c r="H2412" s="10"/>
    </row>
    <row r="2413" spans="1:8" x14ac:dyDescent="0.2">
      <c r="A2413" s="91">
        <v>45560</v>
      </c>
      <c r="B2413" s="67">
        <v>12704779</v>
      </c>
      <c r="C2413" s="56" t="s">
        <v>84</v>
      </c>
      <c r="D2413" s="48">
        <v>654199.6</v>
      </c>
      <c r="E2413" s="49"/>
      <c r="F2413" s="15">
        <f t="shared" si="37"/>
        <v>-654199.6</v>
      </c>
      <c r="H2413" s="10"/>
    </row>
    <row r="2414" spans="1:8" x14ac:dyDescent="0.2">
      <c r="A2414" s="91">
        <v>45560</v>
      </c>
      <c r="B2414" s="21">
        <v>12704780</v>
      </c>
      <c r="C2414" s="57" t="s">
        <v>84</v>
      </c>
      <c r="D2414" s="31">
        <v>817190</v>
      </c>
      <c r="E2414" s="24"/>
      <c r="F2414" s="15">
        <f t="shared" si="37"/>
        <v>-817190</v>
      </c>
      <c r="H2414" s="10"/>
    </row>
    <row r="2415" spans="1:8" x14ac:dyDescent="0.2">
      <c r="A2415" s="91">
        <v>45560</v>
      </c>
      <c r="B2415" s="16">
        <v>12704781</v>
      </c>
      <c r="C2415" s="20" t="s">
        <v>84</v>
      </c>
      <c r="D2415" s="18">
        <v>620020</v>
      </c>
      <c r="E2415" s="19"/>
      <c r="F2415" s="15">
        <f t="shared" si="37"/>
        <v>-620020</v>
      </c>
      <c r="H2415" s="10"/>
    </row>
    <row r="2416" spans="1:8" x14ac:dyDescent="0.2">
      <c r="A2416" s="91">
        <v>45560</v>
      </c>
      <c r="B2416" s="16">
        <v>12704782</v>
      </c>
      <c r="C2416" s="20" t="s">
        <v>84</v>
      </c>
      <c r="D2416" s="18">
        <v>335000</v>
      </c>
      <c r="E2416" s="19"/>
      <c r="F2416" s="15">
        <f t="shared" si="37"/>
        <v>-335000</v>
      </c>
      <c r="H2416" s="10"/>
    </row>
    <row r="2417" spans="1:8" x14ac:dyDescent="0.2">
      <c r="A2417" s="91">
        <v>45560</v>
      </c>
      <c r="B2417" s="16">
        <v>12704783</v>
      </c>
      <c r="C2417" s="20" t="s">
        <v>84</v>
      </c>
      <c r="D2417" s="18">
        <v>168600</v>
      </c>
      <c r="E2417" s="19"/>
      <c r="F2417" s="15">
        <f t="shared" si="37"/>
        <v>-168600</v>
      </c>
      <c r="H2417" s="10"/>
    </row>
    <row r="2418" spans="1:8" x14ac:dyDescent="0.2">
      <c r="A2418" s="91">
        <v>45560</v>
      </c>
      <c r="B2418" s="16">
        <v>12704784</v>
      </c>
      <c r="C2418" s="20" t="s">
        <v>84</v>
      </c>
      <c r="D2418" s="18">
        <v>475200</v>
      </c>
      <c r="E2418" s="19"/>
      <c r="F2418" s="15">
        <f t="shared" si="37"/>
        <v>-475200</v>
      </c>
      <c r="H2418" s="10"/>
    </row>
    <row r="2419" spans="1:8" x14ac:dyDescent="0.2">
      <c r="A2419" s="91">
        <v>45560</v>
      </c>
      <c r="B2419" s="16">
        <v>12704785</v>
      </c>
      <c r="C2419" s="20" t="s">
        <v>84</v>
      </c>
      <c r="D2419" s="18">
        <v>633022</v>
      </c>
      <c r="E2419" s="19"/>
      <c r="F2419" s="15">
        <f t="shared" si="37"/>
        <v>-633022</v>
      </c>
      <c r="H2419" s="10"/>
    </row>
    <row r="2420" spans="1:8" x14ac:dyDescent="0.2">
      <c r="A2420" s="91">
        <v>45560</v>
      </c>
      <c r="B2420" s="16">
        <v>12704786</v>
      </c>
      <c r="C2420" s="20" t="s">
        <v>84</v>
      </c>
      <c r="D2420" s="18">
        <v>114000</v>
      </c>
      <c r="E2420" s="19"/>
      <c r="F2420" s="15">
        <f t="shared" si="37"/>
        <v>-114000</v>
      </c>
      <c r="H2420" s="10"/>
    </row>
    <row r="2421" spans="1:8" x14ac:dyDescent="0.2">
      <c r="A2421" s="91">
        <v>45560</v>
      </c>
      <c r="B2421" s="16">
        <v>12704787</v>
      </c>
      <c r="C2421" s="20" t="s">
        <v>84</v>
      </c>
      <c r="D2421" s="18">
        <v>211500</v>
      </c>
      <c r="E2421" s="19"/>
      <c r="F2421" s="15">
        <f t="shared" si="37"/>
        <v>-211500</v>
      </c>
      <c r="H2421" s="10"/>
    </row>
    <row r="2422" spans="1:8" x14ac:dyDescent="0.2">
      <c r="A2422" s="91">
        <v>45560</v>
      </c>
      <c r="B2422" s="16">
        <v>12704788</v>
      </c>
      <c r="C2422" s="20" t="s">
        <v>84</v>
      </c>
      <c r="D2422" s="18">
        <v>1210000</v>
      </c>
      <c r="E2422" s="19"/>
      <c r="F2422" s="15">
        <f t="shared" si="37"/>
        <v>-1210000</v>
      </c>
      <c r="H2422" s="10"/>
    </row>
    <row r="2423" spans="1:8" x14ac:dyDescent="0.2">
      <c r="A2423" s="91">
        <v>45560</v>
      </c>
      <c r="B2423" s="16">
        <v>12704789</v>
      </c>
      <c r="C2423" s="20" t="s">
        <v>84</v>
      </c>
      <c r="D2423" s="18">
        <v>130400</v>
      </c>
      <c r="E2423" s="19"/>
      <c r="F2423" s="15">
        <f t="shared" si="37"/>
        <v>-130400</v>
      </c>
      <c r="H2423" s="10"/>
    </row>
    <row r="2424" spans="1:8" x14ac:dyDescent="0.2">
      <c r="A2424" s="91">
        <v>45560</v>
      </c>
      <c r="B2424" s="16">
        <v>12704790</v>
      </c>
      <c r="C2424" s="20" t="s">
        <v>84</v>
      </c>
      <c r="D2424" s="18">
        <v>645000</v>
      </c>
      <c r="E2424" s="19"/>
      <c r="F2424" s="15">
        <f t="shared" si="37"/>
        <v>-645000</v>
      </c>
      <c r="H2424" s="10"/>
    </row>
    <row r="2425" spans="1:8" x14ac:dyDescent="0.2">
      <c r="A2425" s="91">
        <v>45560</v>
      </c>
      <c r="B2425" s="16">
        <v>12704791</v>
      </c>
      <c r="C2425" s="20" t="s">
        <v>84</v>
      </c>
      <c r="D2425" s="18">
        <v>2105000</v>
      </c>
      <c r="E2425" s="19"/>
      <c r="F2425" s="15">
        <f t="shared" si="37"/>
        <v>-2105000</v>
      </c>
      <c r="H2425" s="10"/>
    </row>
    <row r="2426" spans="1:8" x14ac:dyDescent="0.2">
      <c r="A2426" s="91">
        <v>45560</v>
      </c>
      <c r="B2426" s="16">
        <v>12704792</v>
      </c>
      <c r="C2426" s="20" t="s">
        <v>84</v>
      </c>
      <c r="D2426" s="18">
        <v>300000</v>
      </c>
      <c r="E2426" s="19"/>
      <c r="F2426" s="15">
        <f t="shared" si="37"/>
        <v>-300000</v>
      </c>
      <c r="H2426" s="10"/>
    </row>
    <row r="2427" spans="1:8" x14ac:dyDescent="0.2">
      <c r="A2427" s="91">
        <v>45560</v>
      </c>
      <c r="B2427" s="16">
        <v>12704793</v>
      </c>
      <c r="C2427" s="20" t="s">
        <v>84</v>
      </c>
      <c r="D2427" s="18">
        <v>2093890</v>
      </c>
      <c r="E2427" s="19"/>
      <c r="F2427" s="15">
        <f t="shared" si="37"/>
        <v>-2093890</v>
      </c>
      <c r="H2427" s="10"/>
    </row>
    <row r="2428" spans="1:8" x14ac:dyDescent="0.2">
      <c r="A2428" s="91">
        <v>45560</v>
      </c>
      <c r="B2428" s="16">
        <v>12704794</v>
      </c>
      <c r="C2428" s="20" t="s">
        <v>84</v>
      </c>
      <c r="D2428" s="18">
        <v>498000</v>
      </c>
      <c r="E2428" s="19"/>
      <c r="F2428" s="15">
        <f t="shared" si="37"/>
        <v>-498000</v>
      </c>
      <c r="H2428" s="10"/>
    </row>
    <row r="2429" spans="1:8" x14ac:dyDescent="0.2">
      <c r="A2429" s="91">
        <v>45560</v>
      </c>
      <c r="B2429" s="16">
        <v>12704795</v>
      </c>
      <c r="C2429" s="20" t="s">
        <v>84</v>
      </c>
      <c r="D2429" s="18">
        <v>2497750</v>
      </c>
      <c r="E2429" s="19"/>
      <c r="F2429" s="15">
        <f t="shared" si="37"/>
        <v>-2497750</v>
      </c>
      <c r="H2429" s="10"/>
    </row>
    <row r="2430" spans="1:8" x14ac:dyDescent="0.2">
      <c r="A2430" s="91">
        <v>45560</v>
      </c>
      <c r="B2430" s="16">
        <v>12704796</v>
      </c>
      <c r="C2430" s="20" t="s">
        <v>84</v>
      </c>
      <c r="D2430" s="18">
        <v>2000000</v>
      </c>
      <c r="E2430" s="19"/>
      <c r="F2430" s="15">
        <f t="shared" si="37"/>
        <v>-2000000</v>
      </c>
      <c r="H2430" s="10"/>
    </row>
    <row r="2431" spans="1:8" x14ac:dyDescent="0.2">
      <c r="A2431" s="91">
        <v>45560</v>
      </c>
      <c r="B2431" s="16">
        <v>12704797</v>
      </c>
      <c r="C2431" s="20" t="s">
        <v>84</v>
      </c>
      <c r="D2431" s="18">
        <v>3239500</v>
      </c>
      <c r="E2431" s="19"/>
      <c r="F2431" s="15">
        <f t="shared" si="37"/>
        <v>-3239500</v>
      </c>
      <c r="H2431" s="10"/>
    </row>
    <row r="2432" spans="1:8" x14ac:dyDescent="0.2">
      <c r="A2432" s="91">
        <v>45560</v>
      </c>
      <c r="B2432" s="16">
        <v>12704798</v>
      </c>
      <c r="C2432" s="20" t="s">
        <v>84</v>
      </c>
      <c r="D2432" s="18">
        <v>1329000</v>
      </c>
      <c r="E2432" s="19"/>
      <c r="F2432" s="15">
        <f t="shared" si="37"/>
        <v>-1329000</v>
      </c>
      <c r="H2432" s="10"/>
    </row>
    <row r="2433" spans="1:8" x14ac:dyDescent="0.2">
      <c r="A2433" s="91">
        <v>45560</v>
      </c>
      <c r="B2433" s="16">
        <v>12704799</v>
      </c>
      <c r="C2433" s="20" t="s">
        <v>84</v>
      </c>
      <c r="D2433" s="18">
        <v>600000</v>
      </c>
      <c r="E2433" s="19"/>
      <c r="F2433" s="15">
        <f t="shared" si="37"/>
        <v>-600000</v>
      </c>
      <c r="H2433" s="10"/>
    </row>
    <row r="2434" spans="1:8" x14ac:dyDescent="0.2">
      <c r="A2434" s="91">
        <v>45560</v>
      </c>
      <c r="B2434" s="16">
        <v>12704800</v>
      </c>
      <c r="C2434" s="20" t="s">
        <v>84</v>
      </c>
      <c r="D2434" s="18">
        <v>990850</v>
      </c>
      <c r="E2434" s="19"/>
      <c r="F2434" s="15">
        <f t="shared" si="37"/>
        <v>-990850</v>
      </c>
      <c r="H2434" s="10"/>
    </row>
    <row r="2435" spans="1:8" x14ac:dyDescent="0.2">
      <c r="A2435" s="91">
        <v>45560</v>
      </c>
      <c r="B2435" s="16">
        <v>12704801</v>
      </c>
      <c r="C2435" s="20" t="s">
        <v>84</v>
      </c>
      <c r="D2435" s="18">
        <v>431200</v>
      </c>
      <c r="E2435" s="19"/>
      <c r="F2435" s="15">
        <f t="shared" ref="F2435:F2498" si="38">+E2435-D2435</f>
        <v>-431200</v>
      </c>
      <c r="H2435" s="10"/>
    </row>
    <row r="2436" spans="1:8" x14ac:dyDescent="0.2">
      <c r="A2436" s="91">
        <v>45560</v>
      </c>
      <c r="B2436" s="16">
        <v>12704802</v>
      </c>
      <c r="C2436" s="20" t="s">
        <v>84</v>
      </c>
      <c r="D2436" s="18">
        <v>157400</v>
      </c>
      <c r="E2436" s="19"/>
      <c r="F2436" s="15">
        <f t="shared" si="38"/>
        <v>-157400</v>
      </c>
      <c r="H2436" s="10"/>
    </row>
    <row r="2437" spans="1:8" x14ac:dyDescent="0.2">
      <c r="A2437" s="91">
        <v>45560</v>
      </c>
      <c r="B2437" s="16">
        <v>12704803</v>
      </c>
      <c r="C2437" s="20" t="s">
        <v>84</v>
      </c>
      <c r="D2437" s="18">
        <v>53200</v>
      </c>
      <c r="E2437" s="19"/>
      <c r="F2437" s="15">
        <f t="shared" si="38"/>
        <v>-53200</v>
      </c>
      <c r="H2437" s="10"/>
    </row>
    <row r="2438" spans="1:8" x14ac:dyDescent="0.2">
      <c r="A2438" s="91">
        <v>45560</v>
      </c>
      <c r="B2438" s="16">
        <v>12704804</v>
      </c>
      <c r="C2438" s="20" t="s">
        <v>84</v>
      </c>
      <c r="D2438" s="18">
        <v>275240</v>
      </c>
      <c r="E2438" s="19"/>
      <c r="F2438" s="15">
        <f t="shared" si="38"/>
        <v>-275240</v>
      </c>
      <c r="H2438" s="10"/>
    </row>
    <row r="2439" spans="1:8" x14ac:dyDescent="0.2">
      <c r="A2439" s="91">
        <v>45560</v>
      </c>
      <c r="B2439" s="16">
        <v>12704805</v>
      </c>
      <c r="C2439" s="20" t="s">
        <v>84</v>
      </c>
      <c r="D2439" s="18">
        <v>362900</v>
      </c>
      <c r="E2439" s="19"/>
      <c r="F2439" s="15">
        <f t="shared" si="38"/>
        <v>-362900</v>
      </c>
      <c r="H2439" s="10"/>
    </row>
    <row r="2440" spans="1:8" x14ac:dyDescent="0.2">
      <c r="A2440" s="91">
        <v>45560</v>
      </c>
      <c r="B2440" s="16">
        <v>12704806</v>
      </c>
      <c r="C2440" s="20" t="s">
        <v>84</v>
      </c>
      <c r="D2440" s="18">
        <v>300000</v>
      </c>
      <c r="E2440" s="19"/>
      <c r="F2440" s="15">
        <f t="shared" si="38"/>
        <v>-300000</v>
      </c>
      <c r="H2440" s="10"/>
    </row>
    <row r="2441" spans="1:8" x14ac:dyDescent="0.2">
      <c r="A2441" s="91">
        <v>45560</v>
      </c>
      <c r="B2441" s="67">
        <v>12704807</v>
      </c>
      <c r="C2441" s="56" t="s">
        <v>84</v>
      </c>
      <c r="D2441" s="48">
        <v>1311600</v>
      </c>
      <c r="E2441" s="49"/>
      <c r="F2441" s="15">
        <f t="shared" si="38"/>
        <v>-1311600</v>
      </c>
      <c r="H2441" s="10"/>
    </row>
    <row r="2442" spans="1:8" x14ac:dyDescent="0.2">
      <c r="A2442" s="91">
        <v>45560</v>
      </c>
      <c r="B2442" s="21">
        <v>12704808</v>
      </c>
      <c r="C2442" s="57" t="s">
        <v>84</v>
      </c>
      <c r="D2442" s="23">
        <v>731500</v>
      </c>
      <c r="E2442" s="24"/>
      <c r="F2442" s="15">
        <f t="shared" si="38"/>
        <v>-731500</v>
      </c>
      <c r="H2442" s="10"/>
    </row>
    <row r="2443" spans="1:8" x14ac:dyDescent="0.2">
      <c r="A2443" s="91">
        <v>45560</v>
      </c>
      <c r="B2443" s="16">
        <v>12704809</v>
      </c>
      <c r="C2443" s="20" t="s">
        <v>84</v>
      </c>
      <c r="D2443" s="18">
        <v>37050</v>
      </c>
      <c r="E2443" s="19"/>
      <c r="F2443" s="15">
        <f t="shared" si="38"/>
        <v>-37050</v>
      </c>
      <c r="H2443" s="10"/>
    </row>
    <row r="2444" spans="1:8" x14ac:dyDescent="0.2">
      <c r="A2444" s="91">
        <v>45560</v>
      </c>
      <c r="B2444" s="16">
        <v>12704810</v>
      </c>
      <c r="C2444" s="20" t="s">
        <v>84</v>
      </c>
      <c r="D2444" s="18">
        <v>71250</v>
      </c>
      <c r="E2444" s="19"/>
      <c r="F2444" s="15">
        <f t="shared" si="38"/>
        <v>-71250</v>
      </c>
      <c r="H2444" s="10"/>
    </row>
    <row r="2445" spans="1:8" x14ac:dyDescent="0.2">
      <c r="A2445" s="91">
        <v>45560</v>
      </c>
      <c r="B2445" s="16">
        <v>12704811</v>
      </c>
      <c r="C2445" s="20" t="s">
        <v>84</v>
      </c>
      <c r="D2445" s="18">
        <v>242000</v>
      </c>
      <c r="E2445" s="19"/>
      <c r="F2445" s="15">
        <f t="shared" si="38"/>
        <v>-242000</v>
      </c>
      <c r="H2445" s="10"/>
    </row>
    <row r="2446" spans="1:8" x14ac:dyDescent="0.2">
      <c r="A2446" s="91">
        <v>45560</v>
      </c>
      <c r="B2446" s="16">
        <v>12704812</v>
      </c>
      <c r="C2446" s="20" t="s">
        <v>84</v>
      </c>
      <c r="D2446" s="18">
        <v>844170</v>
      </c>
      <c r="E2446" s="19"/>
      <c r="F2446" s="15">
        <f t="shared" si="38"/>
        <v>-844170</v>
      </c>
      <c r="H2446" s="10"/>
    </row>
    <row r="2447" spans="1:8" x14ac:dyDescent="0.2">
      <c r="A2447" s="91">
        <v>45560</v>
      </c>
      <c r="B2447" s="16">
        <v>12704813</v>
      </c>
      <c r="C2447" s="20" t="s">
        <v>84</v>
      </c>
      <c r="D2447" s="18">
        <v>264000</v>
      </c>
      <c r="E2447" s="19"/>
      <c r="F2447" s="15">
        <f t="shared" si="38"/>
        <v>-264000</v>
      </c>
      <c r="H2447" s="10"/>
    </row>
    <row r="2448" spans="1:8" x14ac:dyDescent="0.2">
      <c r="A2448" s="91">
        <v>45560</v>
      </c>
      <c r="B2448" s="16">
        <v>12704814</v>
      </c>
      <c r="C2448" s="20" t="s">
        <v>84</v>
      </c>
      <c r="D2448" s="18">
        <v>943350</v>
      </c>
      <c r="E2448" s="19"/>
      <c r="F2448" s="15">
        <f t="shared" si="38"/>
        <v>-943350</v>
      </c>
      <c r="H2448" s="10"/>
    </row>
    <row r="2449" spans="1:8" x14ac:dyDescent="0.2">
      <c r="A2449" s="91">
        <v>45560</v>
      </c>
      <c r="B2449" s="16">
        <v>12704815</v>
      </c>
      <c r="C2449" s="20" t="s">
        <v>84</v>
      </c>
      <c r="D2449" s="18">
        <v>120000</v>
      </c>
      <c r="E2449" s="19"/>
      <c r="F2449" s="15">
        <f t="shared" si="38"/>
        <v>-120000</v>
      </c>
      <c r="H2449" s="10"/>
    </row>
    <row r="2450" spans="1:8" x14ac:dyDescent="0.2">
      <c r="A2450" s="91">
        <v>45560</v>
      </c>
      <c r="B2450" s="16">
        <v>12704816</v>
      </c>
      <c r="C2450" s="20" t="s">
        <v>84</v>
      </c>
      <c r="D2450" s="18">
        <v>600000</v>
      </c>
      <c r="E2450" s="19"/>
      <c r="F2450" s="15">
        <f t="shared" si="38"/>
        <v>-600000</v>
      </c>
      <c r="H2450" s="10"/>
    </row>
    <row r="2451" spans="1:8" x14ac:dyDescent="0.2">
      <c r="A2451" s="91">
        <v>45560</v>
      </c>
      <c r="B2451" s="16">
        <v>12704817</v>
      </c>
      <c r="C2451" s="20" t="s">
        <v>84</v>
      </c>
      <c r="D2451" s="18">
        <v>85500</v>
      </c>
      <c r="E2451" s="19"/>
      <c r="F2451" s="15">
        <f t="shared" si="38"/>
        <v>-85500</v>
      </c>
      <c r="H2451" s="10"/>
    </row>
    <row r="2452" spans="1:8" x14ac:dyDescent="0.2">
      <c r="A2452" s="91">
        <v>45560</v>
      </c>
      <c r="B2452" s="16">
        <v>12704818</v>
      </c>
      <c r="C2452" s="20" t="s">
        <v>84</v>
      </c>
      <c r="D2452" s="18">
        <v>324000</v>
      </c>
      <c r="E2452" s="19"/>
      <c r="F2452" s="15">
        <f t="shared" si="38"/>
        <v>-324000</v>
      </c>
      <c r="H2452" s="10"/>
    </row>
    <row r="2453" spans="1:8" x14ac:dyDescent="0.2">
      <c r="A2453" s="91">
        <v>45560</v>
      </c>
      <c r="B2453" s="16">
        <v>12704819</v>
      </c>
      <c r="C2453" s="20" t="s">
        <v>84</v>
      </c>
      <c r="D2453" s="18">
        <v>768000</v>
      </c>
      <c r="E2453" s="19"/>
      <c r="F2453" s="15">
        <f t="shared" si="38"/>
        <v>-768000</v>
      </c>
      <c r="H2453" s="10"/>
    </row>
    <row r="2454" spans="1:8" x14ac:dyDescent="0.2">
      <c r="A2454" s="91">
        <v>45560</v>
      </c>
      <c r="B2454" s="16">
        <v>12704820</v>
      </c>
      <c r="C2454" s="20" t="s">
        <v>84</v>
      </c>
      <c r="D2454" s="18">
        <v>665000</v>
      </c>
      <c r="E2454" s="19"/>
      <c r="F2454" s="15">
        <f t="shared" si="38"/>
        <v>-665000</v>
      </c>
      <c r="H2454" s="10"/>
    </row>
    <row r="2455" spans="1:8" x14ac:dyDescent="0.2">
      <c r="A2455" s="91">
        <v>45560</v>
      </c>
      <c r="B2455" s="16">
        <v>12704821</v>
      </c>
      <c r="C2455" s="20" t="s">
        <v>84</v>
      </c>
      <c r="D2455" s="18">
        <v>511765</v>
      </c>
      <c r="E2455" s="19"/>
      <c r="F2455" s="15">
        <f t="shared" si="38"/>
        <v>-511765</v>
      </c>
      <c r="H2455" s="10"/>
    </row>
    <row r="2456" spans="1:8" x14ac:dyDescent="0.2">
      <c r="A2456" s="91">
        <v>45561</v>
      </c>
      <c r="B2456" s="16">
        <v>12709476</v>
      </c>
      <c r="C2456" s="20" t="s">
        <v>84</v>
      </c>
      <c r="D2456" s="18">
        <v>1460000</v>
      </c>
      <c r="E2456" s="19"/>
      <c r="F2456" s="15">
        <f t="shared" si="38"/>
        <v>-1460000</v>
      </c>
      <c r="H2456" s="10"/>
    </row>
    <row r="2457" spans="1:8" x14ac:dyDescent="0.2">
      <c r="A2457" s="91">
        <v>45561</v>
      </c>
      <c r="B2457" s="16">
        <v>12709477</v>
      </c>
      <c r="C2457" s="20" t="s">
        <v>84</v>
      </c>
      <c r="D2457" s="18">
        <v>443334</v>
      </c>
      <c r="E2457" s="19"/>
      <c r="F2457" s="15">
        <f t="shared" si="38"/>
        <v>-443334</v>
      </c>
      <c r="H2457" s="10"/>
    </row>
    <row r="2458" spans="1:8" x14ac:dyDescent="0.2">
      <c r="A2458" s="91">
        <v>45561</v>
      </c>
      <c r="B2458" s="16">
        <v>12709478</v>
      </c>
      <c r="C2458" s="20" t="s">
        <v>84</v>
      </c>
      <c r="D2458" s="18">
        <v>950000</v>
      </c>
      <c r="E2458" s="19"/>
      <c r="F2458" s="15">
        <f t="shared" si="38"/>
        <v>-950000</v>
      </c>
      <c r="H2458" s="10"/>
    </row>
    <row r="2459" spans="1:8" x14ac:dyDescent="0.2">
      <c r="A2459" s="91">
        <v>45561</v>
      </c>
      <c r="B2459" s="16">
        <v>12709479</v>
      </c>
      <c r="C2459" s="20" t="s">
        <v>84</v>
      </c>
      <c r="D2459" s="18">
        <v>716665</v>
      </c>
      <c r="E2459" s="19"/>
      <c r="F2459" s="15">
        <f t="shared" si="38"/>
        <v>-716665</v>
      </c>
      <c r="H2459" s="10"/>
    </row>
    <row r="2460" spans="1:8" x14ac:dyDescent="0.2">
      <c r="A2460" s="91">
        <v>45561</v>
      </c>
      <c r="B2460" s="16">
        <v>12709480</v>
      </c>
      <c r="C2460" s="20" t="s">
        <v>84</v>
      </c>
      <c r="D2460" s="18">
        <v>475000</v>
      </c>
      <c r="E2460" s="19"/>
      <c r="F2460" s="15">
        <f t="shared" si="38"/>
        <v>-475000</v>
      </c>
      <c r="H2460" s="10"/>
    </row>
    <row r="2461" spans="1:8" x14ac:dyDescent="0.2">
      <c r="A2461" s="91">
        <v>45561</v>
      </c>
      <c r="B2461" s="16">
        <v>12709481</v>
      </c>
      <c r="C2461" s="20" t="s">
        <v>84</v>
      </c>
      <c r="D2461" s="18">
        <v>633332</v>
      </c>
      <c r="E2461" s="19"/>
      <c r="F2461" s="15">
        <f t="shared" si="38"/>
        <v>-633332</v>
      </c>
      <c r="H2461" s="10"/>
    </row>
    <row r="2462" spans="1:8" x14ac:dyDescent="0.2">
      <c r="A2462" s="91">
        <v>45561</v>
      </c>
      <c r="B2462" s="16">
        <v>12709482</v>
      </c>
      <c r="C2462" s="20" t="s">
        <v>84</v>
      </c>
      <c r="D2462" s="18">
        <v>1083000</v>
      </c>
      <c r="E2462" s="19"/>
      <c r="F2462" s="15">
        <f t="shared" si="38"/>
        <v>-1083000</v>
      </c>
      <c r="H2462" s="10"/>
    </row>
    <row r="2463" spans="1:8" x14ac:dyDescent="0.2">
      <c r="A2463" s="91">
        <v>45561</v>
      </c>
      <c r="B2463" s="16">
        <v>12709483</v>
      </c>
      <c r="C2463" s="20" t="s">
        <v>84</v>
      </c>
      <c r="D2463" s="18">
        <v>1200000</v>
      </c>
      <c r="E2463" s="19"/>
      <c r="F2463" s="15">
        <f t="shared" si="38"/>
        <v>-1200000</v>
      </c>
      <c r="H2463" s="10"/>
    </row>
    <row r="2464" spans="1:8" x14ac:dyDescent="0.2">
      <c r="A2464" s="91">
        <v>45561</v>
      </c>
      <c r="B2464" s="16">
        <v>12709484</v>
      </c>
      <c r="C2464" s="20" t="s">
        <v>84</v>
      </c>
      <c r="D2464" s="18">
        <v>1775000</v>
      </c>
      <c r="E2464" s="19"/>
      <c r="F2464" s="15">
        <f t="shared" si="38"/>
        <v>-1775000</v>
      </c>
      <c r="H2464" s="10"/>
    </row>
    <row r="2465" spans="1:8" x14ac:dyDescent="0.2">
      <c r="A2465" s="91">
        <v>45561</v>
      </c>
      <c r="B2465" s="16">
        <v>12709485</v>
      </c>
      <c r="C2465" s="20" t="s">
        <v>84</v>
      </c>
      <c r="D2465" s="18">
        <v>1601668</v>
      </c>
      <c r="E2465" s="19"/>
      <c r="F2465" s="15">
        <f t="shared" si="38"/>
        <v>-1601668</v>
      </c>
      <c r="H2465" s="10"/>
    </row>
    <row r="2466" spans="1:8" x14ac:dyDescent="0.2">
      <c r="A2466" s="91">
        <v>45561</v>
      </c>
      <c r="B2466" s="16">
        <v>12709486</v>
      </c>
      <c r="C2466" s="20" t="s">
        <v>84</v>
      </c>
      <c r="D2466" s="18">
        <v>855000</v>
      </c>
      <c r="E2466" s="19"/>
      <c r="F2466" s="15">
        <f t="shared" si="38"/>
        <v>-855000</v>
      </c>
      <c r="H2466" s="10"/>
    </row>
    <row r="2467" spans="1:8" x14ac:dyDescent="0.2">
      <c r="A2467" s="91">
        <v>45561</v>
      </c>
      <c r="B2467" s="16">
        <v>12709487</v>
      </c>
      <c r="C2467" s="20" t="s">
        <v>84</v>
      </c>
      <c r="D2467" s="18">
        <v>1424997</v>
      </c>
      <c r="E2467" s="19"/>
      <c r="F2467" s="15">
        <f t="shared" si="38"/>
        <v>-1424997</v>
      </c>
      <c r="H2467" s="10"/>
    </row>
    <row r="2468" spans="1:8" x14ac:dyDescent="0.2">
      <c r="A2468" s="91">
        <v>45561</v>
      </c>
      <c r="B2468" s="16">
        <v>12709488</v>
      </c>
      <c r="C2468" s="20" t="s">
        <v>84</v>
      </c>
      <c r="D2468" s="18">
        <v>253332</v>
      </c>
      <c r="E2468" s="19"/>
      <c r="F2468" s="15">
        <f t="shared" si="38"/>
        <v>-253332</v>
      </c>
      <c r="H2468" s="10"/>
    </row>
    <row r="2469" spans="1:8" x14ac:dyDescent="0.2">
      <c r="A2469" s="91">
        <v>45561</v>
      </c>
      <c r="B2469" s="16">
        <v>12709489</v>
      </c>
      <c r="C2469" s="20" t="s">
        <v>84</v>
      </c>
      <c r="D2469" s="18">
        <v>1948335</v>
      </c>
      <c r="E2469" s="19"/>
      <c r="F2469" s="15">
        <f t="shared" si="38"/>
        <v>-1948335</v>
      </c>
      <c r="H2469" s="10"/>
    </row>
    <row r="2470" spans="1:8" x14ac:dyDescent="0.2">
      <c r="A2470" s="91">
        <v>45561</v>
      </c>
      <c r="B2470" s="67">
        <v>12709490</v>
      </c>
      <c r="C2470" s="56" t="s">
        <v>84</v>
      </c>
      <c r="D2470" s="48">
        <v>380000</v>
      </c>
      <c r="E2470" s="49"/>
      <c r="F2470" s="15">
        <f t="shared" si="38"/>
        <v>-380000</v>
      </c>
      <c r="H2470" s="10"/>
    </row>
    <row r="2471" spans="1:8" x14ac:dyDescent="0.2">
      <c r="A2471" s="91">
        <v>45593</v>
      </c>
      <c r="B2471" s="44">
        <v>13432798</v>
      </c>
      <c r="C2471" s="57" t="s">
        <v>84</v>
      </c>
      <c r="D2471" s="23">
        <v>2976800</v>
      </c>
      <c r="E2471" s="24"/>
      <c r="F2471" s="15">
        <f t="shared" si="38"/>
        <v>-2976800</v>
      </c>
    </row>
    <row r="2472" spans="1:8" x14ac:dyDescent="0.2">
      <c r="A2472" s="91">
        <v>45593</v>
      </c>
      <c r="B2472" s="66">
        <v>13432799</v>
      </c>
      <c r="C2472" s="83" t="s">
        <v>84</v>
      </c>
      <c r="D2472" s="64">
        <v>1900000</v>
      </c>
      <c r="E2472" s="35"/>
      <c r="F2472" s="15">
        <f t="shared" si="38"/>
        <v>-1900000</v>
      </c>
    </row>
    <row r="2473" spans="1:8" x14ac:dyDescent="0.2">
      <c r="A2473" s="92">
        <v>45593</v>
      </c>
      <c r="B2473" s="70">
        <v>13432800</v>
      </c>
      <c r="C2473" s="9" t="s">
        <v>84</v>
      </c>
      <c r="D2473" s="63">
        <v>510690</v>
      </c>
      <c r="E2473" s="49"/>
      <c r="F2473" s="15">
        <f t="shared" si="38"/>
        <v>-510690</v>
      </c>
    </row>
    <row r="2474" spans="1:8" x14ac:dyDescent="0.2">
      <c r="A2474" s="92">
        <v>45593</v>
      </c>
      <c r="B2474" s="70">
        <v>13432801</v>
      </c>
      <c r="C2474" s="9" t="s">
        <v>84</v>
      </c>
      <c r="D2474" s="63">
        <v>2555010</v>
      </c>
      <c r="E2474" s="49"/>
      <c r="F2474" s="15">
        <f t="shared" si="38"/>
        <v>-2555010</v>
      </c>
    </row>
    <row r="2475" spans="1:8" x14ac:dyDescent="0.2">
      <c r="A2475" s="92">
        <v>45593</v>
      </c>
      <c r="B2475" s="70">
        <v>13432802</v>
      </c>
      <c r="C2475" s="9" t="s">
        <v>84</v>
      </c>
      <c r="D2475" s="63">
        <v>1628100</v>
      </c>
      <c r="E2475" s="49"/>
      <c r="F2475" s="15">
        <f t="shared" si="38"/>
        <v>-1628100</v>
      </c>
    </row>
    <row r="2476" spans="1:8" x14ac:dyDescent="0.2">
      <c r="A2476" s="91">
        <v>45593</v>
      </c>
      <c r="B2476" s="72">
        <v>13432803</v>
      </c>
      <c r="C2476" s="84" t="s">
        <v>84</v>
      </c>
      <c r="D2476" s="8">
        <v>480090</v>
      </c>
      <c r="E2476" s="7"/>
      <c r="F2476" s="15">
        <f t="shared" si="38"/>
        <v>-480090</v>
      </c>
    </row>
    <row r="2477" spans="1:8" x14ac:dyDescent="0.2">
      <c r="A2477" s="91">
        <v>45593</v>
      </c>
      <c r="B2477" s="60">
        <v>13432804</v>
      </c>
      <c r="C2477" s="12" t="s">
        <v>84</v>
      </c>
      <c r="D2477" s="13">
        <v>200000</v>
      </c>
      <c r="E2477" s="14"/>
      <c r="F2477" s="15">
        <f t="shared" si="38"/>
        <v>-200000</v>
      </c>
    </row>
    <row r="2478" spans="1:8" x14ac:dyDescent="0.2">
      <c r="A2478" s="91">
        <v>45593</v>
      </c>
      <c r="B2478" s="43">
        <v>13432805</v>
      </c>
      <c r="C2478" s="20" t="s">
        <v>84</v>
      </c>
      <c r="D2478" s="18">
        <v>4015100</v>
      </c>
      <c r="E2478" s="19"/>
      <c r="F2478" s="15">
        <f t="shared" si="38"/>
        <v>-4015100</v>
      </c>
    </row>
    <row r="2479" spans="1:8" x14ac:dyDescent="0.2">
      <c r="A2479" s="91">
        <v>45593</v>
      </c>
      <c r="B2479" s="43">
        <v>13432806</v>
      </c>
      <c r="C2479" s="20" t="s">
        <v>84</v>
      </c>
      <c r="D2479" s="18">
        <v>187500</v>
      </c>
      <c r="E2479" s="19"/>
      <c r="F2479" s="15">
        <f t="shared" si="38"/>
        <v>-187500</v>
      </c>
    </row>
    <row r="2480" spans="1:8" x14ac:dyDescent="0.2">
      <c r="A2480" s="91">
        <v>45593</v>
      </c>
      <c r="B2480" s="43">
        <v>13432807</v>
      </c>
      <c r="C2480" s="20" t="s">
        <v>84</v>
      </c>
      <c r="D2480" s="18">
        <v>627750</v>
      </c>
      <c r="E2480" s="19"/>
      <c r="F2480" s="15">
        <f t="shared" si="38"/>
        <v>-627750</v>
      </c>
    </row>
    <row r="2481" spans="1:6" x14ac:dyDescent="0.2">
      <c r="A2481" s="91">
        <v>45593</v>
      </c>
      <c r="B2481" s="43">
        <v>13432808</v>
      </c>
      <c r="C2481" s="20" t="s">
        <v>84</v>
      </c>
      <c r="D2481" s="18">
        <v>1085713.2</v>
      </c>
      <c r="E2481" s="19"/>
      <c r="F2481" s="15">
        <f t="shared" si="38"/>
        <v>-1085713.2</v>
      </c>
    </row>
    <row r="2482" spans="1:6" x14ac:dyDescent="0.2">
      <c r="A2482" s="91">
        <v>45593</v>
      </c>
      <c r="B2482" s="43">
        <v>13432809</v>
      </c>
      <c r="C2482" s="20" t="s">
        <v>84</v>
      </c>
      <c r="D2482" s="18">
        <v>777062</v>
      </c>
      <c r="E2482" s="19"/>
      <c r="F2482" s="15">
        <f t="shared" si="38"/>
        <v>-777062</v>
      </c>
    </row>
    <row r="2483" spans="1:6" x14ac:dyDescent="0.2">
      <c r="A2483" s="91">
        <v>45593</v>
      </c>
      <c r="B2483" s="43">
        <v>13432810</v>
      </c>
      <c r="C2483" s="20" t="s">
        <v>84</v>
      </c>
      <c r="D2483" s="18">
        <v>1860000</v>
      </c>
      <c r="E2483" s="19"/>
      <c r="F2483" s="15">
        <f t="shared" si="38"/>
        <v>-1860000</v>
      </c>
    </row>
    <row r="2484" spans="1:6" x14ac:dyDescent="0.2">
      <c r="A2484" s="91">
        <v>45593</v>
      </c>
      <c r="B2484" s="43">
        <v>13432811</v>
      </c>
      <c r="C2484" s="20" t="s">
        <v>84</v>
      </c>
      <c r="D2484" s="18">
        <v>132000</v>
      </c>
      <c r="E2484" s="19"/>
      <c r="F2484" s="15">
        <f t="shared" si="38"/>
        <v>-132000</v>
      </c>
    </row>
    <row r="2485" spans="1:6" x14ac:dyDescent="0.2">
      <c r="A2485" s="91">
        <v>45593</v>
      </c>
      <c r="B2485" s="43">
        <v>13432812</v>
      </c>
      <c r="C2485" s="20" t="s">
        <v>84</v>
      </c>
      <c r="D2485" s="18">
        <v>120000</v>
      </c>
      <c r="E2485" s="19"/>
      <c r="F2485" s="15">
        <f t="shared" si="38"/>
        <v>-120000</v>
      </c>
    </row>
    <row r="2486" spans="1:6" x14ac:dyDescent="0.2">
      <c r="A2486" s="91">
        <v>45593</v>
      </c>
      <c r="B2486" s="43">
        <v>13432813</v>
      </c>
      <c r="C2486" s="20" t="s">
        <v>84</v>
      </c>
      <c r="D2486" s="18">
        <v>521914.8</v>
      </c>
      <c r="E2486" s="19"/>
      <c r="F2486" s="15">
        <f t="shared" si="38"/>
        <v>-521914.8</v>
      </c>
    </row>
    <row r="2487" spans="1:6" x14ac:dyDescent="0.2">
      <c r="A2487" s="91">
        <v>45593</v>
      </c>
      <c r="B2487" s="43">
        <v>13432814</v>
      </c>
      <c r="C2487" s="20" t="s">
        <v>84</v>
      </c>
      <c r="D2487" s="18">
        <v>63536</v>
      </c>
      <c r="E2487" s="19"/>
      <c r="F2487" s="15">
        <f t="shared" si="38"/>
        <v>-63536</v>
      </c>
    </row>
    <row r="2488" spans="1:6" x14ac:dyDescent="0.2">
      <c r="A2488" s="91">
        <v>45593</v>
      </c>
      <c r="B2488" s="43">
        <v>13432815</v>
      </c>
      <c r="C2488" s="20" t="s">
        <v>84</v>
      </c>
      <c r="D2488" s="18">
        <v>562580.04</v>
      </c>
      <c r="E2488" s="19"/>
      <c r="F2488" s="15">
        <f t="shared" si="38"/>
        <v>-562580.04</v>
      </c>
    </row>
    <row r="2489" spans="1:6" x14ac:dyDescent="0.2">
      <c r="A2489" s="91">
        <v>45593</v>
      </c>
      <c r="B2489" s="43">
        <v>13432816</v>
      </c>
      <c r="C2489" s="20" t="s">
        <v>84</v>
      </c>
      <c r="D2489" s="18">
        <v>618974.4</v>
      </c>
      <c r="E2489" s="19"/>
      <c r="F2489" s="15">
        <f t="shared" si="38"/>
        <v>-618974.4</v>
      </c>
    </row>
    <row r="2490" spans="1:6" x14ac:dyDescent="0.2">
      <c r="A2490" s="91">
        <v>45593</v>
      </c>
      <c r="B2490" s="43">
        <v>13432817</v>
      </c>
      <c r="C2490" s="20" t="s">
        <v>84</v>
      </c>
      <c r="D2490" s="18">
        <v>547096</v>
      </c>
      <c r="E2490" s="19"/>
      <c r="F2490" s="15">
        <f t="shared" si="38"/>
        <v>-547096</v>
      </c>
    </row>
    <row r="2491" spans="1:6" x14ac:dyDescent="0.2">
      <c r="A2491" s="91">
        <v>45593</v>
      </c>
      <c r="B2491" s="43">
        <v>13432818</v>
      </c>
      <c r="C2491" s="20" t="s">
        <v>84</v>
      </c>
      <c r="D2491" s="18">
        <v>256500</v>
      </c>
      <c r="E2491" s="19"/>
      <c r="F2491" s="15">
        <f t="shared" si="38"/>
        <v>-256500</v>
      </c>
    </row>
    <row r="2492" spans="1:6" x14ac:dyDescent="0.2">
      <c r="A2492" s="91">
        <v>45593</v>
      </c>
      <c r="B2492" s="43">
        <v>13432819</v>
      </c>
      <c r="C2492" s="20" t="s">
        <v>84</v>
      </c>
      <c r="D2492" s="18">
        <v>113696</v>
      </c>
      <c r="E2492" s="19"/>
      <c r="F2492" s="15">
        <f t="shared" si="38"/>
        <v>-113696</v>
      </c>
    </row>
    <row r="2493" spans="1:6" x14ac:dyDescent="0.2">
      <c r="A2493" s="91">
        <v>45593</v>
      </c>
      <c r="B2493" s="43">
        <v>13432820</v>
      </c>
      <c r="C2493" s="20" t="s">
        <v>84</v>
      </c>
      <c r="D2493" s="18">
        <v>657267</v>
      </c>
      <c r="E2493" s="19"/>
      <c r="F2493" s="15">
        <f t="shared" si="38"/>
        <v>-657267</v>
      </c>
    </row>
    <row r="2494" spans="1:6" x14ac:dyDescent="0.2">
      <c r="A2494" s="91">
        <v>45593</v>
      </c>
      <c r="B2494" s="43">
        <v>13432821</v>
      </c>
      <c r="C2494" s="20" t="s">
        <v>84</v>
      </c>
      <c r="D2494" s="18">
        <v>28500</v>
      </c>
      <c r="E2494" s="19"/>
      <c r="F2494" s="15">
        <f t="shared" si="38"/>
        <v>-28500</v>
      </c>
    </row>
    <row r="2495" spans="1:6" x14ac:dyDescent="0.2">
      <c r="A2495" s="91">
        <v>45593</v>
      </c>
      <c r="B2495" s="43">
        <v>13432822</v>
      </c>
      <c r="C2495" s="20" t="s">
        <v>84</v>
      </c>
      <c r="D2495" s="18">
        <v>77880</v>
      </c>
      <c r="E2495" s="19"/>
      <c r="F2495" s="15">
        <f t="shared" si="38"/>
        <v>-77880</v>
      </c>
    </row>
    <row r="2496" spans="1:6" x14ac:dyDescent="0.2">
      <c r="A2496" s="91">
        <v>45593</v>
      </c>
      <c r="B2496" s="46">
        <v>13432823</v>
      </c>
      <c r="C2496" s="9" t="s">
        <v>84</v>
      </c>
      <c r="D2496" s="48">
        <v>1210000</v>
      </c>
      <c r="E2496" s="49"/>
      <c r="F2496" s="15">
        <f t="shared" si="38"/>
        <v>-1210000</v>
      </c>
    </row>
    <row r="2497" spans="1:6" x14ac:dyDescent="0.2">
      <c r="A2497" s="91">
        <v>45593</v>
      </c>
      <c r="B2497" s="44">
        <v>13432824</v>
      </c>
      <c r="C2497" s="28" t="s">
        <v>84</v>
      </c>
      <c r="D2497" s="23">
        <v>71104</v>
      </c>
      <c r="E2497" s="24"/>
      <c r="F2497" s="15">
        <f t="shared" si="38"/>
        <v>-71104</v>
      </c>
    </row>
    <row r="2498" spans="1:6" x14ac:dyDescent="0.2">
      <c r="A2498" s="91">
        <v>45593</v>
      </c>
      <c r="B2498" s="43">
        <v>13432825</v>
      </c>
      <c r="C2498" s="20" t="s">
        <v>84</v>
      </c>
      <c r="D2498" s="18">
        <v>640000</v>
      </c>
      <c r="E2498" s="19"/>
      <c r="F2498" s="15">
        <f t="shared" si="38"/>
        <v>-640000</v>
      </c>
    </row>
    <row r="2499" spans="1:6" x14ac:dyDescent="0.2">
      <c r="A2499" s="91">
        <v>45593</v>
      </c>
      <c r="B2499" s="43">
        <v>13432826</v>
      </c>
      <c r="C2499" s="20" t="s">
        <v>84</v>
      </c>
      <c r="D2499" s="18">
        <v>1967500</v>
      </c>
      <c r="E2499" s="19"/>
      <c r="F2499" s="15">
        <f t="shared" ref="F2499:F2562" si="39">+E2499-D2499</f>
        <v>-1967500</v>
      </c>
    </row>
    <row r="2500" spans="1:6" x14ac:dyDescent="0.2">
      <c r="A2500" s="91">
        <v>45593</v>
      </c>
      <c r="B2500" s="43">
        <v>13432827</v>
      </c>
      <c r="C2500" s="20" t="s">
        <v>84</v>
      </c>
      <c r="D2500" s="18">
        <v>300000</v>
      </c>
      <c r="E2500" s="19"/>
      <c r="F2500" s="15">
        <f t="shared" si="39"/>
        <v>-300000</v>
      </c>
    </row>
    <row r="2501" spans="1:6" x14ac:dyDescent="0.2">
      <c r="A2501" s="91">
        <v>45593</v>
      </c>
      <c r="B2501" s="43">
        <v>13432828</v>
      </c>
      <c r="C2501" s="20" t="s">
        <v>84</v>
      </c>
      <c r="D2501" s="18">
        <v>1342274</v>
      </c>
      <c r="E2501" s="19"/>
      <c r="F2501" s="15">
        <f t="shared" si="39"/>
        <v>-1342274</v>
      </c>
    </row>
    <row r="2502" spans="1:6" x14ac:dyDescent="0.2">
      <c r="A2502" s="91">
        <v>45593</v>
      </c>
      <c r="B2502" s="43">
        <v>13432829</v>
      </c>
      <c r="C2502" s="20" t="s">
        <v>84</v>
      </c>
      <c r="D2502" s="18">
        <v>429520</v>
      </c>
      <c r="E2502" s="19"/>
      <c r="F2502" s="15">
        <f t="shared" si="39"/>
        <v>-429520</v>
      </c>
    </row>
    <row r="2503" spans="1:6" x14ac:dyDescent="0.2">
      <c r="A2503" s="91">
        <v>45593</v>
      </c>
      <c r="B2503" s="43">
        <v>13432830</v>
      </c>
      <c r="C2503" s="20" t="s">
        <v>84</v>
      </c>
      <c r="D2503" s="18">
        <v>2164300</v>
      </c>
      <c r="E2503" s="19"/>
      <c r="F2503" s="15">
        <f t="shared" si="39"/>
        <v>-2164300</v>
      </c>
    </row>
    <row r="2504" spans="1:6" x14ac:dyDescent="0.2">
      <c r="A2504" s="91">
        <v>45593</v>
      </c>
      <c r="B2504" s="43">
        <v>13432831</v>
      </c>
      <c r="C2504" s="20" t="s">
        <v>84</v>
      </c>
      <c r="D2504" s="18">
        <v>1528500</v>
      </c>
      <c r="E2504" s="19"/>
      <c r="F2504" s="15">
        <f t="shared" si="39"/>
        <v>-1528500</v>
      </c>
    </row>
    <row r="2505" spans="1:6" x14ac:dyDescent="0.2">
      <c r="A2505" s="91">
        <v>45593</v>
      </c>
      <c r="B2505" s="43">
        <v>13432832</v>
      </c>
      <c r="C2505" s="20" t="s">
        <v>84</v>
      </c>
      <c r="D2505" s="18">
        <v>2591600</v>
      </c>
      <c r="E2505" s="19"/>
      <c r="F2505" s="15">
        <f t="shared" si="39"/>
        <v>-2591600</v>
      </c>
    </row>
    <row r="2506" spans="1:6" x14ac:dyDescent="0.2">
      <c r="A2506" s="91">
        <v>45593</v>
      </c>
      <c r="B2506" s="43">
        <v>13432833</v>
      </c>
      <c r="C2506" s="20" t="s">
        <v>84</v>
      </c>
      <c r="D2506" s="18">
        <v>1571500</v>
      </c>
      <c r="E2506" s="19"/>
      <c r="F2506" s="15">
        <f t="shared" si="39"/>
        <v>-1571500</v>
      </c>
    </row>
    <row r="2507" spans="1:6" x14ac:dyDescent="0.2">
      <c r="A2507" s="91">
        <v>45593</v>
      </c>
      <c r="B2507" s="43">
        <v>13432834</v>
      </c>
      <c r="C2507" s="20" t="s">
        <v>84</v>
      </c>
      <c r="D2507" s="18">
        <v>600000</v>
      </c>
      <c r="E2507" s="19"/>
      <c r="F2507" s="15">
        <f t="shared" si="39"/>
        <v>-600000</v>
      </c>
    </row>
    <row r="2508" spans="1:6" x14ac:dyDescent="0.2">
      <c r="A2508" s="91">
        <v>45593</v>
      </c>
      <c r="B2508" s="43">
        <v>13432835</v>
      </c>
      <c r="C2508" s="20" t="s">
        <v>84</v>
      </c>
      <c r="D2508" s="18">
        <v>941838.8</v>
      </c>
      <c r="E2508" s="19"/>
      <c r="F2508" s="15">
        <f t="shared" si="39"/>
        <v>-941838.8</v>
      </c>
    </row>
    <row r="2509" spans="1:6" x14ac:dyDescent="0.2">
      <c r="A2509" s="91">
        <v>45593</v>
      </c>
      <c r="B2509" s="43">
        <v>13432836</v>
      </c>
      <c r="C2509" s="20" t="s">
        <v>84</v>
      </c>
      <c r="D2509" s="18">
        <v>206448</v>
      </c>
      <c r="E2509" s="19"/>
      <c r="F2509" s="15">
        <f t="shared" si="39"/>
        <v>-206448</v>
      </c>
    </row>
    <row r="2510" spans="1:6" x14ac:dyDescent="0.2">
      <c r="A2510" s="91">
        <v>45593</v>
      </c>
      <c r="B2510" s="43">
        <v>13432837</v>
      </c>
      <c r="C2510" s="20" t="s">
        <v>84</v>
      </c>
      <c r="D2510" s="18">
        <v>188576</v>
      </c>
      <c r="E2510" s="19"/>
      <c r="F2510" s="15">
        <f t="shared" si="39"/>
        <v>-188576</v>
      </c>
    </row>
    <row r="2511" spans="1:6" x14ac:dyDescent="0.2">
      <c r="A2511" s="91">
        <v>45593</v>
      </c>
      <c r="B2511" s="43">
        <v>13432838</v>
      </c>
      <c r="C2511" s="20" t="s">
        <v>84</v>
      </c>
      <c r="D2511" s="18">
        <v>46816</v>
      </c>
      <c r="E2511" s="19"/>
      <c r="F2511" s="15">
        <f t="shared" si="39"/>
        <v>-46816</v>
      </c>
    </row>
    <row r="2512" spans="1:6" x14ac:dyDescent="0.2">
      <c r="A2512" s="91">
        <v>45593</v>
      </c>
      <c r="B2512" s="46">
        <v>13432839</v>
      </c>
      <c r="C2512" s="9" t="s">
        <v>84</v>
      </c>
      <c r="D2512" s="48">
        <v>16203</v>
      </c>
      <c r="E2512" s="49"/>
      <c r="F2512" s="15">
        <f t="shared" si="39"/>
        <v>-16203</v>
      </c>
    </row>
    <row r="2513" spans="1:6" x14ac:dyDescent="0.2">
      <c r="A2513" s="91">
        <v>45593</v>
      </c>
      <c r="B2513" s="44">
        <v>13432840</v>
      </c>
      <c r="C2513" s="28" t="s">
        <v>84</v>
      </c>
      <c r="D2513" s="23">
        <v>243276</v>
      </c>
      <c r="E2513" s="24"/>
      <c r="F2513" s="15">
        <f t="shared" si="39"/>
        <v>-243276</v>
      </c>
    </row>
    <row r="2514" spans="1:6" x14ac:dyDescent="0.2">
      <c r="A2514" s="91">
        <v>45593</v>
      </c>
      <c r="B2514" s="43">
        <v>13432841</v>
      </c>
      <c r="C2514" s="20" t="s">
        <v>84</v>
      </c>
      <c r="D2514" s="18">
        <v>300000</v>
      </c>
      <c r="E2514" s="19"/>
      <c r="F2514" s="15">
        <f t="shared" si="39"/>
        <v>-300000</v>
      </c>
    </row>
    <row r="2515" spans="1:6" x14ac:dyDescent="0.2">
      <c r="A2515" s="91">
        <v>45593</v>
      </c>
      <c r="B2515" s="43">
        <v>13432842</v>
      </c>
      <c r="C2515" s="20" t="s">
        <v>84</v>
      </c>
      <c r="D2515" s="18">
        <v>1449200</v>
      </c>
      <c r="E2515" s="19"/>
      <c r="F2515" s="15">
        <f t="shared" si="39"/>
        <v>-1449200</v>
      </c>
    </row>
    <row r="2516" spans="1:6" x14ac:dyDescent="0.2">
      <c r="A2516" s="91">
        <v>45593</v>
      </c>
      <c r="B2516" s="43">
        <v>13432843</v>
      </c>
      <c r="C2516" s="20" t="s">
        <v>84</v>
      </c>
      <c r="D2516" s="18">
        <v>1421200</v>
      </c>
      <c r="E2516" s="19"/>
      <c r="F2516" s="15">
        <f t="shared" si="39"/>
        <v>-1421200</v>
      </c>
    </row>
    <row r="2517" spans="1:6" x14ac:dyDescent="0.2">
      <c r="A2517" s="91">
        <v>45593</v>
      </c>
      <c r="B2517" s="43">
        <v>13432844</v>
      </c>
      <c r="C2517" s="20" t="s">
        <v>84</v>
      </c>
      <c r="D2517" s="18">
        <v>32604</v>
      </c>
      <c r="E2517" s="19"/>
      <c r="F2517" s="15">
        <f t="shared" si="39"/>
        <v>-32604</v>
      </c>
    </row>
    <row r="2518" spans="1:6" x14ac:dyDescent="0.2">
      <c r="A2518" s="91">
        <v>45593</v>
      </c>
      <c r="B2518" s="43">
        <v>13432845</v>
      </c>
      <c r="C2518" s="20" t="s">
        <v>84</v>
      </c>
      <c r="D2518" s="18">
        <v>242000</v>
      </c>
      <c r="E2518" s="19"/>
      <c r="F2518" s="15">
        <f t="shared" si="39"/>
        <v>-242000</v>
      </c>
    </row>
    <row r="2519" spans="1:6" x14ac:dyDescent="0.2">
      <c r="A2519" s="91">
        <v>45593</v>
      </c>
      <c r="B2519" s="43">
        <v>13432846</v>
      </c>
      <c r="C2519" s="20" t="s">
        <v>84</v>
      </c>
      <c r="D2519" s="18">
        <v>645772</v>
      </c>
      <c r="E2519" s="19"/>
      <c r="F2519" s="15">
        <f t="shared" si="39"/>
        <v>-645772</v>
      </c>
    </row>
    <row r="2520" spans="1:6" x14ac:dyDescent="0.2">
      <c r="A2520" s="91">
        <v>45593</v>
      </c>
      <c r="B2520" s="43">
        <v>13432847</v>
      </c>
      <c r="C2520" s="20" t="s">
        <v>84</v>
      </c>
      <c r="D2520" s="18">
        <v>396000</v>
      </c>
      <c r="E2520" s="19"/>
      <c r="F2520" s="15">
        <f t="shared" si="39"/>
        <v>-396000</v>
      </c>
    </row>
    <row r="2521" spans="1:6" x14ac:dyDescent="0.2">
      <c r="A2521" s="91">
        <v>45593</v>
      </c>
      <c r="B2521" s="43">
        <v>13432848</v>
      </c>
      <c r="C2521" s="20" t="s">
        <v>84</v>
      </c>
      <c r="D2521" s="18">
        <v>1430016</v>
      </c>
      <c r="E2521" s="19"/>
      <c r="F2521" s="15">
        <f t="shared" si="39"/>
        <v>-1430016</v>
      </c>
    </row>
    <row r="2522" spans="1:6" x14ac:dyDescent="0.2">
      <c r="A2522" s="91">
        <v>45593</v>
      </c>
      <c r="B2522" s="43">
        <v>13432849</v>
      </c>
      <c r="C2522" s="20" t="s">
        <v>84</v>
      </c>
      <c r="D2522" s="18">
        <v>120000</v>
      </c>
      <c r="E2522" s="19"/>
      <c r="F2522" s="15">
        <f t="shared" si="39"/>
        <v>-120000</v>
      </c>
    </row>
    <row r="2523" spans="1:6" x14ac:dyDescent="0.2">
      <c r="A2523" s="91">
        <v>45593</v>
      </c>
      <c r="B2523" s="43">
        <v>13432850</v>
      </c>
      <c r="C2523" s="20" t="s">
        <v>84</v>
      </c>
      <c r="D2523" s="18">
        <v>600000</v>
      </c>
      <c r="E2523" s="19"/>
      <c r="F2523" s="15">
        <f t="shared" si="39"/>
        <v>-600000</v>
      </c>
    </row>
    <row r="2524" spans="1:6" x14ac:dyDescent="0.2">
      <c r="A2524" s="91">
        <v>45593</v>
      </c>
      <c r="B2524" s="43">
        <v>13432851</v>
      </c>
      <c r="C2524" s="20" t="s">
        <v>84</v>
      </c>
      <c r="D2524" s="18">
        <v>85500</v>
      </c>
      <c r="E2524" s="19"/>
      <c r="F2524" s="15">
        <f t="shared" si="39"/>
        <v>-85500</v>
      </c>
    </row>
    <row r="2525" spans="1:6" x14ac:dyDescent="0.2">
      <c r="A2525" s="91">
        <v>45593</v>
      </c>
      <c r="B2525" s="43">
        <v>13432852</v>
      </c>
      <c r="C2525" s="20" t="s">
        <v>84</v>
      </c>
      <c r="D2525" s="18">
        <v>242000</v>
      </c>
      <c r="E2525" s="19"/>
      <c r="F2525" s="15">
        <f t="shared" si="39"/>
        <v>-242000</v>
      </c>
    </row>
    <row r="2526" spans="1:6" x14ac:dyDescent="0.2">
      <c r="A2526" s="91">
        <v>45593</v>
      </c>
      <c r="B2526" s="43">
        <v>13432853</v>
      </c>
      <c r="C2526" s="20" t="s">
        <v>84</v>
      </c>
      <c r="D2526" s="18">
        <v>174400</v>
      </c>
      <c r="E2526" s="19"/>
      <c r="F2526" s="15">
        <f t="shared" si="39"/>
        <v>-174400</v>
      </c>
    </row>
    <row r="2527" spans="1:6" x14ac:dyDescent="0.2">
      <c r="A2527" s="91">
        <v>45593</v>
      </c>
      <c r="B2527" s="43">
        <v>13432854</v>
      </c>
      <c r="C2527" s="20" t="s">
        <v>84</v>
      </c>
      <c r="D2527" s="18">
        <v>665000</v>
      </c>
      <c r="E2527" s="19"/>
      <c r="F2527" s="15">
        <f t="shared" si="39"/>
        <v>-665000</v>
      </c>
    </row>
    <row r="2528" spans="1:6" x14ac:dyDescent="0.2">
      <c r="A2528" s="91">
        <v>45593</v>
      </c>
      <c r="B2528" s="43">
        <v>13432855</v>
      </c>
      <c r="C2528" s="20" t="s">
        <v>84</v>
      </c>
      <c r="D2528" s="18">
        <v>133800</v>
      </c>
      <c r="E2528" s="19"/>
      <c r="F2528" s="15">
        <f t="shared" si="39"/>
        <v>-133800</v>
      </c>
    </row>
    <row r="2529" spans="1:6" x14ac:dyDescent="0.2">
      <c r="A2529" s="91">
        <v>45593</v>
      </c>
      <c r="B2529" s="43">
        <v>13432856</v>
      </c>
      <c r="C2529" s="20" t="s">
        <v>84</v>
      </c>
      <c r="D2529" s="18">
        <v>475200</v>
      </c>
      <c r="E2529" s="19"/>
      <c r="F2529" s="15">
        <f t="shared" si="39"/>
        <v>-475200</v>
      </c>
    </row>
    <row r="2530" spans="1:6" x14ac:dyDescent="0.2">
      <c r="A2530" s="91">
        <v>45622</v>
      </c>
      <c r="B2530" s="43">
        <v>13967772</v>
      </c>
      <c r="C2530" s="20" t="s">
        <v>84</v>
      </c>
      <c r="D2530" s="18">
        <v>3391000</v>
      </c>
      <c r="E2530" s="19"/>
      <c r="F2530" s="15">
        <f t="shared" si="39"/>
        <v>-3391000</v>
      </c>
    </row>
    <row r="2531" spans="1:6" x14ac:dyDescent="0.2">
      <c r="A2531" s="91">
        <v>45622</v>
      </c>
      <c r="B2531" s="43">
        <v>13967773</v>
      </c>
      <c r="C2531" s="20" t="s">
        <v>84</v>
      </c>
      <c r="D2531" s="18">
        <v>744902</v>
      </c>
      <c r="E2531" s="19"/>
      <c r="F2531" s="15">
        <f t="shared" si="39"/>
        <v>-744902</v>
      </c>
    </row>
    <row r="2532" spans="1:6" x14ac:dyDescent="0.2">
      <c r="A2532" s="91">
        <v>45622</v>
      </c>
      <c r="B2532" s="43">
        <v>13967774</v>
      </c>
      <c r="C2532" s="20" t="s">
        <v>84</v>
      </c>
      <c r="D2532" s="18">
        <v>2185986</v>
      </c>
      <c r="E2532" s="19"/>
      <c r="F2532" s="15">
        <f t="shared" si="39"/>
        <v>-2185986</v>
      </c>
    </row>
    <row r="2533" spans="1:6" x14ac:dyDescent="0.2">
      <c r="A2533" s="91">
        <v>45622</v>
      </c>
      <c r="B2533" s="43">
        <v>13967775</v>
      </c>
      <c r="C2533" s="20" t="s">
        <v>84</v>
      </c>
      <c r="D2533" s="18">
        <v>1193600</v>
      </c>
      <c r="E2533" s="19"/>
      <c r="F2533" s="15">
        <f t="shared" si="39"/>
        <v>-1193600</v>
      </c>
    </row>
    <row r="2534" spans="1:6" x14ac:dyDescent="0.2">
      <c r="A2534" s="91">
        <v>45622</v>
      </c>
      <c r="B2534" s="43">
        <v>13967776</v>
      </c>
      <c r="C2534" s="20" t="s">
        <v>84</v>
      </c>
      <c r="D2534" s="18">
        <v>737225.34</v>
      </c>
      <c r="E2534" s="19"/>
      <c r="F2534" s="15">
        <f t="shared" si="39"/>
        <v>-737225.34</v>
      </c>
    </row>
    <row r="2535" spans="1:6" x14ac:dyDescent="0.2">
      <c r="A2535" s="91">
        <v>45622</v>
      </c>
      <c r="B2535" s="43">
        <v>13967777</v>
      </c>
      <c r="C2535" s="20" t="s">
        <v>84</v>
      </c>
      <c r="D2535" s="18">
        <v>200000</v>
      </c>
      <c r="E2535" s="19"/>
      <c r="F2535" s="15">
        <f t="shared" si="39"/>
        <v>-200000</v>
      </c>
    </row>
    <row r="2536" spans="1:6" x14ac:dyDescent="0.2">
      <c r="A2536" s="91">
        <v>45622</v>
      </c>
      <c r="B2536" s="43">
        <v>13967778</v>
      </c>
      <c r="C2536" s="20" t="s">
        <v>84</v>
      </c>
      <c r="D2536" s="18">
        <v>5517475</v>
      </c>
      <c r="E2536" s="19"/>
      <c r="F2536" s="15">
        <f t="shared" si="39"/>
        <v>-5517475</v>
      </c>
    </row>
    <row r="2537" spans="1:6" x14ac:dyDescent="0.2">
      <c r="A2537" s="91">
        <v>45622</v>
      </c>
      <c r="B2537" s="43">
        <v>13967779</v>
      </c>
      <c r="C2537" s="20" t="s">
        <v>84</v>
      </c>
      <c r="D2537" s="18">
        <v>187500</v>
      </c>
      <c r="E2537" s="19"/>
      <c r="F2537" s="15">
        <f t="shared" si="39"/>
        <v>-187500</v>
      </c>
    </row>
    <row r="2538" spans="1:6" x14ac:dyDescent="0.2">
      <c r="A2538" s="91">
        <v>45622</v>
      </c>
      <c r="B2538" s="43">
        <v>13967780</v>
      </c>
      <c r="C2538" s="20" t="s">
        <v>84</v>
      </c>
      <c r="D2538" s="18">
        <v>627750</v>
      </c>
      <c r="E2538" s="19"/>
      <c r="F2538" s="15">
        <f t="shared" si="39"/>
        <v>-627750</v>
      </c>
    </row>
    <row r="2539" spans="1:6" x14ac:dyDescent="0.2">
      <c r="A2539" s="91">
        <v>45622</v>
      </c>
      <c r="B2539" s="46">
        <v>13967781</v>
      </c>
      <c r="C2539" s="9" t="s">
        <v>84</v>
      </c>
      <c r="D2539" s="48">
        <v>2377519.23</v>
      </c>
      <c r="E2539" s="49"/>
      <c r="F2539" s="15">
        <f t="shared" si="39"/>
        <v>-2377519.23</v>
      </c>
    </row>
    <row r="2540" spans="1:6" x14ac:dyDescent="0.2">
      <c r="A2540" s="91">
        <v>45622</v>
      </c>
      <c r="B2540" s="44">
        <v>13967782</v>
      </c>
      <c r="C2540" s="28" t="s">
        <v>84</v>
      </c>
      <c r="D2540" s="23">
        <v>718200</v>
      </c>
      <c r="E2540" s="24"/>
      <c r="F2540" s="15">
        <f t="shared" si="39"/>
        <v>-718200</v>
      </c>
    </row>
    <row r="2541" spans="1:6" x14ac:dyDescent="0.2">
      <c r="A2541" s="91">
        <v>45622</v>
      </c>
      <c r="B2541" s="43">
        <v>13967783</v>
      </c>
      <c r="C2541" s="20" t="s">
        <v>84</v>
      </c>
      <c r="D2541" s="18">
        <v>2085000</v>
      </c>
      <c r="E2541" s="19"/>
      <c r="F2541" s="15">
        <f t="shared" si="39"/>
        <v>-2085000</v>
      </c>
    </row>
    <row r="2542" spans="1:6" x14ac:dyDescent="0.2">
      <c r="A2542" s="91">
        <v>45622</v>
      </c>
      <c r="B2542" s="43">
        <v>13967784</v>
      </c>
      <c r="C2542" s="20" t="s">
        <v>84</v>
      </c>
      <c r="D2542" s="18">
        <v>75000</v>
      </c>
      <c r="E2542" s="19"/>
      <c r="F2542" s="15">
        <f t="shared" si="39"/>
        <v>-75000</v>
      </c>
    </row>
    <row r="2543" spans="1:6" x14ac:dyDescent="0.2">
      <c r="A2543" s="91">
        <v>45622</v>
      </c>
      <c r="B2543" s="43">
        <v>13967785</v>
      </c>
      <c r="C2543" s="20" t="s">
        <v>84</v>
      </c>
      <c r="D2543" s="18">
        <v>134400</v>
      </c>
      <c r="E2543" s="19"/>
      <c r="F2543" s="15">
        <f t="shared" si="39"/>
        <v>-134400</v>
      </c>
    </row>
    <row r="2544" spans="1:6" x14ac:dyDescent="0.2">
      <c r="A2544" s="91">
        <v>45622</v>
      </c>
      <c r="B2544" s="43">
        <v>13967786</v>
      </c>
      <c r="C2544" s="20" t="s">
        <v>84</v>
      </c>
      <c r="D2544" s="18">
        <v>733780</v>
      </c>
      <c r="E2544" s="19"/>
      <c r="F2544" s="15">
        <f t="shared" si="39"/>
        <v>-733780</v>
      </c>
    </row>
    <row r="2545" spans="1:6" x14ac:dyDescent="0.2">
      <c r="A2545" s="91">
        <v>45622</v>
      </c>
      <c r="B2545" s="43">
        <v>13967787</v>
      </c>
      <c r="C2545" s="20" t="s">
        <v>84</v>
      </c>
      <c r="D2545" s="18">
        <v>131100</v>
      </c>
      <c r="E2545" s="19"/>
      <c r="F2545" s="15">
        <f t="shared" si="39"/>
        <v>-131100</v>
      </c>
    </row>
    <row r="2546" spans="1:6" x14ac:dyDescent="0.2">
      <c r="A2546" s="91">
        <v>45622</v>
      </c>
      <c r="B2546" s="43">
        <v>13967788</v>
      </c>
      <c r="C2546" s="20" t="s">
        <v>84</v>
      </c>
      <c r="D2546" s="18">
        <v>881350</v>
      </c>
      <c r="E2546" s="19"/>
      <c r="F2546" s="15">
        <f t="shared" si="39"/>
        <v>-881350</v>
      </c>
    </row>
    <row r="2547" spans="1:6" x14ac:dyDescent="0.2">
      <c r="A2547" s="91">
        <v>45622</v>
      </c>
      <c r="B2547" s="43">
        <v>13967789</v>
      </c>
      <c r="C2547" s="20" t="s">
        <v>84</v>
      </c>
      <c r="D2547" s="18">
        <v>191425</v>
      </c>
      <c r="E2547" s="19"/>
      <c r="F2547" s="15">
        <f t="shared" si="39"/>
        <v>-191425</v>
      </c>
    </row>
    <row r="2548" spans="1:6" x14ac:dyDescent="0.2">
      <c r="A2548" s="91">
        <v>45622</v>
      </c>
      <c r="B2548" s="43">
        <v>13967790</v>
      </c>
      <c r="C2548" s="20" t="s">
        <v>84</v>
      </c>
      <c r="D2548" s="18">
        <v>613920</v>
      </c>
      <c r="E2548" s="19"/>
      <c r="F2548" s="15">
        <f t="shared" si="39"/>
        <v>-613920</v>
      </c>
    </row>
    <row r="2549" spans="1:6" x14ac:dyDescent="0.2">
      <c r="A2549" s="91">
        <v>45622</v>
      </c>
      <c r="B2549" s="43">
        <v>13967791</v>
      </c>
      <c r="C2549" s="20" t="s">
        <v>84</v>
      </c>
      <c r="D2549" s="18">
        <v>180000</v>
      </c>
      <c r="E2549" s="19"/>
      <c r="F2549" s="15">
        <f t="shared" si="39"/>
        <v>-180000</v>
      </c>
    </row>
    <row r="2550" spans="1:6" x14ac:dyDescent="0.2">
      <c r="A2550" s="91">
        <v>45622</v>
      </c>
      <c r="B2550" s="43">
        <v>13967792</v>
      </c>
      <c r="C2550" s="20" t="s">
        <v>84</v>
      </c>
      <c r="D2550" s="18">
        <v>192000</v>
      </c>
      <c r="E2550" s="19"/>
      <c r="F2550" s="15">
        <f t="shared" si="39"/>
        <v>-192000</v>
      </c>
    </row>
    <row r="2551" spans="1:6" x14ac:dyDescent="0.2">
      <c r="A2551" s="91">
        <v>45622</v>
      </c>
      <c r="B2551" s="43">
        <v>13967793</v>
      </c>
      <c r="C2551" s="20" t="s">
        <v>84</v>
      </c>
      <c r="D2551" s="18">
        <v>683558</v>
      </c>
      <c r="E2551" s="19"/>
      <c r="F2551" s="15">
        <f t="shared" si="39"/>
        <v>-683558</v>
      </c>
    </row>
    <row r="2552" spans="1:6" x14ac:dyDescent="0.2">
      <c r="A2552" s="91">
        <v>45622</v>
      </c>
      <c r="B2552" s="43">
        <v>13967794</v>
      </c>
      <c r="C2552" s="20" t="s">
        <v>84</v>
      </c>
      <c r="D2552" s="18">
        <v>91620</v>
      </c>
      <c r="E2552" s="19"/>
      <c r="F2552" s="15">
        <f t="shared" si="39"/>
        <v>-91620</v>
      </c>
    </row>
    <row r="2553" spans="1:6" x14ac:dyDescent="0.2">
      <c r="A2553" s="91">
        <v>45622</v>
      </c>
      <c r="B2553" s="43">
        <v>13967795</v>
      </c>
      <c r="C2553" s="20" t="s">
        <v>84</v>
      </c>
      <c r="D2553" s="18">
        <v>1300000</v>
      </c>
      <c r="E2553" s="19"/>
      <c r="F2553" s="15">
        <f t="shared" si="39"/>
        <v>-1300000</v>
      </c>
    </row>
    <row r="2554" spans="1:6" x14ac:dyDescent="0.2">
      <c r="A2554" s="91">
        <v>45622</v>
      </c>
      <c r="B2554" s="43">
        <v>13967796</v>
      </c>
      <c r="C2554" s="20" t="s">
        <v>84</v>
      </c>
      <c r="D2554" s="18">
        <v>200896</v>
      </c>
      <c r="E2554" s="19"/>
      <c r="F2554" s="15">
        <f t="shared" si="39"/>
        <v>-200896</v>
      </c>
    </row>
    <row r="2555" spans="1:6" x14ac:dyDescent="0.2">
      <c r="A2555" s="91">
        <v>45622</v>
      </c>
      <c r="B2555" s="43">
        <v>13967797</v>
      </c>
      <c r="C2555" s="20" t="s">
        <v>84</v>
      </c>
      <c r="D2555" s="18">
        <v>640000</v>
      </c>
      <c r="E2555" s="19"/>
      <c r="F2555" s="15">
        <f t="shared" si="39"/>
        <v>-640000</v>
      </c>
    </row>
    <row r="2556" spans="1:6" x14ac:dyDescent="0.2">
      <c r="A2556" s="91">
        <v>45622</v>
      </c>
      <c r="B2556" s="43">
        <v>13967798</v>
      </c>
      <c r="C2556" s="20" t="s">
        <v>84</v>
      </c>
      <c r="D2556" s="18">
        <v>2127500</v>
      </c>
      <c r="E2556" s="19"/>
      <c r="F2556" s="15">
        <f t="shared" si="39"/>
        <v>-2127500</v>
      </c>
    </row>
    <row r="2557" spans="1:6" x14ac:dyDescent="0.2">
      <c r="A2557" s="91">
        <v>45622</v>
      </c>
      <c r="B2557" s="43">
        <v>13967799</v>
      </c>
      <c r="C2557" s="20" t="s">
        <v>84</v>
      </c>
      <c r="D2557" s="18">
        <v>300000</v>
      </c>
      <c r="E2557" s="19"/>
      <c r="F2557" s="15">
        <f t="shared" si="39"/>
        <v>-300000</v>
      </c>
    </row>
    <row r="2558" spans="1:6" x14ac:dyDescent="0.2">
      <c r="A2558" s="91">
        <v>45622</v>
      </c>
      <c r="B2558" s="43">
        <v>13967800</v>
      </c>
      <c r="C2558" s="20" t="s">
        <v>84</v>
      </c>
      <c r="D2558" s="18">
        <v>1390280.92</v>
      </c>
      <c r="E2558" s="19"/>
      <c r="F2558" s="15">
        <f t="shared" si="39"/>
        <v>-1390280.92</v>
      </c>
    </row>
    <row r="2559" spans="1:6" x14ac:dyDescent="0.2">
      <c r="A2559" s="91">
        <v>45622</v>
      </c>
      <c r="B2559" s="43">
        <v>13967801</v>
      </c>
      <c r="C2559" s="20" t="s">
        <v>84</v>
      </c>
      <c r="D2559" s="18">
        <v>538480</v>
      </c>
      <c r="E2559" s="19"/>
      <c r="F2559" s="15">
        <f t="shared" si="39"/>
        <v>-538480</v>
      </c>
    </row>
    <row r="2560" spans="1:6" x14ac:dyDescent="0.2">
      <c r="A2560" s="91">
        <v>45622</v>
      </c>
      <c r="B2560" s="43">
        <v>13967802</v>
      </c>
      <c r="C2560" s="20" t="s">
        <v>84</v>
      </c>
      <c r="D2560" s="18">
        <v>2488250</v>
      </c>
      <c r="E2560" s="19"/>
      <c r="F2560" s="15">
        <f t="shared" si="39"/>
        <v>-2488250</v>
      </c>
    </row>
    <row r="2561" spans="1:6" x14ac:dyDescent="0.2">
      <c r="A2561" s="91">
        <v>45622</v>
      </c>
      <c r="B2561" s="43">
        <v>13967803</v>
      </c>
      <c r="C2561" s="20" t="s">
        <v>84</v>
      </c>
      <c r="D2561" s="18">
        <v>1281700</v>
      </c>
      <c r="E2561" s="19"/>
      <c r="F2561" s="15">
        <f t="shared" si="39"/>
        <v>-1281700</v>
      </c>
    </row>
    <row r="2562" spans="1:6" x14ac:dyDescent="0.2">
      <c r="A2562" s="91">
        <v>45622</v>
      </c>
      <c r="B2562" s="43">
        <v>13967804</v>
      </c>
      <c r="C2562" s="20" t="s">
        <v>84</v>
      </c>
      <c r="D2562" s="18">
        <v>2448150</v>
      </c>
      <c r="E2562" s="19"/>
      <c r="F2562" s="15">
        <f t="shared" si="39"/>
        <v>-2448150</v>
      </c>
    </row>
    <row r="2563" spans="1:6" x14ac:dyDescent="0.2">
      <c r="A2563" s="91">
        <v>45622</v>
      </c>
      <c r="B2563" s="43">
        <v>13967805</v>
      </c>
      <c r="C2563" s="20" t="s">
        <v>84</v>
      </c>
      <c r="D2563" s="18">
        <v>2310750</v>
      </c>
      <c r="E2563" s="19"/>
      <c r="F2563" s="15">
        <f t="shared" ref="F2563:F2626" si="40">+E2563-D2563</f>
        <v>-2310750</v>
      </c>
    </row>
    <row r="2564" spans="1:6" x14ac:dyDescent="0.2">
      <c r="A2564" s="91">
        <v>45622</v>
      </c>
      <c r="B2564" s="43">
        <v>13967806</v>
      </c>
      <c r="C2564" s="20" t="s">
        <v>84</v>
      </c>
      <c r="D2564" s="18">
        <v>600000</v>
      </c>
      <c r="E2564" s="19"/>
      <c r="F2564" s="15">
        <f t="shared" si="40"/>
        <v>-600000</v>
      </c>
    </row>
    <row r="2565" spans="1:6" x14ac:dyDescent="0.2">
      <c r="A2565" s="91">
        <v>45622</v>
      </c>
      <c r="B2565" s="46">
        <v>13967807</v>
      </c>
      <c r="C2565" s="9" t="s">
        <v>84</v>
      </c>
      <c r="D2565" s="48">
        <v>1126533.8400000001</v>
      </c>
      <c r="E2565" s="49"/>
      <c r="F2565" s="15">
        <f t="shared" si="40"/>
        <v>-1126533.8400000001</v>
      </c>
    </row>
    <row r="2566" spans="1:6" x14ac:dyDescent="0.2">
      <c r="A2566" s="91">
        <v>45622</v>
      </c>
      <c r="B2566" s="44">
        <v>13967808</v>
      </c>
      <c r="C2566" s="28" t="s">
        <v>84</v>
      </c>
      <c r="D2566" s="23">
        <v>231852</v>
      </c>
      <c r="E2566" s="24"/>
      <c r="F2566" s="15">
        <f t="shared" si="40"/>
        <v>-231852</v>
      </c>
    </row>
    <row r="2567" spans="1:6" x14ac:dyDescent="0.2">
      <c r="A2567" s="91">
        <v>45622</v>
      </c>
      <c r="B2567" s="43">
        <v>13967809</v>
      </c>
      <c r="C2567" s="20" t="s">
        <v>84</v>
      </c>
      <c r="D2567" s="18">
        <v>28500</v>
      </c>
      <c r="E2567" s="19"/>
      <c r="F2567" s="15">
        <f t="shared" si="40"/>
        <v>-28500</v>
      </c>
    </row>
    <row r="2568" spans="1:6" x14ac:dyDescent="0.2">
      <c r="A2568" s="91">
        <v>45622</v>
      </c>
      <c r="B2568" s="43">
        <v>13967810</v>
      </c>
      <c r="C2568" s="20" t="s">
        <v>84</v>
      </c>
      <c r="D2568" s="18">
        <v>45600</v>
      </c>
      <c r="E2568" s="19"/>
      <c r="F2568" s="15">
        <f t="shared" si="40"/>
        <v>-45600</v>
      </c>
    </row>
    <row r="2569" spans="1:6" x14ac:dyDescent="0.2">
      <c r="A2569" s="91">
        <v>45622</v>
      </c>
      <c r="B2569" s="43">
        <v>13967811</v>
      </c>
      <c r="C2569" s="20" t="s">
        <v>84</v>
      </c>
      <c r="D2569" s="18">
        <v>19000</v>
      </c>
      <c r="E2569" s="19"/>
      <c r="F2569" s="15">
        <f t="shared" si="40"/>
        <v>-19000</v>
      </c>
    </row>
    <row r="2570" spans="1:6" x14ac:dyDescent="0.2">
      <c r="A2570" s="91">
        <v>45622</v>
      </c>
      <c r="B2570" s="43">
        <v>13967812</v>
      </c>
      <c r="C2570" s="20" t="s">
        <v>84</v>
      </c>
      <c r="D2570" s="18">
        <v>267900</v>
      </c>
      <c r="E2570" s="19"/>
      <c r="F2570" s="15">
        <f t="shared" si="40"/>
        <v>-267900</v>
      </c>
    </row>
    <row r="2571" spans="1:6" x14ac:dyDescent="0.2">
      <c r="A2571" s="91">
        <v>45622</v>
      </c>
      <c r="B2571" s="43">
        <v>13967813</v>
      </c>
      <c r="C2571" s="20" t="s">
        <v>84</v>
      </c>
      <c r="D2571" s="18">
        <v>300000</v>
      </c>
      <c r="E2571" s="19"/>
      <c r="F2571" s="15">
        <f t="shared" si="40"/>
        <v>-300000</v>
      </c>
    </row>
    <row r="2572" spans="1:6" x14ac:dyDescent="0.2">
      <c r="A2572" s="91">
        <v>45622</v>
      </c>
      <c r="B2572" s="43">
        <v>13967814</v>
      </c>
      <c r="C2572" s="20" t="s">
        <v>84</v>
      </c>
      <c r="D2572" s="18">
        <v>1311600</v>
      </c>
      <c r="E2572" s="19"/>
      <c r="F2572" s="15">
        <f t="shared" si="40"/>
        <v>-1311600</v>
      </c>
    </row>
    <row r="2573" spans="1:6" x14ac:dyDescent="0.2">
      <c r="A2573" s="91">
        <v>45622</v>
      </c>
      <c r="B2573" s="43">
        <v>13967815</v>
      </c>
      <c r="C2573" s="20" t="s">
        <v>84</v>
      </c>
      <c r="D2573" s="18">
        <v>1035500</v>
      </c>
      <c r="E2573" s="19"/>
      <c r="F2573" s="15">
        <f t="shared" si="40"/>
        <v>-1035500</v>
      </c>
    </row>
    <row r="2574" spans="1:6" x14ac:dyDescent="0.2">
      <c r="A2574" s="91">
        <v>45622</v>
      </c>
      <c r="B2574" s="43">
        <v>13967816</v>
      </c>
      <c r="C2574" s="20" t="s">
        <v>84</v>
      </c>
      <c r="D2574" s="18">
        <v>66500</v>
      </c>
      <c r="E2574" s="19"/>
      <c r="F2574" s="15">
        <f t="shared" si="40"/>
        <v>-66500</v>
      </c>
    </row>
    <row r="2575" spans="1:6" x14ac:dyDescent="0.2">
      <c r="A2575" s="91">
        <v>45622</v>
      </c>
      <c r="B2575" s="43">
        <v>13967817</v>
      </c>
      <c r="C2575" s="20" t="s">
        <v>84</v>
      </c>
      <c r="D2575" s="18">
        <v>242000</v>
      </c>
      <c r="E2575" s="19"/>
      <c r="F2575" s="15">
        <f t="shared" si="40"/>
        <v>-242000</v>
      </c>
    </row>
    <row r="2576" spans="1:6" x14ac:dyDescent="0.2">
      <c r="A2576" s="91">
        <v>45622</v>
      </c>
      <c r="B2576" s="43">
        <v>13967818</v>
      </c>
      <c r="C2576" s="20" t="s">
        <v>84</v>
      </c>
      <c r="D2576" s="18">
        <v>1049275</v>
      </c>
      <c r="E2576" s="19"/>
      <c r="F2576" s="15">
        <f t="shared" si="40"/>
        <v>-1049275</v>
      </c>
    </row>
    <row r="2577" spans="1:6" x14ac:dyDescent="0.2">
      <c r="A2577" s="91">
        <v>45622</v>
      </c>
      <c r="B2577" s="43">
        <v>13967819</v>
      </c>
      <c r="C2577" s="20" t="s">
        <v>84</v>
      </c>
      <c r="D2577" s="18">
        <v>443520</v>
      </c>
      <c r="E2577" s="19"/>
      <c r="F2577" s="15">
        <f t="shared" si="40"/>
        <v>-443520</v>
      </c>
    </row>
    <row r="2578" spans="1:6" x14ac:dyDescent="0.2">
      <c r="A2578" s="91">
        <v>45622</v>
      </c>
      <c r="B2578" s="43">
        <v>13967820</v>
      </c>
      <c r="C2578" s="20" t="s">
        <v>84</v>
      </c>
      <c r="D2578" s="18">
        <v>1536799.8</v>
      </c>
      <c r="E2578" s="19"/>
      <c r="F2578" s="15">
        <f t="shared" si="40"/>
        <v>-1536799.8</v>
      </c>
    </row>
    <row r="2579" spans="1:6" x14ac:dyDescent="0.2">
      <c r="A2579" s="91">
        <v>45622</v>
      </c>
      <c r="B2579" s="43">
        <v>13967821</v>
      </c>
      <c r="C2579" s="20" t="s">
        <v>84</v>
      </c>
      <c r="D2579" s="18">
        <v>120000</v>
      </c>
      <c r="E2579" s="19"/>
      <c r="F2579" s="15">
        <f t="shared" si="40"/>
        <v>-120000</v>
      </c>
    </row>
    <row r="2580" spans="1:6" x14ac:dyDescent="0.2">
      <c r="A2580" s="91">
        <v>45622</v>
      </c>
      <c r="B2580" s="43">
        <v>13967822</v>
      </c>
      <c r="C2580" s="20" t="s">
        <v>84</v>
      </c>
      <c r="D2580" s="18">
        <v>780000</v>
      </c>
      <c r="E2580" s="19"/>
      <c r="F2580" s="15">
        <f t="shared" si="40"/>
        <v>-780000</v>
      </c>
    </row>
    <row r="2581" spans="1:6" x14ac:dyDescent="0.2">
      <c r="A2581" s="91">
        <v>45622</v>
      </c>
      <c r="B2581" s="43">
        <v>13967823</v>
      </c>
      <c r="C2581" s="20" t="s">
        <v>84</v>
      </c>
      <c r="D2581" s="18">
        <v>85500</v>
      </c>
      <c r="E2581" s="19"/>
      <c r="F2581" s="15">
        <f t="shared" si="40"/>
        <v>-85500</v>
      </c>
    </row>
    <row r="2582" spans="1:6" x14ac:dyDescent="0.2">
      <c r="A2582" s="91">
        <v>45622</v>
      </c>
      <c r="B2582" s="43">
        <v>13967824</v>
      </c>
      <c r="C2582" s="20" t="s">
        <v>84</v>
      </c>
      <c r="D2582" s="18">
        <v>315500</v>
      </c>
      <c r="E2582" s="19"/>
      <c r="F2582" s="15">
        <f t="shared" si="40"/>
        <v>-315500</v>
      </c>
    </row>
    <row r="2583" spans="1:6" x14ac:dyDescent="0.2">
      <c r="A2583" s="91">
        <v>45622</v>
      </c>
      <c r="B2583" s="43">
        <v>13967825</v>
      </c>
      <c r="C2583" s="20" t="s">
        <v>84</v>
      </c>
      <c r="D2583" s="18">
        <v>1033000</v>
      </c>
      <c r="E2583" s="19"/>
      <c r="F2583" s="15">
        <f t="shared" si="40"/>
        <v>-1033000</v>
      </c>
    </row>
    <row r="2584" spans="1:6" x14ac:dyDescent="0.2">
      <c r="A2584" s="91">
        <v>45622</v>
      </c>
      <c r="B2584" s="43">
        <v>13967826</v>
      </c>
      <c r="C2584" s="20" t="s">
        <v>84</v>
      </c>
      <c r="D2584" s="18">
        <v>665000</v>
      </c>
      <c r="E2584" s="19"/>
      <c r="F2584" s="15">
        <f t="shared" si="40"/>
        <v>-665000</v>
      </c>
    </row>
    <row r="2585" spans="1:6" x14ac:dyDescent="0.2">
      <c r="A2585" s="91">
        <v>45622</v>
      </c>
      <c r="B2585" s="43">
        <v>13967827</v>
      </c>
      <c r="C2585" s="20" t="s">
        <v>84</v>
      </c>
      <c r="D2585" s="18">
        <v>528000</v>
      </c>
      <c r="E2585" s="19"/>
      <c r="F2585" s="15">
        <f t="shared" si="40"/>
        <v>-528000</v>
      </c>
    </row>
    <row r="2586" spans="1:6" x14ac:dyDescent="0.2">
      <c r="A2586" s="91">
        <v>45622</v>
      </c>
      <c r="B2586" s="43">
        <v>13967828</v>
      </c>
      <c r="C2586" s="20" t="s">
        <v>84</v>
      </c>
      <c r="D2586" s="18">
        <v>1264200</v>
      </c>
      <c r="E2586" s="19"/>
      <c r="F2586" s="15">
        <f t="shared" si="40"/>
        <v>-1264200</v>
      </c>
    </row>
    <row r="2587" spans="1:6" x14ac:dyDescent="0.2">
      <c r="A2587" s="91">
        <v>45622</v>
      </c>
      <c r="B2587" s="43">
        <v>13967829</v>
      </c>
      <c r="C2587" s="20" t="s">
        <v>84</v>
      </c>
      <c r="D2587" s="18">
        <v>38000</v>
      </c>
      <c r="E2587" s="19"/>
      <c r="F2587" s="15">
        <f t="shared" si="40"/>
        <v>-38000</v>
      </c>
    </row>
    <row r="2588" spans="1:6" x14ac:dyDescent="0.2">
      <c r="A2588" s="91">
        <v>45622</v>
      </c>
      <c r="B2588" s="43">
        <v>13967830</v>
      </c>
      <c r="C2588" s="20" t="s">
        <v>84</v>
      </c>
      <c r="D2588" s="18">
        <v>694800</v>
      </c>
      <c r="E2588" s="19"/>
      <c r="F2588" s="15">
        <f t="shared" si="40"/>
        <v>-694800</v>
      </c>
    </row>
    <row r="2589" spans="1:6" x14ac:dyDescent="0.2">
      <c r="A2589" s="91">
        <v>45622</v>
      </c>
      <c r="B2589" s="43">
        <v>13967831</v>
      </c>
      <c r="C2589" s="20" t="s">
        <v>84</v>
      </c>
      <c r="D2589" s="18">
        <v>516000</v>
      </c>
      <c r="E2589" s="19"/>
      <c r="F2589" s="15">
        <f t="shared" si="40"/>
        <v>-516000</v>
      </c>
    </row>
    <row r="2590" spans="1:6" x14ac:dyDescent="0.2">
      <c r="A2590" s="91">
        <v>45622</v>
      </c>
      <c r="B2590" s="43">
        <v>13967832</v>
      </c>
      <c r="C2590" s="20" t="s">
        <v>84</v>
      </c>
      <c r="D2590" s="18">
        <v>342000</v>
      </c>
      <c r="E2590" s="19"/>
      <c r="F2590" s="15">
        <f t="shared" si="40"/>
        <v>-342000</v>
      </c>
    </row>
    <row r="2591" spans="1:6" x14ac:dyDescent="0.2">
      <c r="A2591" s="91">
        <v>45622</v>
      </c>
      <c r="B2591" s="46">
        <v>13967833</v>
      </c>
      <c r="C2591" s="9" t="s">
        <v>84</v>
      </c>
      <c r="D2591" s="48">
        <v>1152188.5</v>
      </c>
      <c r="E2591" s="49"/>
      <c r="F2591" s="15">
        <f t="shared" si="40"/>
        <v>-1152188.5</v>
      </c>
    </row>
    <row r="2592" spans="1:6" x14ac:dyDescent="0.2">
      <c r="A2592" s="91">
        <v>45649</v>
      </c>
      <c r="B2592" s="44">
        <v>14748883</v>
      </c>
      <c r="C2592" s="28" t="s">
        <v>84</v>
      </c>
      <c r="D2592" s="23">
        <v>3950000</v>
      </c>
      <c r="E2592" s="24"/>
      <c r="F2592" s="15">
        <f t="shared" si="40"/>
        <v>-3950000</v>
      </c>
    </row>
    <row r="2593" spans="1:6" x14ac:dyDescent="0.2">
      <c r="A2593" s="91">
        <v>45649</v>
      </c>
      <c r="B2593" s="43">
        <v>14748884</v>
      </c>
      <c r="C2593" s="20" t="s">
        <v>84</v>
      </c>
      <c r="D2593" s="18">
        <v>1098434</v>
      </c>
      <c r="E2593" s="19"/>
      <c r="F2593" s="15">
        <f t="shared" si="40"/>
        <v>-1098434</v>
      </c>
    </row>
    <row r="2594" spans="1:6" x14ac:dyDescent="0.2">
      <c r="A2594" s="91">
        <v>45649</v>
      </c>
      <c r="B2594" s="43">
        <v>14748885</v>
      </c>
      <c r="C2594" s="20" t="s">
        <v>84</v>
      </c>
      <c r="D2594" s="18">
        <v>1835202</v>
      </c>
      <c r="E2594" s="19"/>
      <c r="F2594" s="15">
        <f t="shared" si="40"/>
        <v>-1835202</v>
      </c>
    </row>
    <row r="2595" spans="1:6" x14ac:dyDescent="0.2">
      <c r="A2595" s="91">
        <v>45649</v>
      </c>
      <c r="B2595" s="43">
        <v>14748886</v>
      </c>
      <c r="C2595" s="20" t="s">
        <v>84</v>
      </c>
      <c r="D2595" s="18">
        <v>1214400</v>
      </c>
      <c r="E2595" s="19"/>
      <c r="F2595" s="15">
        <f t="shared" si="40"/>
        <v>-1214400</v>
      </c>
    </row>
    <row r="2596" spans="1:6" x14ac:dyDescent="0.2">
      <c r="A2596" s="91">
        <v>45649</v>
      </c>
      <c r="B2596" s="43">
        <v>14748887</v>
      </c>
      <c r="C2596" s="20" t="s">
        <v>84</v>
      </c>
      <c r="D2596" s="18">
        <v>707570</v>
      </c>
      <c r="E2596" s="19"/>
      <c r="F2596" s="15">
        <f t="shared" si="40"/>
        <v>-707570</v>
      </c>
    </row>
    <row r="2597" spans="1:6" x14ac:dyDescent="0.2">
      <c r="A2597" s="91">
        <v>45649</v>
      </c>
      <c r="B2597" s="43">
        <v>14748888</v>
      </c>
      <c r="C2597" s="20" t="s">
        <v>84</v>
      </c>
      <c r="D2597" s="18">
        <v>200000</v>
      </c>
      <c r="E2597" s="19"/>
      <c r="F2597" s="15">
        <f t="shared" si="40"/>
        <v>-200000</v>
      </c>
    </row>
    <row r="2598" spans="1:6" x14ac:dyDescent="0.2">
      <c r="A2598" s="91">
        <v>45649</v>
      </c>
      <c r="B2598" s="43">
        <v>14748889</v>
      </c>
      <c r="C2598" s="20" t="s">
        <v>84</v>
      </c>
      <c r="D2598" s="18">
        <v>4129100</v>
      </c>
      <c r="E2598" s="19"/>
      <c r="F2598" s="15">
        <f t="shared" si="40"/>
        <v>-4129100</v>
      </c>
    </row>
    <row r="2599" spans="1:6" x14ac:dyDescent="0.2">
      <c r="A2599" s="91">
        <v>45649</v>
      </c>
      <c r="B2599" s="43">
        <v>14748890</v>
      </c>
      <c r="C2599" s="20" t="s">
        <v>84</v>
      </c>
      <c r="D2599" s="18">
        <v>187500</v>
      </c>
      <c r="E2599" s="19"/>
      <c r="F2599" s="15">
        <f t="shared" si="40"/>
        <v>-187500</v>
      </c>
    </row>
    <row r="2600" spans="1:6" x14ac:dyDescent="0.2">
      <c r="A2600" s="91">
        <v>45649</v>
      </c>
      <c r="B2600" s="43">
        <v>14748891</v>
      </c>
      <c r="C2600" s="20" t="s">
        <v>84</v>
      </c>
      <c r="D2600" s="18">
        <v>627750</v>
      </c>
      <c r="E2600" s="19"/>
      <c r="F2600" s="15">
        <f t="shared" si="40"/>
        <v>-627750</v>
      </c>
    </row>
    <row r="2601" spans="1:6" x14ac:dyDescent="0.2">
      <c r="A2601" s="91">
        <v>45649</v>
      </c>
      <c r="B2601" s="43">
        <v>14748892</v>
      </c>
      <c r="C2601" s="20" t="s">
        <v>84</v>
      </c>
      <c r="D2601" s="18">
        <v>1906935</v>
      </c>
      <c r="E2601" s="19"/>
      <c r="F2601" s="15">
        <f t="shared" si="40"/>
        <v>-1906935</v>
      </c>
    </row>
    <row r="2602" spans="1:6" x14ac:dyDescent="0.2">
      <c r="A2602" s="91">
        <v>45649</v>
      </c>
      <c r="B2602" s="43">
        <v>14748893</v>
      </c>
      <c r="C2602" s="20" t="s">
        <v>84</v>
      </c>
      <c r="D2602" s="18">
        <v>829825</v>
      </c>
      <c r="E2602" s="19"/>
      <c r="F2602" s="15">
        <f t="shared" si="40"/>
        <v>-829825</v>
      </c>
    </row>
    <row r="2603" spans="1:6" x14ac:dyDescent="0.2">
      <c r="A2603" s="91">
        <v>45649</v>
      </c>
      <c r="B2603" s="43">
        <v>14748894</v>
      </c>
      <c r="C2603" s="20" t="s">
        <v>84</v>
      </c>
      <c r="D2603" s="18">
        <v>2100000</v>
      </c>
      <c r="E2603" s="19"/>
      <c r="F2603" s="15">
        <f t="shared" si="40"/>
        <v>-2100000</v>
      </c>
    </row>
    <row r="2604" spans="1:6" x14ac:dyDescent="0.2">
      <c r="A2604" s="91">
        <v>45649</v>
      </c>
      <c r="B2604" s="43">
        <v>14748895</v>
      </c>
      <c r="C2604" s="20" t="s">
        <v>84</v>
      </c>
      <c r="D2604" s="18">
        <v>150000</v>
      </c>
      <c r="E2604" s="19"/>
      <c r="F2604" s="15">
        <f t="shared" si="40"/>
        <v>-150000</v>
      </c>
    </row>
    <row r="2605" spans="1:6" x14ac:dyDescent="0.2">
      <c r="A2605" s="91">
        <v>45649</v>
      </c>
      <c r="B2605" s="43">
        <v>14748896</v>
      </c>
      <c r="C2605" s="20" t="s">
        <v>84</v>
      </c>
      <c r="D2605" s="18">
        <v>134400</v>
      </c>
      <c r="E2605" s="19"/>
      <c r="F2605" s="15">
        <f t="shared" si="40"/>
        <v>-134400</v>
      </c>
    </row>
    <row r="2606" spans="1:6" x14ac:dyDescent="0.2">
      <c r="A2606" s="91">
        <v>45649</v>
      </c>
      <c r="B2606" s="43">
        <v>14748897</v>
      </c>
      <c r="C2606" s="20" t="s">
        <v>84</v>
      </c>
      <c r="D2606" s="18">
        <v>421990</v>
      </c>
      <c r="E2606" s="19"/>
      <c r="F2606" s="15">
        <f t="shared" si="40"/>
        <v>-421990</v>
      </c>
    </row>
    <row r="2607" spans="1:6" x14ac:dyDescent="0.2">
      <c r="A2607" s="91">
        <v>45649</v>
      </c>
      <c r="B2607" s="43">
        <v>14748898</v>
      </c>
      <c r="C2607" s="20" t="s">
        <v>84</v>
      </c>
      <c r="D2607" s="18">
        <v>89300</v>
      </c>
      <c r="E2607" s="19"/>
      <c r="F2607" s="15">
        <f t="shared" si="40"/>
        <v>-89300</v>
      </c>
    </row>
    <row r="2608" spans="1:6" x14ac:dyDescent="0.2">
      <c r="A2608" s="91">
        <v>45649</v>
      </c>
      <c r="B2608" s="43">
        <v>14748899</v>
      </c>
      <c r="C2608" s="20" t="s">
        <v>84</v>
      </c>
      <c r="D2608" s="18">
        <v>755210</v>
      </c>
      <c r="E2608" s="19"/>
      <c r="F2608" s="15">
        <f t="shared" si="40"/>
        <v>-755210</v>
      </c>
    </row>
    <row r="2609" spans="1:6" x14ac:dyDescent="0.2">
      <c r="A2609" s="91">
        <v>45649</v>
      </c>
      <c r="B2609" s="43">
        <v>14748900</v>
      </c>
      <c r="C2609" s="20" t="s">
        <v>84</v>
      </c>
      <c r="D2609" s="18">
        <v>1034550</v>
      </c>
      <c r="E2609" s="19"/>
      <c r="F2609" s="15">
        <f t="shared" si="40"/>
        <v>-1034550</v>
      </c>
    </row>
    <row r="2610" spans="1:6" x14ac:dyDescent="0.2">
      <c r="A2610" s="91">
        <v>45649</v>
      </c>
      <c r="B2610" s="43">
        <v>14748901</v>
      </c>
      <c r="C2610" s="20" t="s">
        <v>84</v>
      </c>
      <c r="D2610" s="18">
        <v>607980</v>
      </c>
      <c r="E2610" s="19"/>
      <c r="F2610" s="15">
        <f t="shared" si="40"/>
        <v>-607980</v>
      </c>
    </row>
    <row r="2611" spans="1:6" x14ac:dyDescent="0.2">
      <c r="A2611" s="91">
        <v>45649</v>
      </c>
      <c r="B2611" s="43">
        <v>14748902</v>
      </c>
      <c r="C2611" s="20" t="s">
        <v>84</v>
      </c>
      <c r="D2611" s="18">
        <v>180000</v>
      </c>
      <c r="E2611" s="19"/>
      <c r="F2611" s="15">
        <f t="shared" si="40"/>
        <v>-180000</v>
      </c>
    </row>
    <row r="2612" spans="1:6" x14ac:dyDescent="0.2">
      <c r="A2612" s="91">
        <v>45649</v>
      </c>
      <c r="B2612" s="43">
        <v>14748903</v>
      </c>
      <c r="C2612" s="20" t="s">
        <v>84</v>
      </c>
      <c r="D2612" s="18">
        <v>160000</v>
      </c>
      <c r="E2612" s="19"/>
      <c r="F2612" s="15">
        <f t="shared" si="40"/>
        <v>-160000</v>
      </c>
    </row>
    <row r="2613" spans="1:6" x14ac:dyDescent="0.2">
      <c r="A2613" s="91">
        <v>45649</v>
      </c>
      <c r="B2613" s="43">
        <v>14748904</v>
      </c>
      <c r="C2613" s="20" t="s">
        <v>84</v>
      </c>
      <c r="D2613" s="18">
        <v>422400</v>
      </c>
      <c r="E2613" s="19"/>
      <c r="F2613" s="15">
        <f t="shared" si="40"/>
        <v>-422400</v>
      </c>
    </row>
    <row r="2614" spans="1:6" x14ac:dyDescent="0.2">
      <c r="A2614" s="91">
        <v>45649</v>
      </c>
      <c r="B2614" s="43">
        <v>14748905</v>
      </c>
      <c r="C2614" s="20" t="s">
        <v>84</v>
      </c>
      <c r="D2614" s="18">
        <v>710900</v>
      </c>
      <c r="E2614" s="19"/>
      <c r="F2614" s="15">
        <f t="shared" si="40"/>
        <v>-710900</v>
      </c>
    </row>
    <row r="2615" spans="1:6" x14ac:dyDescent="0.2">
      <c r="A2615" s="91">
        <v>45649</v>
      </c>
      <c r="B2615" s="43">
        <v>14748906</v>
      </c>
      <c r="C2615" s="20" t="s">
        <v>84</v>
      </c>
      <c r="D2615" s="18">
        <v>598500</v>
      </c>
      <c r="E2615" s="19"/>
      <c r="F2615" s="15">
        <f t="shared" si="40"/>
        <v>-598500</v>
      </c>
    </row>
    <row r="2616" spans="1:6" x14ac:dyDescent="0.2">
      <c r="A2616" s="91">
        <v>45649</v>
      </c>
      <c r="B2616" s="43">
        <v>14748907</v>
      </c>
      <c r="C2616" s="20" t="s">
        <v>84</v>
      </c>
      <c r="D2616" s="18">
        <v>57000</v>
      </c>
      <c r="E2616" s="19"/>
      <c r="F2616" s="15">
        <f t="shared" si="40"/>
        <v>-57000</v>
      </c>
    </row>
    <row r="2617" spans="1:6" x14ac:dyDescent="0.2">
      <c r="A2617" s="91">
        <v>45649</v>
      </c>
      <c r="B2617" s="43">
        <v>14748908</v>
      </c>
      <c r="C2617" s="20" t="s">
        <v>84</v>
      </c>
      <c r="D2617" s="18">
        <v>237000</v>
      </c>
      <c r="E2617" s="19"/>
      <c r="F2617" s="15">
        <f t="shared" si="40"/>
        <v>-237000</v>
      </c>
    </row>
    <row r="2618" spans="1:6" x14ac:dyDescent="0.2">
      <c r="A2618" s="91">
        <v>45649</v>
      </c>
      <c r="B2618" s="43">
        <v>14748909</v>
      </c>
      <c r="C2618" s="20" t="s">
        <v>84</v>
      </c>
      <c r="D2618" s="18">
        <v>1055000</v>
      </c>
      <c r="E2618" s="19"/>
      <c r="F2618" s="15">
        <f t="shared" si="40"/>
        <v>-1055000</v>
      </c>
    </row>
    <row r="2619" spans="1:6" x14ac:dyDescent="0.2">
      <c r="A2619" s="91">
        <v>45649</v>
      </c>
      <c r="B2619" s="46">
        <v>14748910</v>
      </c>
      <c r="C2619" s="9" t="s">
        <v>84</v>
      </c>
      <c r="D2619" s="48">
        <v>136000</v>
      </c>
      <c r="E2619" s="49"/>
      <c r="F2619" s="15">
        <f t="shared" si="40"/>
        <v>-136000</v>
      </c>
    </row>
    <row r="2620" spans="1:6" x14ac:dyDescent="0.2">
      <c r="A2620" s="91">
        <v>45649</v>
      </c>
      <c r="B2620" s="44">
        <v>14748911</v>
      </c>
      <c r="C2620" s="28" t="s">
        <v>84</v>
      </c>
      <c r="D2620" s="23">
        <v>903000</v>
      </c>
      <c r="E2620" s="24"/>
      <c r="F2620" s="15">
        <f t="shared" si="40"/>
        <v>-903000</v>
      </c>
    </row>
    <row r="2621" spans="1:6" x14ac:dyDescent="0.2">
      <c r="A2621" s="91">
        <v>45649</v>
      </c>
      <c r="B2621" s="43">
        <v>14748912</v>
      </c>
      <c r="C2621" s="20" t="s">
        <v>84</v>
      </c>
      <c r="D2621" s="18">
        <v>640000</v>
      </c>
      <c r="E2621" s="19"/>
      <c r="F2621" s="15">
        <f t="shared" si="40"/>
        <v>-640000</v>
      </c>
    </row>
    <row r="2622" spans="1:6" x14ac:dyDescent="0.2">
      <c r="A2622" s="91">
        <v>45649</v>
      </c>
      <c r="B2622" s="43">
        <v>14748913</v>
      </c>
      <c r="C2622" s="20" t="s">
        <v>84</v>
      </c>
      <c r="D2622" s="18">
        <v>2127500</v>
      </c>
      <c r="E2622" s="19"/>
      <c r="F2622" s="15">
        <f t="shared" si="40"/>
        <v>-2127500</v>
      </c>
    </row>
    <row r="2623" spans="1:6" x14ac:dyDescent="0.2">
      <c r="A2623" s="91">
        <v>45649</v>
      </c>
      <c r="B2623" s="43">
        <v>14748914</v>
      </c>
      <c r="C2623" s="20" t="s">
        <v>84</v>
      </c>
      <c r="D2623" s="18">
        <v>300000</v>
      </c>
      <c r="E2623" s="19"/>
      <c r="F2623" s="15">
        <f t="shared" si="40"/>
        <v>-300000</v>
      </c>
    </row>
    <row r="2624" spans="1:6" x14ac:dyDescent="0.2">
      <c r="A2624" s="91">
        <v>45649</v>
      </c>
      <c r="B2624" s="43">
        <v>14748915</v>
      </c>
      <c r="C2624" s="20" t="s">
        <v>84</v>
      </c>
      <c r="D2624" s="18">
        <v>1773890</v>
      </c>
      <c r="E2624" s="19"/>
      <c r="F2624" s="15">
        <f t="shared" si="40"/>
        <v>-1773890</v>
      </c>
    </row>
    <row r="2625" spans="1:6" x14ac:dyDescent="0.2">
      <c r="A2625" s="91">
        <v>45649</v>
      </c>
      <c r="B2625" s="43">
        <v>14748916</v>
      </c>
      <c r="C2625" s="20" t="s">
        <v>84</v>
      </c>
      <c r="D2625" s="18">
        <v>466000</v>
      </c>
      <c r="E2625" s="19"/>
      <c r="F2625" s="15">
        <f t="shared" si="40"/>
        <v>-466000</v>
      </c>
    </row>
    <row r="2626" spans="1:6" x14ac:dyDescent="0.2">
      <c r="A2626" s="91">
        <v>45649</v>
      </c>
      <c r="B2626" s="43">
        <v>14748917</v>
      </c>
      <c r="C2626" s="20" t="s">
        <v>84</v>
      </c>
      <c r="D2626" s="18">
        <v>2094000</v>
      </c>
      <c r="E2626" s="19"/>
      <c r="F2626" s="15">
        <f t="shared" si="40"/>
        <v>-2094000</v>
      </c>
    </row>
    <row r="2627" spans="1:6" x14ac:dyDescent="0.2">
      <c r="A2627" s="91">
        <v>45649</v>
      </c>
      <c r="B2627" s="43">
        <v>14748918</v>
      </c>
      <c r="C2627" s="20" t="s">
        <v>84</v>
      </c>
      <c r="D2627" s="18">
        <v>1665600</v>
      </c>
      <c r="E2627" s="19"/>
      <c r="F2627" s="15">
        <f t="shared" ref="F2627:F2690" si="41">+E2627-D2627</f>
        <v>-1665600</v>
      </c>
    </row>
    <row r="2628" spans="1:6" x14ac:dyDescent="0.2">
      <c r="A2628" s="91">
        <v>45649</v>
      </c>
      <c r="B2628" s="43">
        <v>14748919</v>
      </c>
      <c r="C2628" s="20" t="s">
        <v>84</v>
      </c>
      <c r="D2628" s="18">
        <v>2437700</v>
      </c>
      <c r="E2628" s="19"/>
      <c r="F2628" s="15">
        <f t="shared" si="41"/>
        <v>-2437700</v>
      </c>
    </row>
    <row r="2629" spans="1:6" x14ac:dyDescent="0.2">
      <c r="A2629" s="91">
        <v>45649</v>
      </c>
      <c r="B2629" s="43">
        <v>14748920</v>
      </c>
      <c r="C2629" s="20" t="s">
        <v>84</v>
      </c>
      <c r="D2629" s="18">
        <v>2084000</v>
      </c>
      <c r="E2629" s="19"/>
      <c r="F2629" s="15">
        <f t="shared" si="41"/>
        <v>-2084000</v>
      </c>
    </row>
    <row r="2630" spans="1:6" x14ac:dyDescent="0.2">
      <c r="A2630" s="91">
        <v>45649</v>
      </c>
      <c r="B2630" s="43">
        <v>14748921</v>
      </c>
      <c r="C2630" s="20" t="s">
        <v>84</v>
      </c>
      <c r="D2630" s="18">
        <v>800000</v>
      </c>
      <c r="E2630" s="19"/>
      <c r="F2630" s="15">
        <f t="shared" si="41"/>
        <v>-800000</v>
      </c>
    </row>
    <row r="2631" spans="1:6" x14ac:dyDescent="0.2">
      <c r="A2631" s="91">
        <v>45649</v>
      </c>
      <c r="B2631" s="43">
        <v>14748922</v>
      </c>
      <c r="C2631" s="20" t="s">
        <v>84</v>
      </c>
      <c r="D2631" s="18">
        <v>724679</v>
      </c>
      <c r="E2631" s="19"/>
      <c r="F2631" s="15">
        <f t="shared" si="41"/>
        <v>-724679</v>
      </c>
    </row>
    <row r="2632" spans="1:6" x14ac:dyDescent="0.2">
      <c r="A2632" s="91">
        <v>45649</v>
      </c>
      <c r="B2632" s="43">
        <v>14748923</v>
      </c>
      <c r="C2632" s="20" t="s">
        <v>84</v>
      </c>
      <c r="D2632" s="18">
        <v>116700</v>
      </c>
      <c r="E2632" s="19"/>
      <c r="F2632" s="15">
        <f t="shared" si="41"/>
        <v>-116700</v>
      </c>
    </row>
    <row r="2633" spans="1:6" x14ac:dyDescent="0.2">
      <c r="A2633" s="91">
        <v>45649</v>
      </c>
      <c r="B2633" s="43">
        <v>14748924</v>
      </c>
      <c r="C2633" s="20" t="s">
        <v>84</v>
      </c>
      <c r="D2633" s="18">
        <v>184300</v>
      </c>
      <c r="E2633" s="19"/>
      <c r="F2633" s="15">
        <f t="shared" si="41"/>
        <v>-184300</v>
      </c>
    </row>
    <row r="2634" spans="1:6" x14ac:dyDescent="0.2">
      <c r="A2634" s="91">
        <v>45649</v>
      </c>
      <c r="B2634" s="43">
        <v>14748925</v>
      </c>
      <c r="C2634" s="20" t="s">
        <v>84</v>
      </c>
      <c r="D2634" s="18">
        <v>872400</v>
      </c>
      <c r="E2634" s="19"/>
      <c r="F2634" s="15">
        <f t="shared" si="41"/>
        <v>-872400</v>
      </c>
    </row>
    <row r="2635" spans="1:6" x14ac:dyDescent="0.2">
      <c r="A2635" s="91">
        <v>45649</v>
      </c>
      <c r="B2635" s="43">
        <v>14748926</v>
      </c>
      <c r="C2635" s="20" t="s">
        <v>84</v>
      </c>
      <c r="D2635" s="18">
        <v>300000</v>
      </c>
      <c r="E2635" s="19"/>
      <c r="F2635" s="15">
        <f t="shared" si="41"/>
        <v>-300000</v>
      </c>
    </row>
    <row r="2636" spans="1:6" x14ac:dyDescent="0.2">
      <c r="A2636" s="91">
        <v>45649</v>
      </c>
      <c r="B2636" s="43">
        <v>14748927</v>
      </c>
      <c r="C2636" s="20" t="s">
        <v>84</v>
      </c>
      <c r="D2636" s="18">
        <v>1311600</v>
      </c>
      <c r="E2636" s="19"/>
      <c r="F2636" s="15">
        <f t="shared" si="41"/>
        <v>-1311600</v>
      </c>
    </row>
    <row r="2637" spans="1:6" x14ac:dyDescent="0.2">
      <c r="A2637" s="91">
        <v>45649</v>
      </c>
      <c r="B2637" s="43">
        <v>14748928</v>
      </c>
      <c r="C2637" s="20" t="s">
        <v>84</v>
      </c>
      <c r="D2637" s="18">
        <v>836000</v>
      </c>
      <c r="E2637" s="19"/>
      <c r="F2637" s="15">
        <f t="shared" si="41"/>
        <v>-836000</v>
      </c>
    </row>
    <row r="2638" spans="1:6" x14ac:dyDescent="0.2">
      <c r="A2638" s="91">
        <v>45649</v>
      </c>
      <c r="B2638" s="43">
        <v>14748929</v>
      </c>
      <c r="C2638" s="20" t="s">
        <v>84</v>
      </c>
      <c r="D2638" s="18">
        <v>79800</v>
      </c>
      <c r="E2638" s="19"/>
      <c r="F2638" s="15">
        <f t="shared" si="41"/>
        <v>-79800</v>
      </c>
    </row>
    <row r="2639" spans="1:6" x14ac:dyDescent="0.2">
      <c r="A2639" s="91">
        <v>45649</v>
      </c>
      <c r="B2639" s="43">
        <v>14748930</v>
      </c>
      <c r="C2639" s="20" t="s">
        <v>84</v>
      </c>
      <c r="D2639" s="18">
        <v>242000</v>
      </c>
      <c r="E2639" s="19"/>
      <c r="F2639" s="15">
        <f t="shared" si="41"/>
        <v>-242000</v>
      </c>
    </row>
    <row r="2640" spans="1:6" x14ac:dyDescent="0.2">
      <c r="A2640" s="91">
        <v>45649</v>
      </c>
      <c r="B2640" s="43">
        <v>14748931</v>
      </c>
      <c r="C2640" s="20" t="s">
        <v>84</v>
      </c>
      <c r="D2640" s="18">
        <v>472625</v>
      </c>
      <c r="E2640" s="19"/>
      <c r="F2640" s="15">
        <f t="shared" si="41"/>
        <v>-472625</v>
      </c>
    </row>
    <row r="2641" spans="1:6" x14ac:dyDescent="0.2">
      <c r="A2641" s="91">
        <v>45649</v>
      </c>
      <c r="B2641" s="43">
        <v>14748932</v>
      </c>
      <c r="C2641" s="20" t="s">
        <v>84</v>
      </c>
      <c r="D2641" s="18">
        <v>363000</v>
      </c>
      <c r="E2641" s="19"/>
      <c r="F2641" s="15">
        <f t="shared" si="41"/>
        <v>-363000</v>
      </c>
    </row>
    <row r="2642" spans="1:6" x14ac:dyDescent="0.2">
      <c r="A2642" s="91">
        <v>45649</v>
      </c>
      <c r="B2642" s="43">
        <v>14748933</v>
      </c>
      <c r="C2642" s="20" t="s">
        <v>84</v>
      </c>
      <c r="D2642" s="18">
        <v>1554200</v>
      </c>
      <c r="E2642" s="19"/>
      <c r="F2642" s="15">
        <f t="shared" si="41"/>
        <v>-1554200</v>
      </c>
    </row>
    <row r="2643" spans="1:6" x14ac:dyDescent="0.2">
      <c r="A2643" s="91">
        <v>45649</v>
      </c>
      <c r="B2643" s="43">
        <v>14748934</v>
      </c>
      <c r="C2643" s="20" t="s">
        <v>84</v>
      </c>
      <c r="D2643" s="18">
        <v>120000</v>
      </c>
      <c r="E2643" s="19"/>
      <c r="F2643" s="15">
        <f t="shared" si="41"/>
        <v>-120000</v>
      </c>
    </row>
    <row r="2644" spans="1:6" x14ac:dyDescent="0.2">
      <c r="A2644" s="91">
        <v>45649</v>
      </c>
      <c r="B2644" s="46">
        <v>14748935</v>
      </c>
      <c r="C2644" s="9" t="s">
        <v>84</v>
      </c>
      <c r="D2644" s="48">
        <v>780000</v>
      </c>
      <c r="E2644" s="49"/>
      <c r="F2644" s="15">
        <f t="shared" si="41"/>
        <v>-780000</v>
      </c>
    </row>
    <row r="2645" spans="1:6" x14ac:dyDescent="0.2">
      <c r="A2645" s="91">
        <v>45649</v>
      </c>
      <c r="B2645" s="44">
        <v>14748936</v>
      </c>
      <c r="C2645" s="28" t="s">
        <v>84</v>
      </c>
      <c r="D2645" s="23">
        <v>1406950</v>
      </c>
      <c r="E2645" s="24"/>
      <c r="F2645" s="15">
        <f t="shared" si="41"/>
        <v>-1406950</v>
      </c>
    </row>
    <row r="2646" spans="1:6" x14ac:dyDescent="0.2">
      <c r="A2646" s="91">
        <v>45649</v>
      </c>
      <c r="B2646" s="43">
        <v>14748937</v>
      </c>
      <c r="C2646" s="20" t="s">
        <v>84</v>
      </c>
      <c r="D2646" s="18">
        <v>85500</v>
      </c>
      <c r="E2646" s="19"/>
      <c r="F2646" s="15">
        <f t="shared" si="41"/>
        <v>-85500</v>
      </c>
    </row>
    <row r="2647" spans="1:6" x14ac:dyDescent="0.2">
      <c r="A2647" s="91">
        <v>45649</v>
      </c>
      <c r="B2647" s="43">
        <v>14748938</v>
      </c>
      <c r="C2647" s="20" t="s">
        <v>84</v>
      </c>
      <c r="D2647" s="18">
        <v>175500</v>
      </c>
      <c r="E2647" s="19"/>
      <c r="F2647" s="15">
        <f t="shared" si="41"/>
        <v>-175500</v>
      </c>
    </row>
    <row r="2648" spans="1:6" x14ac:dyDescent="0.2">
      <c r="A2648" s="91">
        <v>45649</v>
      </c>
      <c r="B2648" s="43">
        <v>14748939</v>
      </c>
      <c r="C2648" s="20" t="s">
        <v>84</v>
      </c>
      <c r="D2648" s="18">
        <v>649600</v>
      </c>
      <c r="E2648" s="19"/>
      <c r="F2648" s="15">
        <f t="shared" si="41"/>
        <v>-649600</v>
      </c>
    </row>
    <row r="2649" spans="1:6" x14ac:dyDescent="0.2">
      <c r="A2649" s="91">
        <v>45649</v>
      </c>
      <c r="B2649" s="43">
        <v>14748940</v>
      </c>
      <c r="C2649" s="20" t="s">
        <v>84</v>
      </c>
      <c r="D2649" s="18">
        <v>502000</v>
      </c>
      <c r="E2649" s="19"/>
      <c r="F2649" s="15">
        <f t="shared" si="41"/>
        <v>-502000</v>
      </c>
    </row>
    <row r="2650" spans="1:6" x14ac:dyDescent="0.2">
      <c r="A2650" s="91">
        <v>45649</v>
      </c>
      <c r="B2650" s="43">
        <v>14748941</v>
      </c>
      <c r="C2650" s="20" t="s">
        <v>84</v>
      </c>
      <c r="D2650" s="18">
        <v>665000</v>
      </c>
      <c r="E2650" s="19"/>
      <c r="F2650" s="15">
        <f t="shared" si="41"/>
        <v>-665000</v>
      </c>
    </row>
    <row r="2651" spans="1:6" x14ac:dyDescent="0.2">
      <c r="A2651" s="91">
        <v>45681</v>
      </c>
      <c r="B2651" s="43">
        <v>15336285</v>
      </c>
      <c r="C2651" s="20" t="s">
        <v>84</v>
      </c>
      <c r="D2651" s="18">
        <v>3920000</v>
      </c>
      <c r="E2651" s="19"/>
      <c r="F2651" s="15">
        <f t="shared" si="41"/>
        <v>-3920000</v>
      </c>
    </row>
    <row r="2652" spans="1:6" x14ac:dyDescent="0.2">
      <c r="A2652" s="91">
        <v>45681</v>
      </c>
      <c r="B2652" s="43">
        <v>15336286</v>
      </c>
      <c r="C2652" s="20" t="s">
        <v>84</v>
      </c>
      <c r="D2652" s="18">
        <v>852290</v>
      </c>
      <c r="E2652" s="19"/>
      <c r="F2652" s="15">
        <f t="shared" si="41"/>
        <v>-852290</v>
      </c>
    </row>
    <row r="2653" spans="1:6" x14ac:dyDescent="0.2">
      <c r="A2653" s="91">
        <v>45681</v>
      </c>
      <c r="B2653" s="43">
        <v>15336287</v>
      </c>
      <c r="C2653" s="20" t="s">
        <v>84</v>
      </c>
      <c r="D2653" s="18">
        <v>1956290</v>
      </c>
      <c r="E2653" s="19"/>
      <c r="F2653" s="15">
        <f t="shared" si="41"/>
        <v>-1956290</v>
      </c>
    </row>
    <row r="2654" spans="1:6" x14ac:dyDescent="0.2">
      <c r="A2654" s="91">
        <v>45681</v>
      </c>
      <c r="B2654" s="43">
        <v>15336288</v>
      </c>
      <c r="C2654" s="20" t="s">
        <v>84</v>
      </c>
      <c r="D2654" s="18">
        <v>1041600</v>
      </c>
      <c r="E2654" s="19"/>
      <c r="F2654" s="15">
        <f t="shared" si="41"/>
        <v>-1041600</v>
      </c>
    </row>
    <row r="2655" spans="1:6" x14ac:dyDescent="0.2">
      <c r="A2655" s="91">
        <v>45681</v>
      </c>
      <c r="B2655" s="43">
        <v>15336289</v>
      </c>
      <c r="C2655" s="20" t="s">
        <v>84</v>
      </c>
      <c r="D2655" s="18">
        <v>601050</v>
      </c>
      <c r="E2655" s="19"/>
      <c r="F2655" s="15">
        <f t="shared" si="41"/>
        <v>-601050</v>
      </c>
    </row>
    <row r="2656" spans="1:6" x14ac:dyDescent="0.2">
      <c r="A2656" s="91">
        <v>45681</v>
      </c>
      <c r="B2656" s="43">
        <v>15336290</v>
      </c>
      <c r="C2656" s="20" t="s">
        <v>84</v>
      </c>
      <c r="D2656" s="18">
        <v>200000</v>
      </c>
      <c r="E2656" s="19"/>
      <c r="F2656" s="15">
        <f t="shared" si="41"/>
        <v>-200000</v>
      </c>
    </row>
    <row r="2657" spans="1:6" x14ac:dyDescent="0.2">
      <c r="A2657" s="91">
        <v>45681</v>
      </c>
      <c r="B2657" s="43">
        <v>15336291</v>
      </c>
      <c r="C2657" s="20" t="s">
        <v>84</v>
      </c>
      <c r="D2657" s="18">
        <v>4875250</v>
      </c>
      <c r="E2657" s="19"/>
      <c r="F2657" s="15">
        <f t="shared" si="41"/>
        <v>-4875250</v>
      </c>
    </row>
    <row r="2658" spans="1:6" x14ac:dyDescent="0.2">
      <c r="A2658" s="91">
        <v>45681</v>
      </c>
      <c r="B2658" s="43">
        <v>15336292</v>
      </c>
      <c r="C2658" s="20" t="s">
        <v>84</v>
      </c>
      <c r="D2658" s="18">
        <v>222000</v>
      </c>
      <c r="E2658" s="19"/>
      <c r="F2658" s="15">
        <f t="shared" si="41"/>
        <v>-222000</v>
      </c>
    </row>
    <row r="2659" spans="1:6" x14ac:dyDescent="0.2">
      <c r="A2659" s="91">
        <v>45681</v>
      </c>
      <c r="B2659" s="43">
        <v>15336293</v>
      </c>
      <c r="C2659" s="20" t="s">
        <v>84</v>
      </c>
      <c r="D2659" s="18">
        <v>741000</v>
      </c>
      <c r="E2659" s="19"/>
      <c r="F2659" s="15">
        <f t="shared" si="41"/>
        <v>-741000</v>
      </c>
    </row>
    <row r="2660" spans="1:6" x14ac:dyDescent="0.2">
      <c r="A2660" s="91">
        <v>45681</v>
      </c>
      <c r="B2660" s="43">
        <v>15336294</v>
      </c>
      <c r="C2660" s="20" t="s">
        <v>84</v>
      </c>
      <c r="D2660" s="18">
        <v>1035880</v>
      </c>
      <c r="E2660" s="19"/>
      <c r="F2660" s="15">
        <f t="shared" si="41"/>
        <v>-1035880</v>
      </c>
    </row>
    <row r="2661" spans="1:6" x14ac:dyDescent="0.2">
      <c r="A2661" s="91">
        <v>45681</v>
      </c>
      <c r="B2661" s="43">
        <v>15336295</v>
      </c>
      <c r="C2661" s="20" t="s">
        <v>84</v>
      </c>
      <c r="D2661" s="18">
        <v>722190</v>
      </c>
      <c r="E2661" s="19"/>
      <c r="F2661" s="15">
        <f t="shared" si="41"/>
        <v>-722190</v>
      </c>
    </row>
    <row r="2662" spans="1:6" x14ac:dyDescent="0.2">
      <c r="A2662" s="91">
        <v>45681</v>
      </c>
      <c r="B2662" s="43">
        <v>15336296</v>
      </c>
      <c r="C2662" s="20" t="s">
        <v>84</v>
      </c>
      <c r="D2662" s="18">
        <v>2010000</v>
      </c>
      <c r="E2662" s="19"/>
      <c r="F2662" s="15">
        <f t="shared" si="41"/>
        <v>-2010000</v>
      </c>
    </row>
    <row r="2663" spans="1:6" x14ac:dyDescent="0.2">
      <c r="A2663" s="91">
        <v>45681</v>
      </c>
      <c r="B2663" s="43">
        <v>15336297</v>
      </c>
      <c r="C2663" s="20" t="s">
        <v>84</v>
      </c>
      <c r="D2663" s="18">
        <v>75000</v>
      </c>
      <c r="E2663" s="19"/>
      <c r="F2663" s="15">
        <f t="shared" si="41"/>
        <v>-75000</v>
      </c>
    </row>
    <row r="2664" spans="1:6" x14ac:dyDescent="0.2">
      <c r="A2664" s="91">
        <v>45681</v>
      </c>
      <c r="B2664" s="43">
        <v>15336298</v>
      </c>
      <c r="C2664" s="20" t="s">
        <v>84</v>
      </c>
      <c r="D2664" s="18">
        <v>134400</v>
      </c>
      <c r="E2664" s="19"/>
      <c r="F2664" s="15">
        <f t="shared" si="41"/>
        <v>-134400</v>
      </c>
    </row>
    <row r="2665" spans="1:6" x14ac:dyDescent="0.2">
      <c r="A2665" s="91">
        <v>45681</v>
      </c>
      <c r="B2665" s="43">
        <v>15336299</v>
      </c>
      <c r="C2665" s="20" t="s">
        <v>84</v>
      </c>
      <c r="D2665" s="18">
        <v>289180</v>
      </c>
      <c r="E2665" s="19"/>
      <c r="F2665" s="15">
        <f t="shared" si="41"/>
        <v>-289180</v>
      </c>
    </row>
    <row r="2666" spans="1:6" x14ac:dyDescent="0.2">
      <c r="A2666" s="91">
        <v>45681</v>
      </c>
      <c r="B2666" s="43">
        <v>15336300</v>
      </c>
      <c r="C2666" s="20" t="s">
        <v>84</v>
      </c>
      <c r="D2666" s="18">
        <v>136800</v>
      </c>
      <c r="E2666" s="19"/>
      <c r="F2666" s="15">
        <f t="shared" si="41"/>
        <v>-136800</v>
      </c>
    </row>
    <row r="2667" spans="1:6" x14ac:dyDescent="0.2">
      <c r="A2667" s="91">
        <v>45681</v>
      </c>
      <c r="B2667" s="43">
        <v>15336301</v>
      </c>
      <c r="C2667" s="20" t="s">
        <v>84</v>
      </c>
      <c r="D2667" s="18">
        <v>637790</v>
      </c>
      <c r="E2667" s="19"/>
      <c r="F2667" s="15">
        <f t="shared" si="41"/>
        <v>-637790</v>
      </c>
    </row>
    <row r="2668" spans="1:6" x14ac:dyDescent="0.2">
      <c r="A2668" s="91">
        <v>45681</v>
      </c>
      <c r="B2668" s="43">
        <v>15336302</v>
      </c>
      <c r="C2668" s="20" t="s">
        <v>84</v>
      </c>
      <c r="D2668" s="18">
        <v>1269390</v>
      </c>
      <c r="E2668" s="19"/>
      <c r="F2668" s="15">
        <f t="shared" si="41"/>
        <v>-1269390</v>
      </c>
    </row>
    <row r="2669" spans="1:6" x14ac:dyDescent="0.2">
      <c r="A2669" s="91">
        <v>45681</v>
      </c>
      <c r="B2669" s="46">
        <v>15336303</v>
      </c>
      <c r="C2669" s="9" t="s">
        <v>84</v>
      </c>
      <c r="D2669" s="48">
        <v>570520</v>
      </c>
      <c r="E2669" s="49"/>
      <c r="F2669" s="15">
        <f t="shared" si="41"/>
        <v>-570520</v>
      </c>
    </row>
    <row r="2670" spans="1:6" x14ac:dyDescent="0.2">
      <c r="A2670" s="91">
        <v>45681</v>
      </c>
      <c r="B2670" s="44">
        <v>15336304</v>
      </c>
      <c r="C2670" s="28" t="s">
        <v>84</v>
      </c>
      <c r="D2670" s="23">
        <v>535000</v>
      </c>
      <c r="E2670" s="24"/>
      <c r="F2670" s="15">
        <f t="shared" si="41"/>
        <v>-535000</v>
      </c>
    </row>
    <row r="2671" spans="1:6" x14ac:dyDescent="0.2">
      <c r="A2671" s="91">
        <v>45681</v>
      </c>
      <c r="B2671" s="43">
        <v>15336305</v>
      </c>
      <c r="C2671" s="20" t="s">
        <v>84</v>
      </c>
      <c r="D2671" s="18">
        <v>200000</v>
      </c>
      <c r="E2671" s="19"/>
      <c r="F2671" s="15">
        <f t="shared" si="41"/>
        <v>-200000</v>
      </c>
    </row>
    <row r="2672" spans="1:6" x14ac:dyDescent="0.2">
      <c r="A2672" s="91">
        <v>45681</v>
      </c>
      <c r="B2672" s="43">
        <v>15336306</v>
      </c>
      <c r="C2672" s="20" t="s">
        <v>84</v>
      </c>
      <c r="D2672" s="18">
        <v>532500</v>
      </c>
      <c r="E2672" s="19"/>
      <c r="F2672" s="15">
        <f t="shared" si="41"/>
        <v>-532500</v>
      </c>
    </row>
    <row r="2673" spans="1:6" x14ac:dyDescent="0.2">
      <c r="A2673" s="91">
        <v>45681</v>
      </c>
      <c r="B2673" s="43">
        <v>15336307</v>
      </c>
      <c r="C2673" s="20" t="s">
        <v>84</v>
      </c>
      <c r="D2673" s="18">
        <v>710900</v>
      </c>
      <c r="E2673" s="19"/>
      <c r="F2673" s="15">
        <f t="shared" si="41"/>
        <v>-710900</v>
      </c>
    </row>
    <row r="2674" spans="1:6" x14ac:dyDescent="0.2">
      <c r="A2674" s="91">
        <v>45681</v>
      </c>
      <c r="B2674" s="43">
        <v>15336308</v>
      </c>
      <c r="C2674" s="20" t="s">
        <v>84</v>
      </c>
      <c r="D2674" s="18">
        <v>522500</v>
      </c>
      <c r="E2674" s="19"/>
      <c r="F2674" s="15">
        <f t="shared" si="41"/>
        <v>-522500</v>
      </c>
    </row>
    <row r="2675" spans="1:6" x14ac:dyDescent="0.2">
      <c r="A2675" s="91">
        <v>45681</v>
      </c>
      <c r="B2675" s="43">
        <v>15336309</v>
      </c>
      <c r="C2675" s="20" t="s">
        <v>84</v>
      </c>
      <c r="D2675" s="18">
        <v>142500</v>
      </c>
      <c r="E2675" s="19"/>
      <c r="F2675" s="15">
        <f t="shared" si="41"/>
        <v>-142500</v>
      </c>
    </row>
    <row r="2676" spans="1:6" x14ac:dyDescent="0.2">
      <c r="A2676" s="91">
        <v>45681</v>
      </c>
      <c r="B2676" s="43">
        <v>15336310</v>
      </c>
      <c r="C2676" s="20" t="s">
        <v>84</v>
      </c>
      <c r="D2676" s="18">
        <v>247500</v>
      </c>
      <c r="E2676" s="19"/>
      <c r="F2676" s="15">
        <f t="shared" si="41"/>
        <v>-247500</v>
      </c>
    </row>
    <row r="2677" spans="1:6" x14ac:dyDescent="0.2">
      <c r="A2677" s="91">
        <v>45681</v>
      </c>
      <c r="B2677" s="43">
        <v>15336311</v>
      </c>
      <c r="C2677" s="20" t="s">
        <v>84</v>
      </c>
      <c r="D2677" s="18">
        <v>1515000</v>
      </c>
      <c r="E2677" s="19"/>
      <c r="F2677" s="15">
        <f t="shared" si="41"/>
        <v>-1515000</v>
      </c>
    </row>
    <row r="2678" spans="1:6" x14ac:dyDescent="0.2">
      <c r="A2678" s="91">
        <v>45681</v>
      </c>
      <c r="B2678" s="43">
        <v>15336312</v>
      </c>
      <c r="C2678" s="20" t="s">
        <v>84</v>
      </c>
      <c r="D2678" s="18">
        <v>169200</v>
      </c>
      <c r="E2678" s="19"/>
      <c r="F2678" s="15">
        <f t="shared" si="41"/>
        <v>-169200</v>
      </c>
    </row>
    <row r="2679" spans="1:6" x14ac:dyDescent="0.2">
      <c r="A2679" s="91">
        <v>45681</v>
      </c>
      <c r="B2679" s="43">
        <v>15336313</v>
      </c>
      <c r="C2679" s="20" t="s">
        <v>84</v>
      </c>
      <c r="D2679" s="18">
        <v>1740000</v>
      </c>
      <c r="E2679" s="19"/>
      <c r="F2679" s="15">
        <f t="shared" si="41"/>
        <v>-1740000</v>
      </c>
    </row>
    <row r="2680" spans="1:6" x14ac:dyDescent="0.2">
      <c r="A2680" s="91">
        <v>45681</v>
      </c>
      <c r="B2680" s="43">
        <v>15336314</v>
      </c>
      <c r="C2680" s="20" t="s">
        <v>84</v>
      </c>
      <c r="D2680" s="18">
        <v>900000</v>
      </c>
      <c r="E2680" s="19"/>
      <c r="F2680" s="15">
        <f t="shared" si="41"/>
        <v>-900000</v>
      </c>
    </row>
    <row r="2681" spans="1:6" x14ac:dyDescent="0.2">
      <c r="A2681" s="91">
        <v>45681</v>
      </c>
      <c r="B2681" s="43">
        <v>15336315</v>
      </c>
      <c r="C2681" s="20" t="s">
        <v>84</v>
      </c>
      <c r="D2681" s="18">
        <v>2685000</v>
      </c>
      <c r="E2681" s="19"/>
      <c r="F2681" s="15">
        <f t="shared" si="41"/>
        <v>-2685000</v>
      </c>
    </row>
    <row r="2682" spans="1:6" x14ac:dyDescent="0.2">
      <c r="A2682" s="91">
        <v>45681</v>
      </c>
      <c r="B2682" s="43">
        <v>15336316</v>
      </c>
      <c r="C2682" s="20" t="s">
        <v>84</v>
      </c>
      <c r="D2682" s="18">
        <v>1357890</v>
      </c>
      <c r="E2682" s="19"/>
      <c r="F2682" s="15">
        <f t="shared" si="41"/>
        <v>-1357890</v>
      </c>
    </row>
    <row r="2683" spans="1:6" x14ac:dyDescent="0.2">
      <c r="A2683" s="91">
        <v>45681</v>
      </c>
      <c r="B2683" s="43">
        <v>15336317</v>
      </c>
      <c r="C2683" s="20" t="s">
        <v>84</v>
      </c>
      <c r="D2683" s="18">
        <v>462000</v>
      </c>
      <c r="E2683" s="19"/>
      <c r="F2683" s="15">
        <f t="shared" si="41"/>
        <v>-462000</v>
      </c>
    </row>
    <row r="2684" spans="1:6" x14ac:dyDescent="0.2">
      <c r="A2684" s="91">
        <v>45681</v>
      </c>
      <c r="B2684" s="43">
        <v>15336318</v>
      </c>
      <c r="C2684" s="20" t="s">
        <v>84</v>
      </c>
      <c r="D2684" s="18">
        <v>2360000</v>
      </c>
      <c r="E2684" s="19"/>
      <c r="F2684" s="15">
        <f t="shared" si="41"/>
        <v>-2360000</v>
      </c>
    </row>
    <row r="2685" spans="1:6" x14ac:dyDescent="0.2">
      <c r="A2685" s="91">
        <v>45681</v>
      </c>
      <c r="B2685" s="43">
        <v>15336319</v>
      </c>
      <c r="C2685" s="20" t="s">
        <v>84</v>
      </c>
      <c r="D2685" s="18">
        <v>1980000</v>
      </c>
      <c r="E2685" s="19"/>
      <c r="F2685" s="15">
        <f t="shared" si="41"/>
        <v>-1980000</v>
      </c>
    </row>
    <row r="2686" spans="1:6" x14ac:dyDescent="0.2">
      <c r="A2686" s="91">
        <v>45681</v>
      </c>
      <c r="B2686" s="43">
        <v>15336320</v>
      </c>
      <c r="C2686" s="20" t="s">
        <v>84</v>
      </c>
      <c r="D2686" s="18">
        <v>2403500</v>
      </c>
      <c r="E2686" s="19"/>
      <c r="F2686" s="15">
        <f t="shared" si="41"/>
        <v>-2403500</v>
      </c>
    </row>
    <row r="2687" spans="1:6" x14ac:dyDescent="0.2">
      <c r="A2687" s="91">
        <v>45681</v>
      </c>
      <c r="B2687" s="43">
        <v>15336321</v>
      </c>
      <c r="C2687" s="20" t="s">
        <v>84</v>
      </c>
      <c r="D2687" s="18">
        <v>1388000</v>
      </c>
      <c r="E2687" s="19"/>
      <c r="F2687" s="15">
        <f t="shared" si="41"/>
        <v>-1388000</v>
      </c>
    </row>
    <row r="2688" spans="1:6" x14ac:dyDescent="0.2">
      <c r="A2688" s="91">
        <v>45681</v>
      </c>
      <c r="B2688" s="43">
        <v>15336322</v>
      </c>
      <c r="C2688" s="20" t="s">
        <v>84</v>
      </c>
      <c r="D2688" s="18">
        <v>800000</v>
      </c>
      <c r="E2688" s="19"/>
      <c r="F2688" s="15">
        <f t="shared" si="41"/>
        <v>-800000</v>
      </c>
    </row>
    <row r="2689" spans="1:6" x14ac:dyDescent="0.2">
      <c r="A2689" s="91">
        <v>45681</v>
      </c>
      <c r="B2689" s="43">
        <v>15336323</v>
      </c>
      <c r="C2689" s="20" t="s">
        <v>84</v>
      </c>
      <c r="D2689" s="18">
        <v>937858</v>
      </c>
      <c r="E2689" s="19"/>
      <c r="F2689" s="15">
        <f t="shared" si="41"/>
        <v>-937858</v>
      </c>
    </row>
    <row r="2690" spans="1:6" x14ac:dyDescent="0.2">
      <c r="A2690" s="91">
        <v>45681</v>
      </c>
      <c r="B2690" s="43">
        <v>15336324</v>
      </c>
      <c r="C2690" s="20" t="s">
        <v>84</v>
      </c>
      <c r="D2690" s="18">
        <v>120000</v>
      </c>
      <c r="E2690" s="19"/>
      <c r="F2690" s="15">
        <f t="shared" si="41"/>
        <v>-120000</v>
      </c>
    </row>
    <row r="2691" spans="1:6" x14ac:dyDescent="0.2">
      <c r="A2691" s="91">
        <v>45681</v>
      </c>
      <c r="B2691" s="43">
        <v>15336325</v>
      </c>
      <c r="C2691" s="20" t="s">
        <v>84</v>
      </c>
      <c r="D2691" s="18">
        <v>358150</v>
      </c>
      <c r="E2691" s="19"/>
      <c r="F2691" s="15">
        <f t="shared" ref="F2691:F2754" si="42">+E2691-D2691</f>
        <v>-358150</v>
      </c>
    </row>
    <row r="2692" spans="1:6" x14ac:dyDescent="0.2">
      <c r="A2692" s="91">
        <v>45681</v>
      </c>
      <c r="B2692" s="43">
        <v>15336326</v>
      </c>
      <c r="C2692" s="20" t="s">
        <v>84</v>
      </c>
      <c r="D2692" s="18">
        <v>1517100</v>
      </c>
      <c r="E2692" s="19"/>
      <c r="F2692" s="15">
        <f t="shared" si="42"/>
        <v>-1517100</v>
      </c>
    </row>
    <row r="2693" spans="1:6" x14ac:dyDescent="0.2">
      <c r="A2693" s="91">
        <v>45681</v>
      </c>
      <c r="B2693" s="43">
        <v>15336327</v>
      </c>
      <c r="C2693" s="20" t="s">
        <v>84</v>
      </c>
      <c r="D2693" s="18">
        <v>300000</v>
      </c>
      <c r="E2693" s="19"/>
      <c r="F2693" s="15">
        <f t="shared" si="42"/>
        <v>-300000</v>
      </c>
    </row>
    <row r="2694" spans="1:6" x14ac:dyDescent="0.2">
      <c r="A2694" s="91">
        <v>45681</v>
      </c>
      <c r="B2694" s="46">
        <v>15336328</v>
      </c>
      <c r="C2694" s="9" t="s">
        <v>84</v>
      </c>
      <c r="D2694" s="48">
        <v>1355200</v>
      </c>
      <c r="E2694" s="49"/>
      <c r="F2694" s="15">
        <f t="shared" si="42"/>
        <v>-1355200</v>
      </c>
    </row>
    <row r="2695" spans="1:6" x14ac:dyDescent="0.2">
      <c r="A2695" s="91">
        <v>45681</v>
      </c>
      <c r="B2695" s="44">
        <v>15336329</v>
      </c>
      <c r="C2695" s="28" t="s">
        <v>84</v>
      </c>
      <c r="D2695" s="23">
        <v>969000</v>
      </c>
      <c r="E2695" s="24"/>
      <c r="F2695" s="15">
        <f t="shared" si="42"/>
        <v>-969000</v>
      </c>
    </row>
    <row r="2696" spans="1:6" x14ac:dyDescent="0.2">
      <c r="A2696" s="91">
        <v>45681</v>
      </c>
      <c r="B2696" s="43">
        <v>15336330</v>
      </c>
      <c r="C2696" s="20" t="s">
        <v>84</v>
      </c>
      <c r="D2696" s="18">
        <v>79800</v>
      </c>
      <c r="E2696" s="19"/>
      <c r="F2696" s="15">
        <f t="shared" si="42"/>
        <v>-79800</v>
      </c>
    </row>
    <row r="2697" spans="1:6" x14ac:dyDescent="0.2">
      <c r="A2697" s="91">
        <v>45681</v>
      </c>
      <c r="B2697" s="43">
        <v>15336331</v>
      </c>
      <c r="C2697" s="20" t="s">
        <v>84</v>
      </c>
      <c r="D2697" s="18">
        <v>242000</v>
      </c>
      <c r="E2697" s="19"/>
      <c r="F2697" s="15">
        <f t="shared" si="42"/>
        <v>-242000</v>
      </c>
    </row>
    <row r="2698" spans="1:6" x14ac:dyDescent="0.2">
      <c r="A2698" s="91">
        <v>45681</v>
      </c>
      <c r="B2698" s="43">
        <v>15336332</v>
      </c>
      <c r="C2698" s="20" t="s">
        <v>84</v>
      </c>
      <c r="D2698" s="18">
        <v>747840</v>
      </c>
      <c r="E2698" s="19"/>
      <c r="F2698" s="15">
        <f t="shared" si="42"/>
        <v>-747840</v>
      </c>
    </row>
    <row r="2699" spans="1:6" x14ac:dyDescent="0.2">
      <c r="A2699" s="91">
        <v>45681</v>
      </c>
      <c r="B2699" s="43">
        <v>15336333</v>
      </c>
      <c r="C2699" s="20" t="s">
        <v>84</v>
      </c>
      <c r="D2699" s="18">
        <v>444000</v>
      </c>
      <c r="E2699" s="19"/>
      <c r="F2699" s="15">
        <f t="shared" si="42"/>
        <v>-444000</v>
      </c>
    </row>
    <row r="2700" spans="1:6" x14ac:dyDescent="0.2">
      <c r="A2700" s="91">
        <v>45681</v>
      </c>
      <c r="B2700" s="43">
        <v>15336334</v>
      </c>
      <c r="C2700" s="20" t="s">
        <v>84</v>
      </c>
      <c r="D2700" s="18">
        <v>718200</v>
      </c>
      <c r="E2700" s="19"/>
      <c r="F2700" s="15">
        <f t="shared" si="42"/>
        <v>-718200</v>
      </c>
    </row>
    <row r="2701" spans="1:6" x14ac:dyDescent="0.2">
      <c r="A2701" s="91">
        <v>45681</v>
      </c>
      <c r="B2701" s="43">
        <v>15336335</v>
      </c>
      <c r="C2701" s="20" t="s">
        <v>84</v>
      </c>
      <c r="D2701" s="18">
        <v>180000</v>
      </c>
      <c r="E2701" s="19"/>
      <c r="F2701" s="15">
        <f t="shared" si="42"/>
        <v>-180000</v>
      </c>
    </row>
    <row r="2702" spans="1:6" x14ac:dyDescent="0.2">
      <c r="A2702" s="91">
        <v>45681</v>
      </c>
      <c r="B2702" s="43">
        <v>15336336</v>
      </c>
      <c r="C2702" s="20" t="s">
        <v>84</v>
      </c>
      <c r="D2702" s="18">
        <v>1100000</v>
      </c>
      <c r="E2702" s="19"/>
      <c r="F2702" s="15">
        <f t="shared" si="42"/>
        <v>-1100000</v>
      </c>
    </row>
    <row r="2703" spans="1:6" x14ac:dyDescent="0.2">
      <c r="A2703" s="91">
        <v>45681</v>
      </c>
      <c r="B2703" s="43">
        <v>15336337</v>
      </c>
      <c r="C2703" s="20" t="s">
        <v>84</v>
      </c>
      <c r="D2703" s="18">
        <v>1003675</v>
      </c>
      <c r="E2703" s="19"/>
      <c r="F2703" s="15">
        <f t="shared" si="42"/>
        <v>-1003675</v>
      </c>
    </row>
    <row r="2704" spans="1:6" x14ac:dyDescent="0.2">
      <c r="A2704" s="91">
        <v>45681</v>
      </c>
      <c r="B2704" s="43">
        <v>15336338</v>
      </c>
      <c r="C2704" s="20" t="s">
        <v>84</v>
      </c>
      <c r="D2704" s="18">
        <v>374500</v>
      </c>
      <c r="E2704" s="19"/>
      <c r="F2704" s="15">
        <f t="shared" si="42"/>
        <v>-374500</v>
      </c>
    </row>
    <row r="2705" spans="1:8" x14ac:dyDescent="0.2">
      <c r="A2705" s="91">
        <v>45681</v>
      </c>
      <c r="B2705" s="43">
        <v>15336339</v>
      </c>
      <c r="C2705" s="20" t="s">
        <v>84</v>
      </c>
      <c r="D2705" s="18">
        <v>355200</v>
      </c>
      <c r="E2705" s="19"/>
      <c r="F2705" s="15">
        <f t="shared" si="42"/>
        <v>-355200</v>
      </c>
    </row>
    <row r="2706" spans="1:8" x14ac:dyDescent="0.2">
      <c r="A2706" s="91">
        <v>45681</v>
      </c>
      <c r="B2706" s="43">
        <v>15336340</v>
      </c>
      <c r="C2706" s="20" t="s">
        <v>84</v>
      </c>
      <c r="D2706" s="18">
        <v>336000</v>
      </c>
      <c r="E2706" s="19"/>
      <c r="F2706" s="15">
        <f t="shared" si="42"/>
        <v>-336000</v>
      </c>
    </row>
    <row r="2707" spans="1:8" x14ac:dyDescent="0.2">
      <c r="A2707" s="91">
        <v>45681</v>
      </c>
      <c r="B2707" s="43">
        <v>15336341</v>
      </c>
      <c r="C2707" s="20" t="s">
        <v>84</v>
      </c>
      <c r="D2707" s="18">
        <v>665000</v>
      </c>
      <c r="E2707" s="19"/>
      <c r="F2707" s="15">
        <f t="shared" si="42"/>
        <v>-665000</v>
      </c>
    </row>
    <row r="2708" spans="1:8" x14ac:dyDescent="0.2">
      <c r="A2708" s="91">
        <v>45681</v>
      </c>
      <c r="B2708" s="43">
        <v>15336342</v>
      </c>
      <c r="C2708" s="20" t="s">
        <v>84</v>
      </c>
      <c r="D2708" s="18">
        <v>627200</v>
      </c>
      <c r="E2708" s="19"/>
      <c r="F2708" s="15">
        <f t="shared" si="42"/>
        <v>-627200</v>
      </c>
    </row>
    <row r="2709" spans="1:8" x14ac:dyDescent="0.2">
      <c r="A2709" s="91">
        <v>45681</v>
      </c>
      <c r="B2709" s="43">
        <v>15336343</v>
      </c>
      <c r="C2709" s="20" t="s">
        <v>84</v>
      </c>
      <c r="D2709" s="18">
        <v>350000</v>
      </c>
      <c r="E2709" s="19"/>
      <c r="F2709" s="15">
        <f t="shared" si="42"/>
        <v>-350000</v>
      </c>
    </row>
    <row r="2710" spans="1:8" x14ac:dyDescent="0.2">
      <c r="A2710" s="91">
        <v>45617</v>
      </c>
      <c r="B2710" s="43">
        <v>3006570</v>
      </c>
      <c r="C2710" s="20" t="s">
        <v>179</v>
      </c>
      <c r="D2710" s="19"/>
      <c r="E2710" s="18">
        <v>24825</v>
      </c>
      <c r="F2710" s="15">
        <f t="shared" si="42"/>
        <v>24825</v>
      </c>
    </row>
    <row r="2711" spans="1:8" x14ac:dyDescent="0.2">
      <c r="A2711" s="91">
        <v>45582</v>
      </c>
      <c r="B2711" s="43">
        <v>3233092</v>
      </c>
      <c r="C2711" s="20" t="s">
        <v>119</v>
      </c>
      <c r="D2711" s="19"/>
      <c r="E2711" s="18">
        <v>9810</v>
      </c>
      <c r="F2711" s="15">
        <f t="shared" si="42"/>
        <v>9810</v>
      </c>
    </row>
    <row r="2712" spans="1:8" x14ac:dyDescent="0.2">
      <c r="A2712" s="91">
        <v>45792</v>
      </c>
      <c r="B2712" s="43">
        <v>3263311</v>
      </c>
      <c r="C2712" s="20" t="s">
        <v>442</v>
      </c>
      <c r="D2712" s="19"/>
      <c r="E2712" s="18">
        <v>15269</v>
      </c>
      <c r="F2712" s="15">
        <f t="shared" si="42"/>
        <v>15269</v>
      </c>
    </row>
    <row r="2713" spans="1:8" x14ac:dyDescent="0.2">
      <c r="A2713" s="91">
        <v>45677</v>
      </c>
      <c r="B2713" s="43">
        <v>3323928</v>
      </c>
      <c r="C2713" s="20" t="s">
        <v>264</v>
      </c>
      <c r="D2713" s="19"/>
      <c r="E2713" s="18">
        <v>12500</v>
      </c>
      <c r="F2713" s="15">
        <f t="shared" si="42"/>
        <v>12500</v>
      </c>
    </row>
    <row r="2714" spans="1:8" x14ac:dyDescent="0.2">
      <c r="A2714" s="91">
        <v>45589</v>
      </c>
      <c r="B2714" s="43">
        <v>216415</v>
      </c>
      <c r="C2714" s="20" t="s">
        <v>128</v>
      </c>
      <c r="D2714" s="19"/>
      <c r="E2714" s="18">
        <v>36809.78</v>
      </c>
      <c r="F2714" s="15">
        <f t="shared" si="42"/>
        <v>36809.78</v>
      </c>
    </row>
    <row r="2715" spans="1:8" x14ac:dyDescent="0.2">
      <c r="A2715" s="91">
        <v>45834</v>
      </c>
      <c r="B2715" s="43">
        <v>220486</v>
      </c>
      <c r="C2715" s="20" t="s">
        <v>505</v>
      </c>
      <c r="D2715" s="19"/>
      <c r="E2715" s="18">
        <v>15123.24</v>
      </c>
      <c r="F2715" s="15">
        <f t="shared" si="42"/>
        <v>15123.24</v>
      </c>
    </row>
    <row r="2716" spans="1:8" x14ac:dyDescent="0.2">
      <c r="A2716" s="91">
        <v>45684</v>
      </c>
      <c r="B2716" s="43">
        <v>225401</v>
      </c>
      <c r="C2716" s="20" t="s">
        <v>275</v>
      </c>
      <c r="D2716" s="19"/>
      <c r="E2716" s="18">
        <v>15444</v>
      </c>
      <c r="F2716" s="15">
        <f t="shared" si="42"/>
        <v>15444</v>
      </c>
    </row>
    <row r="2717" spans="1:8" x14ac:dyDescent="0.2">
      <c r="A2717" s="91">
        <v>45714</v>
      </c>
      <c r="B2717" s="46">
        <v>227856</v>
      </c>
      <c r="C2717" s="9" t="s">
        <v>322</v>
      </c>
      <c r="D2717" s="62"/>
      <c r="E2717" s="63">
        <v>14666.99</v>
      </c>
      <c r="F2717" s="15">
        <f t="shared" si="42"/>
        <v>14666.99</v>
      </c>
    </row>
    <row r="2718" spans="1:8" x14ac:dyDescent="0.2">
      <c r="A2718" s="91">
        <v>45652</v>
      </c>
      <c r="B2718" s="44">
        <v>306222</v>
      </c>
      <c r="C2718" s="28" t="s">
        <v>224</v>
      </c>
      <c r="D2718" s="30"/>
      <c r="E2718" s="31">
        <v>9207</v>
      </c>
      <c r="F2718" s="15">
        <f t="shared" si="42"/>
        <v>9207</v>
      </c>
    </row>
    <row r="2719" spans="1:8" x14ac:dyDescent="0.2">
      <c r="A2719" s="91">
        <v>45618</v>
      </c>
      <c r="B2719" s="43">
        <v>3120694</v>
      </c>
      <c r="C2719" s="20" t="s">
        <v>182</v>
      </c>
      <c r="D2719" s="19"/>
      <c r="E2719" s="18">
        <v>42068</v>
      </c>
      <c r="F2719" s="15">
        <f t="shared" si="42"/>
        <v>42068</v>
      </c>
    </row>
    <row r="2720" spans="1:8" x14ac:dyDescent="0.2">
      <c r="A2720" s="91">
        <v>45559</v>
      </c>
      <c r="B2720" s="16">
        <v>5470664</v>
      </c>
      <c r="C2720" s="20" t="s">
        <v>81</v>
      </c>
      <c r="D2720" s="19"/>
      <c r="E2720" s="18">
        <v>53199.49</v>
      </c>
      <c r="F2720" s="15">
        <f t="shared" si="42"/>
        <v>53199.49</v>
      </c>
      <c r="H2720" s="10"/>
    </row>
    <row r="2721" spans="1:8" x14ac:dyDescent="0.2">
      <c r="A2721" s="91">
        <v>45869</v>
      </c>
      <c r="B2721" s="43">
        <v>6069570</v>
      </c>
      <c r="C2721" s="20" t="s">
        <v>562</v>
      </c>
      <c r="D2721" s="19"/>
      <c r="E2721" s="18">
        <v>473238.61</v>
      </c>
      <c r="F2721" s="15">
        <f t="shared" si="42"/>
        <v>473238.61</v>
      </c>
    </row>
    <row r="2722" spans="1:8" x14ac:dyDescent="0.2">
      <c r="A2722" s="91">
        <v>45776</v>
      </c>
      <c r="B2722" s="43">
        <v>7226880</v>
      </c>
      <c r="C2722" s="20" t="s">
        <v>415</v>
      </c>
      <c r="D2722" s="19"/>
      <c r="E2722" s="18">
        <v>498965.2</v>
      </c>
      <c r="F2722" s="15">
        <f t="shared" si="42"/>
        <v>498965.2</v>
      </c>
    </row>
    <row r="2723" spans="1:8" x14ac:dyDescent="0.2">
      <c r="A2723" s="91">
        <v>45895</v>
      </c>
      <c r="B2723" s="43">
        <v>9998618</v>
      </c>
      <c r="C2723" s="20" t="s">
        <v>591</v>
      </c>
      <c r="D2723" s="19"/>
      <c r="E2723" s="18">
        <v>929973.24</v>
      </c>
      <c r="F2723" s="15">
        <f t="shared" si="42"/>
        <v>929973.24</v>
      </c>
    </row>
    <row r="2724" spans="1:8" x14ac:dyDescent="0.2">
      <c r="A2724" s="91">
        <v>45631</v>
      </c>
      <c r="B2724" s="43">
        <v>6365593</v>
      </c>
      <c r="C2724" s="20" t="s">
        <v>204</v>
      </c>
      <c r="D2724" s="19"/>
      <c r="E2724" s="18">
        <v>17045</v>
      </c>
      <c r="F2724" s="15">
        <f t="shared" si="42"/>
        <v>17045</v>
      </c>
    </row>
    <row r="2725" spans="1:8" x14ac:dyDescent="0.2">
      <c r="A2725" s="91">
        <v>45538</v>
      </c>
      <c r="B2725" s="16">
        <v>7294909</v>
      </c>
      <c r="C2725" s="20" t="s">
        <v>18</v>
      </c>
      <c r="D2725" s="19"/>
      <c r="E2725" s="18">
        <v>4812.8599999999997</v>
      </c>
      <c r="F2725" s="15">
        <f t="shared" si="42"/>
        <v>4812.8599999999997</v>
      </c>
      <c r="H2725" s="10"/>
    </row>
    <row r="2726" spans="1:8" x14ac:dyDescent="0.2">
      <c r="A2726" s="91">
        <v>45722</v>
      </c>
      <c r="B2726" s="43">
        <v>9553441</v>
      </c>
      <c r="C2726" s="20" t="s">
        <v>334</v>
      </c>
      <c r="D2726" s="19"/>
      <c r="E2726" s="18">
        <v>23570</v>
      </c>
      <c r="F2726" s="15">
        <f t="shared" si="42"/>
        <v>23570</v>
      </c>
    </row>
    <row r="2727" spans="1:8" x14ac:dyDescent="0.2">
      <c r="A2727" s="91">
        <v>45691</v>
      </c>
      <c r="B2727" s="43">
        <v>5169797</v>
      </c>
      <c r="C2727" s="20" t="s">
        <v>283</v>
      </c>
      <c r="D2727" s="19"/>
      <c r="E2727" s="18">
        <v>23570</v>
      </c>
      <c r="F2727" s="15">
        <f t="shared" si="42"/>
        <v>23570</v>
      </c>
    </row>
    <row r="2728" spans="1:8" x14ac:dyDescent="0.2">
      <c r="A2728" s="91">
        <v>45603</v>
      </c>
      <c r="B2728" s="43">
        <v>7072260</v>
      </c>
      <c r="C2728" s="20" t="s">
        <v>149</v>
      </c>
      <c r="D2728" s="19"/>
      <c r="E2728" s="18">
        <v>11432.86</v>
      </c>
      <c r="F2728" s="15">
        <f t="shared" si="42"/>
        <v>11432.86</v>
      </c>
    </row>
    <row r="2729" spans="1:8" x14ac:dyDescent="0.2">
      <c r="A2729" s="91">
        <v>45834</v>
      </c>
      <c r="B2729" s="43">
        <v>5851964</v>
      </c>
      <c r="C2729" s="20" t="s">
        <v>506</v>
      </c>
      <c r="D2729" s="19"/>
      <c r="E2729" s="18">
        <v>504634.02</v>
      </c>
      <c r="F2729" s="15">
        <f t="shared" si="42"/>
        <v>504634.02</v>
      </c>
    </row>
    <row r="2730" spans="1:8" x14ac:dyDescent="0.2">
      <c r="A2730" s="91">
        <v>45700</v>
      </c>
      <c r="B2730" s="43">
        <v>6854071</v>
      </c>
      <c r="C2730" s="20" t="s">
        <v>299</v>
      </c>
      <c r="D2730" s="19"/>
      <c r="E2730" s="18">
        <v>54515.7</v>
      </c>
      <c r="F2730" s="15">
        <f t="shared" si="42"/>
        <v>54515.7</v>
      </c>
    </row>
    <row r="2731" spans="1:8" x14ac:dyDescent="0.2">
      <c r="A2731" s="91">
        <v>45673</v>
      </c>
      <c r="B2731" s="43">
        <v>8028969</v>
      </c>
      <c r="C2731" s="20" t="s">
        <v>253</v>
      </c>
      <c r="D2731" s="19"/>
      <c r="E2731" s="18">
        <v>247242.84</v>
      </c>
      <c r="F2731" s="15">
        <f t="shared" si="42"/>
        <v>247242.84</v>
      </c>
    </row>
    <row r="2732" spans="1:8" x14ac:dyDescent="0.2">
      <c r="A2732" s="91">
        <v>45582</v>
      </c>
      <c r="B2732" s="43">
        <v>9026910</v>
      </c>
      <c r="C2732" s="20" t="s">
        <v>118</v>
      </c>
      <c r="D2732" s="25"/>
      <c r="E2732" s="25">
        <v>1114141.32</v>
      </c>
      <c r="F2732" s="15">
        <f t="shared" si="42"/>
        <v>1114141.32</v>
      </c>
    </row>
    <row r="2733" spans="1:8" x14ac:dyDescent="0.2">
      <c r="A2733" s="91">
        <v>45685</v>
      </c>
      <c r="B2733" s="43">
        <v>9399254</v>
      </c>
      <c r="C2733" s="20" t="s">
        <v>278</v>
      </c>
      <c r="D2733" s="19"/>
      <c r="E2733" s="18">
        <v>482890.17</v>
      </c>
      <c r="F2733" s="15">
        <f t="shared" si="42"/>
        <v>482890.17</v>
      </c>
    </row>
    <row r="2734" spans="1:8" x14ac:dyDescent="0.2">
      <c r="A2734" s="91">
        <v>45638</v>
      </c>
      <c r="B2734" s="43">
        <v>7546314</v>
      </c>
      <c r="C2734" s="20" t="s">
        <v>209</v>
      </c>
      <c r="D2734" s="19"/>
      <c r="E2734" s="18">
        <v>192529.78</v>
      </c>
      <c r="F2734" s="15">
        <f t="shared" si="42"/>
        <v>192529.78</v>
      </c>
    </row>
    <row r="2735" spans="1:8" x14ac:dyDescent="0.2">
      <c r="A2735" s="91">
        <v>45572</v>
      </c>
      <c r="B2735" s="43">
        <v>7567764</v>
      </c>
      <c r="C2735" s="20" t="s">
        <v>105</v>
      </c>
      <c r="D2735" s="19"/>
      <c r="E2735" s="18">
        <v>72022.16</v>
      </c>
      <c r="F2735" s="15">
        <f t="shared" si="42"/>
        <v>72022.16</v>
      </c>
    </row>
    <row r="2736" spans="1:8" x14ac:dyDescent="0.2">
      <c r="A2736" s="91">
        <v>45817</v>
      </c>
      <c r="B2736" s="43">
        <v>8350769</v>
      </c>
      <c r="C2736" s="20" t="s">
        <v>482</v>
      </c>
      <c r="D2736" s="19"/>
      <c r="E2736" s="18">
        <v>27532.48</v>
      </c>
      <c r="F2736" s="15">
        <f t="shared" si="42"/>
        <v>27532.48</v>
      </c>
    </row>
    <row r="2737" spans="1:8" x14ac:dyDescent="0.2">
      <c r="A2737" s="91">
        <v>45785</v>
      </c>
      <c r="B2737" s="43">
        <v>8638359</v>
      </c>
      <c r="C2737" s="20" t="s">
        <v>428</v>
      </c>
      <c r="D2737" s="19"/>
      <c r="E2737" s="18">
        <v>30259.98</v>
      </c>
      <c r="F2737" s="15">
        <f t="shared" si="42"/>
        <v>30259.98</v>
      </c>
    </row>
    <row r="2738" spans="1:8" x14ac:dyDescent="0.2">
      <c r="A2738" s="91">
        <v>45832</v>
      </c>
      <c r="B2738" s="43">
        <v>5460879</v>
      </c>
      <c r="C2738" s="20" t="s">
        <v>497</v>
      </c>
      <c r="D2738" s="19"/>
      <c r="E2738" s="18">
        <v>59329.16</v>
      </c>
      <c r="F2738" s="15">
        <f t="shared" si="42"/>
        <v>59329.16</v>
      </c>
    </row>
    <row r="2739" spans="1:8" x14ac:dyDescent="0.2">
      <c r="A2739" s="91">
        <v>45770</v>
      </c>
      <c r="B2739" s="43">
        <v>6497750</v>
      </c>
      <c r="C2739" s="20" t="s">
        <v>403</v>
      </c>
      <c r="D2739" s="19"/>
      <c r="E2739" s="18">
        <v>10706</v>
      </c>
      <c r="F2739" s="15">
        <f t="shared" si="42"/>
        <v>10706</v>
      </c>
    </row>
    <row r="2740" spans="1:8" x14ac:dyDescent="0.2">
      <c r="A2740" s="91">
        <v>45736</v>
      </c>
      <c r="B2740" s="46">
        <v>6999610</v>
      </c>
      <c r="C2740" s="9" t="s">
        <v>359</v>
      </c>
      <c r="D2740" s="62"/>
      <c r="E2740" s="63">
        <v>23109</v>
      </c>
      <c r="F2740" s="15">
        <f t="shared" si="42"/>
        <v>23109</v>
      </c>
    </row>
    <row r="2741" spans="1:8" x14ac:dyDescent="0.2">
      <c r="A2741" s="91">
        <v>45573</v>
      </c>
      <c r="B2741" s="44">
        <v>7817774</v>
      </c>
      <c r="C2741" s="28" t="s">
        <v>109</v>
      </c>
      <c r="D2741" s="30"/>
      <c r="E2741" s="31">
        <v>17565</v>
      </c>
      <c r="F2741" s="15">
        <f t="shared" si="42"/>
        <v>17565</v>
      </c>
    </row>
    <row r="2742" spans="1:8" x14ac:dyDescent="0.2">
      <c r="A2742" s="91">
        <v>45881</v>
      </c>
      <c r="B2742" s="43">
        <v>8023841</v>
      </c>
      <c r="C2742" s="20" t="s">
        <v>574</v>
      </c>
      <c r="D2742" s="19"/>
      <c r="E2742" s="18">
        <v>62918.28</v>
      </c>
      <c r="F2742" s="15">
        <f t="shared" si="42"/>
        <v>62918.28</v>
      </c>
    </row>
    <row r="2743" spans="1:8" x14ac:dyDescent="0.2">
      <c r="A2743" s="91">
        <v>45674</v>
      </c>
      <c r="B2743" s="43">
        <v>8228100</v>
      </c>
      <c r="C2743" s="20" t="s">
        <v>256</v>
      </c>
      <c r="D2743" s="19"/>
      <c r="E2743" s="18">
        <v>60012</v>
      </c>
      <c r="F2743" s="15">
        <f t="shared" si="42"/>
        <v>60012</v>
      </c>
    </row>
    <row r="2744" spans="1:8" x14ac:dyDescent="0.2">
      <c r="A2744" s="91">
        <v>45610</v>
      </c>
      <c r="B2744" s="43">
        <v>8248418</v>
      </c>
      <c r="C2744" s="20" t="s">
        <v>159</v>
      </c>
      <c r="D2744" s="19"/>
      <c r="E2744" s="18">
        <v>275919.8</v>
      </c>
      <c r="F2744" s="15">
        <f t="shared" si="42"/>
        <v>275919.8</v>
      </c>
    </row>
    <row r="2745" spans="1:8" x14ac:dyDescent="0.2">
      <c r="A2745" s="91">
        <v>45643</v>
      </c>
      <c r="B2745" s="43">
        <v>8286745</v>
      </c>
      <c r="C2745" s="20" t="s">
        <v>214</v>
      </c>
      <c r="D2745" s="19"/>
      <c r="E2745" s="18">
        <v>31088.28</v>
      </c>
      <c r="F2745" s="15">
        <f t="shared" si="42"/>
        <v>31088.28</v>
      </c>
    </row>
    <row r="2746" spans="1:8" x14ac:dyDescent="0.2">
      <c r="A2746" s="91">
        <v>45713</v>
      </c>
      <c r="B2746" s="43">
        <v>8440271</v>
      </c>
      <c r="C2746" s="20" t="s">
        <v>320</v>
      </c>
      <c r="D2746" s="19"/>
      <c r="E2746" s="18">
        <v>77121</v>
      </c>
      <c r="F2746" s="15">
        <f t="shared" si="42"/>
        <v>77121</v>
      </c>
    </row>
    <row r="2747" spans="1:8" x14ac:dyDescent="0.2">
      <c r="A2747" s="91">
        <v>45547</v>
      </c>
      <c r="B2747" s="16">
        <v>8952487</v>
      </c>
      <c r="C2747" s="20" t="s">
        <v>40</v>
      </c>
      <c r="D2747" s="19"/>
      <c r="E2747" s="18">
        <v>75752.7</v>
      </c>
      <c r="F2747" s="15">
        <f t="shared" si="42"/>
        <v>75752.7</v>
      </c>
      <c r="H2747" s="10"/>
    </row>
    <row r="2748" spans="1:8" x14ac:dyDescent="0.2">
      <c r="A2748" s="91">
        <v>45854</v>
      </c>
      <c r="B2748" s="43">
        <v>9132660</v>
      </c>
      <c r="C2748" s="20" t="s">
        <v>538</v>
      </c>
      <c r="D2748" s="19"/>
      <c r="E2748" s="18">
        <v>653415.74</v>
      </c>
      <c r="F2748" s="15">
        <f t="shared" si="42"/>
        <v>653415.74</v>
      </c>
    </row>
    <row r="2749" spans="1:8" x14ac:dyDescent="0.2">
      <c r="A2749" s="91">
        <v>45791</v>
      </c>
      <c r="B2749" s="43">
        <v>9588404</v>
      </c>
      <c r="C2749" s="20" t="s">
        <v>439</v>
      </c>
      <c r="D2749" s="19"/>
      <c r="E2749" s="18">
        <v>45658.2</v>
      </c>
      <c r="F2749" s="15">
        <f t="shared" si="42"/>
        <v>45658.2</v>
      </c>
    </row>
    <row r="2750" spans="1:8" x14ac:dyDescent="0.2">
      <c r="A2750" s="91">
        <v>45758</v>
      </c>
      <c r="B2750" s="43">
        <v>5103794</v>
      </c>
      <c r="C2750" s="20" t="s">
        <v>389</v>
      </c>
      <c r="D2750" s="19"/>
      <c r="E2750" s="18">
        <v>18100</v>
      </c>
      <c r="F2750" s="15">
        <f t="shared" si="42"/>
        <v>18100</v>
      </c>
    </row>
    <row r="2751" spans="1:8" x14ac:dyDescent="0.2">
      <c r="A2751" s="91">
        <v>45897</v>
      </c>
      <c r="B2751" s="43">
        <v>5349925</v>
      </c>
      <c r="C2751" s="20" t="s">
        <v>594</v>
      </c>
      <c r="D2751" s="19"/>
      <c r="E2751" s="18">
        <v>24910.400000000001</v>
      </c>
      <c r="F2751" s="15">
        <f t="shared" si="42"/>
        <v>24910.400000000001</v>
      </c>
    </row>
    <row r="2752" spans="1:8" x14ac:dyDescent="0.2">
      <c r="A2752" s="91">
        <v>45733</v>
      </c>
      <c r="B2752" s="43">
        <v>6415211</v>
      </c>
      <c r="C2752" s="20" t="s">
        <v>353</v>
      </c>
      <c r="D2752" s="19"/>
      <c r="E2752" s="18">
        <v>37000</v>
      </c>
      <c r="F2752" s="15">
        <f t="shared" si="42"/>
        <v>37000</v>
      </c>
    </row>
    <row r="2753" spans="1:8" x14ac:dyDescent="0.2">
      <c r="A2753" s="91">
        <v>45642</v>
      </c>
      <c r="B2753" s="43">
        <v>8040743</v>
      </c>
      <c r="C2753" s="20" t="s">
        <v>213</v>
      </c>
      <c r="D2753" s="19"/>
      <c r="E2753" s="18">
        <v>21906.799999999999</v>
      </c>
      <c r="F2753" s="15">
        <f t="shared" si="42"/>
        <v>21906.799999999999</v>
      </c>
    </row>
    <row r="2754" spans="1:8" x14ac:dyDescent="0.2">
      <c r="A2754" s="91">
        <v>45610</v>
      </c>
      <c r="B2754" s="43">
        <v>8174024</v>
      </c>
      <c r="C2754" s="20" t="s">
        <v>157</v>
      </c>
      <c r="D2754" s="19"/>
      <c r="E2754" s="18">
        <v>8385</v>
      </c>
      <c r="F2754" s="15">
        <f t="shared" si="42"/>
        <v>8385</v>
      </c>
    </row>
    <row r="2755" spans="1:8" x14ac:dyDescent="0.2">
      <c r="A2755" s="91">
        <v>45610</v>
      </c>
      <c r="B2755" s="43">
        <v>8174529</v>
      </c>
      <c r="C2755" s="20" t="s">
        <v>158</v>
      </c>
      <c r="D2755" s="19"/>
      <c r="E2755" s="18">
        <v>27030.5</v>
      </c>
      <c r="F2755" s="15">
        <f t="shared" ref="F2755:F2818" si="43">+E2755-D2755</f>
        <v>27030.5</v>
      </c>
    </row>
    <row r="2756" spans="1:8" x14ac:dyDescent="0.2">
      <c r="A2756" s="91">
        <v>45853</v>
      </c>
      <c r="B2756" s="43">
        <v>8979054</v>
      </c>
      <c r="C2756" s="20" t="s">
        <v>534</v>
      </c>
      <c r="D2756" s="19"/>
      <c r="E2756" s="18">
        <v>25000</v>
      </c>
      <c r="F2756" s="15">
        <f t="shared" si="43"/>
        <v>25000</v>
      </c>
    </row>
    <row r="2757" spans="1:8" x14ac:dyDescent="0.2">
      <c r="A2757" s="91">
        <v>45854</v>
      </c>
      <c r="B2757" s="43">
        <v>9106250</v>
      </c>
      <c r="C2757" s="20" t="s">
        <v>537</v>
      </c>
      <c r="D2757" s="19"/>
      <c r="E2757" s="18">
        <v>34351.199999999997</v>
      </c>
      <c r="F2757" s="15">
        <f t="shared" si="43"/>
        <v>34351.199999999997</v>
      </c>
    </row>
    <row r="2758" spans="1:8" x14ac:dyDescent="0.2">
      <c r="A2758" s="91">
        <v>45791</v>
      </c>
      <c r="B2758" s="43">
        <v>9563163</v>
      </c>
      <c r="C2758" s="20" t="s">
        <v>438</v>
      </c>
      <c r="D2758" s="19"/>
      <c r="E2758" s="18">
        <v>25085.3</v>
      </c>
      <c r="F2758" s="15">
        <f t="shared" si="43"/>
        <v>25085.3</v>
      </c>
    </row>
    <row r="2759" spans="1:8" x14ac:dyDescent="0.2">
      <c r="A2759" s="91">
        <v>45589</v>
      </c>
      <c r="B2759" s="43">
        <v>5064069</v>
      </c>
      <c r="C2759" s="20" t="s">
        <v>129</v>
      </c>
      <c r="D2759" s="19"/>
      <c r="E2759" s="18">
        <v>121217</v>
      </c>
      <c r="F2759" s="15">
        <f t="shared" si="43"/>
        <v>121217</v>
      </c>
    </row>
    <row r="2760" spans="1:8" x14ac:dyDescent="0.2">
      <c r="A2760" s="91">
        <v>45589</v>
      </c>
      <c r="B2760" s="43">
        <v>5064225</v>
      </c>
      <c r="C2760" s="20" t="s">
        <v>130</v>
      </c>
      <c r="D2760" s="19"/>
      <c r="E2760" s="18">
        <v>81496.67</v>
      </c>
      <c r="F2760" s="15">
        <f t="shared" si="43"/>
        <v>81496.67</v>
      </c>
    </row>
    <row r="2761" spans="1:8" x14ac:dyDescent="0.2">
      <c r="A2761" s="91">
        <v>45692</v>
      </c>
      <c r="B2761" s="43">
        <v>5450770</v>
      </c>
      <c r="C2761" s="20" t="s">
        <v>288</v>
      </c>
      <c r="D2761" s="19"/>
      <c r="E2761" s="18">
        <v>80019.61</v>
      </c>
      <c r="F2761" s="15">
        <f t="shared" si="43"/>
        <v>80019.61</v>
      </c>
    </row>
    <row r="2762" spans="1:8" x14ac:dyDescent="0.2">
      <c r="A2762" s="91">
        <v>45559</v>
      </c>
      <c r="B2762" s="16">
        <v>5553997</v>
      </c>
      <c r="C2762" s="20" t="s">
        <v>82</v>
      </c>
      <c r="D2762" s="19"/>
      <c r="E2762" s="18">
        <v>83097.19</v>
      </c>
      <c r="F2762" s="15">
        <f t="shared" si="43"/>
        <v>83097.19</v>
      </c>
      <c r="H2762" s="10"/>
    </row>
    <row r="2763" spans="1:8" x14ac:dyDescent="0.2">
      <c r="A2763" s="91">
        <v>45763</v>
      </c>
      <c r="B2763" s="43">
        <v>5862233</v>
      </c>
      <c r="C2763" s="20" t="s">
        <v>398</v>
      </c>
      <c r="D2763" s="19"/>
      <c r="E2763" s="18">
        <v>78731.83</v>
      </c>
      <c r="F2763" s="15">
        <f t="shared" si="43"/>
        <v>78731.83</v>
      </c>
    </row>
    <row r="2764" spans="1:8" x14ac:dyDescent="0.2">
      <c r="A2764" s="91">
        <v>45841</v>
      </c>
      <c r="B2764" s="43">
        <v>7154529</v>
      </c>
      <c r="C2764" s="20" t="s">
        <v>520</v>
      </c>
      <c r="D2764" s="19"/>
      <c r="E2764" s="18">
        <v>88870.21</v>
      </c>
      <c r="F2764" s="15">
        <f t="shared" si="43"/>
        <v>88870.21</v>
      </c>
    </row>
    <row r="2765" spans="1:8" x14ac:dyDescent="0.2">
      <c r="A2765" s="91">
        <v>45636</v>
      </c>
      <c r="B2765" s="46">
        <v>7246893</v>
      </c>
      <c r="C2765" s="9" t="s">
        <v>208</v>
      </c>
      <c r="D2765" s="62"/>
      <c r="E2765" s="63">
        <v>72193.78</v>
      </c>
      <c r="F2765" s="15">
        <f t="shared" si="43"/>
        <v>72193.78</v>
      </c>
    </row>
    <row r="2766" spans="1:8" x14ac:dyDescent="0.2">
      <c r="A2766" s="91">
        <v>45671</v>
      </c>
      <c r="B2766" s="44">
        <v>7705933</v>
      </c>
      <c r="C2766" s="28" t="s">
        <v>245</v>
      </c>
      <c r="D2766" s="30"/>
      <c r="E2766" s="31">
        <v>150296.29</v>
      </c>
      <c r="F2766" s="15">
        <f t="shared" si="43"/>
        <v>150296.29</v>
      </c>
    </row>
    <row r="2767" spans="1:8" x14ac:dyDescent="0.2">
      <c r="A2767" s="91">
        <v>45881</v>
      </c>
      <c r="B2767" s="43">
        <v>8072357</v>
      </c>
      <c r="C2767" s="20" t="s">
        <v>575</v>
      </c>
      <c r="D2767" s="19"/>
      <c r="E2767" s="18">
        <v>168639.33</v>
      </c>
      <c r="F2767" s="15">
        <f t="shared" si="43"/>
        <v>168639.33</v>
      </c>
    </row>
    <row r="2768" spans="1:8" x14ac:dyDescent="0.2">
      <c r="A2768" s="91">
        <v>45785</v>
      </c>
      <c r="B2768" s="43">
        <v>8788815</v>
      </c>
      <c r="C2768" s="20" t="s">
        <v>429</v>
      </c>
      <c r="D2768" s="19"/>
      <c r="E2768" s="18">
        <v>44724.62</v>
      </c>
      <c r="F2768" s="15">
        <f t="shared" si="43"/>
        <v>44724.62</v>
      </c>
    </row>
    <row r="2769" spans="1:8" x14ac:dyDescent="0.2">
      <c r="A2769" s="91">
        <v>45825</v>
      </c>
      <c r="B2769" s="43">
        <v>9474674</v>
      </c>
      <c r="C2769" s="20" t="s">
        <v>490</v>
      </c>
      <c r="D2769" s="19"/>
      <c r="E2769" s="18">
        <v>72366.880000000005</v>
      </c>
      <c r="F2769" s="15">
        <f t="shared" si="43"/>
        <v>72366.880000000005</v>
      </c>
    </row>
    <row r="2770" spans="1:8" x14ac:dyDescent="0.2">
      <c r="A2770" s="91">
        <v>45722</v>
      </c>
      <c r="B2770" s="43">
        <v>9699052</v>
      </c>
      <c r="C2770" s="20" t="s">
        <v>335</v>
      </c>
      <c r="D2770" s="19"/>
      <c r="E2770" s="18">
        <v>55647.62</v>
      </c>
      <c r="F2770" s="15">
        <f t="shared" si="43"/>
        <v>55647.62</v>
      </c>
    </row>
    <row r="2771" spans="1:8" x14ac:dyDescent="0.2">
      <c r="A2771" s="91">
        <v>45617</v>
      </c>
      <c r="B2771" s="43">
        <v>3026331</v>
      </c>
      <c r="C2771" s="20" t="s">
        <v>180</v>
      </c>
      <c r="D2771" s="19"/>
      <c r="E2771" s="18">
        <v>26064.959999999999</v>
      </c>
      <c r="F2771" s="15">
        <f t="shared" si="43"/>
        <v>26064.959999999999</v>
      </c>
    </row>
    <row r="2772" spans="1:8" x14ac:dyDescent="0.2">
      <c r="A2772" s="91">
        <v>45832</v>
      </c>
      <c r="B2772" s="43">
        <v>3071095</v>
      </c>
      <c r="C2772" s="20" t="s">
        <v>498</v>
      </c>
      <c r="D2772" s="19"/>
      <c r="E2772" s="18">
        <v>56691.76</v>
      </c>
      <c r="F2772" s="15">
        <f t="shared" si="43"/>
        <v>56691.76</v>
      </c>
    </row>
    <row r="2773" spans="1:8" x14ac:dyDescent="0.2">
      <c r="A2773" s="91">
        <v>45806</v>
      </c>
      <c r="B2773" s="43">
        <v>3117502</v>
      </c>
      <c r="C2773" s="20" t="s">
        <v>460</v>
      </c>
      <c r="D2773" s="19"/>
      <c r="E2773" s="18">
        <v>20262.72</v>
      </c>
      <c r="F2773" s="15">
        <f t="shared" si="43"/>
        <v>20262.72</v>
      </c>
    </row>
    <row r="2774" spans="1:8" x14ac:dyDescent="0.2">
      <c r="A2774" s="91">
        <v>45589</v>
      </c>
      <c r="B2774" s="43">
        <v>3147303</v>
      </c>
      <c r="C2774" s="20" t="s">
        <v>131</v>
      </c>
      <c r="D2774" s="19"/>
      <c r="E2774" s="18">
        <v>6021.55</v>
      </c>
      <c r="F2774" s="15">
        <f t="shared" si="43"/>
        <v>6021.55</v>
      </c>
    </row>
    <row r="2775" spans="1:8" x14ac:dyDescent="0.2">
      <c r="A2775" s="91">
        <v>45673</v>
      </c>
      <c r="B2775" s="43">
        <v>3161578</v>
      </c>
      <c r="C2775" s="20" t="s">
        <v>254</v>
      </c>
      <c r="D2775" s="19"/>
      <c r="E2775" s="18">
        <v>33363.01</v>
      </c>
      <c r="F2775" s="15">
        <f t="shared" si="43"/>
        <v>33363.01</v>
      </c>
    </row>
    <row r="2776" spans="1:8" x14ac:dyDescent="0.2">
      <c r="A2776" s="91">
        <v>45652</v>
      </c>
      <c r="B2776" s="43">
        <v>3165283</v>
      </c>
      <c r="C2776" s="20" t="s">
        <v>223</v>
      </c>
      <c r="D2776" s="19"/>
      <c r="E2776" s="18">
        <v>120629.19</v>
      </c>
      <c r="F2776" s="15">
        <f t="shared" si="43"/>
        <v>120629.19</v>
      </c>
    </row>
    <row r="2777" spans="1:8" x14ac:dyDescent="0.2">
      <c r="A2777" s="91">
        <v>45897</v>
      </c>
      <c r="B2777" s="43">
        <v>3245373</v>
      </c>
      <c r="C2777" s="20" t="s">
        <v>596</v>
      </c>
      <c r="D2777" s="19"/>
      <c r="E2777" s="18">
        <v>34735.68</v>
      </c>
      <c r="F2777" s="15">
        <f t="shared" si="43"/>
        <v>34735.68</v>
      </c>
    </row>
    <row r="2778" spans="1:8" x14ac:dyDescent="0.2">
      <c r="A2778" s="91">
        <v>45793</v>
      </c>
      <c r="B2778" s="43">
        <v>3408568</v>
      </c>
      <c r="C2778" s="20" t="s">
        <v>444</v>
      </c>
      <c r="D2778" s="19"/>
      <c r="E2778" s="18">
        <v>407288.73</v>
      </c>
      <c r="F2778" s="15">
        <f t="shared" si="43"/>
        <v>407288.73</v>
      </c>
    </row>
    <row r="2779" spans="1:8" x14ac:dyDescent="0.2">
      <c r="A2779" s="91">
        <v>45736</v>
      </c>
      <c r="B2779" s="43">
        <v>3430431</v>
      </c>
      <c r="C2779" s="20" t="s">
        <v>360</v>
      </c>
      <c r="D2779" s="19"/>
      <c r="E2779" s="18">
        <v>19939.439999999999</v>
      </c>
      <c r="F2779" s="15">
        <f t="shared" si="43"/>
        <v>19939.439999999999</v>
      </c>
    </row>
    <row r="2780" spans="1:8" x14ac:dyDescent="0.2">
      <c r="A2780" s="91">
        <v>45624</v>
      </c>
      <c r="B2780" s="43">
        <v>3444778</v>
      </c>
      <c r="C2780" s="20" t="s">
        <v>194</v>
      </c>
      <c r="D2780" s="25"/>
      <c r="E2780" s="25">
        <v>1067374.33</v>
      </c>
      <c r="F2780" s="15">
        <f t="shared" si="43"/>
        <v>1067374.33</v>
      </c>
    </row>
    <row r="2781" spans="1:8" x14ac:dyDescent="0.2">
      <c r="A2781" s="91">
        <v>45701</v>
      </c>
      <c r="B2781" s="43">
        <v>3499874</v>
      </c>
      <c r="C2781" s="20" t="s">
        <v>303</v>
      </c>
      <c r="D2781" s="19"/>
      <c r="E2781" s="18">
        <v>4864.7299999999996</v>
      </c>
      <c r="F2781" s="15">
        <f t="shared" si="43"/>
        <v>4864.7299999999996</v>
      </c>
    </row>
    <row r="2782" spans="1:8" x14ac:dyDescent="0.2">
      <c r="A2782" s="91">
        <v>45548</v>
      </c>
      <c r="B2782" s="16">
        <v>3718818</v>
      </c>
      <c r="C2782" s="20" t="s">
        <v>43</v>
      </c>
      <c r="D2782" s="19"/>
      <c r="E2782" s="18">
        <v>7500</v>
      </c>
      <c r="F2782" s="15">
        <f t="shared" si="43"/>
        <v>7500</v>
      </c>
      <c r="H2782" s="10"/>
    </row>
    <row r="2783" spans="1:8" x14ac:dyDescent="0.2">
      <c r="A2783" s="91">
        <v>45538</v>
      </c>
      <c r="B2783" s="16">
        <v>7715</v>
      </c>
      <c r="C2783" s="20" t="s">
        <v>21</v>
      </c>
      <c r="D2783" s="19"/>
      <c r="E2783" s="18">
        <v>103690.67</v>
      </c>
      <c r="F2783" s="15">
        <f t="shared" si="43"/>
        <v>103690.67</v>
      </c>
      <c r="H2783" s="10"/>
    </row>
    <row r="2784" spans="1:8" x14ac:dyDescent="0.2">
      <c r="A2784" s="91">
        <v>45569</v>
      </c>
      <c r="B2784" s="43">
        <v>9754</v>
      </c>
      <c r="C2784" s="20" t="s">
        <v>21</v>
      </c>
      <c r="D2784" s="19"/>
      <c r="E2784" s="18">
        <v>60736.6</v>
      </c>
      <c r="F2784" s="15">
        <f t="shared" si="43"/>
        <v>60736.6</v>
      </c>
    </row>
    <row r="2785" spans="1:6" x14ac:dyDescent="0.2">
      <c r="A2785" s="91">
        <v>45603</v>
      </c>
      <c r="B2785" s="43">
        <v>16551</v>
      </c>
      <c r="C2785" s="20" t="s">
        <v>21</v>
      </c>
      <c r="D2785" s="19"/>
      <c r="E2785" s="18">
        <v>107067.54</v>
      </c>
      <c r="F2785" s="15">
        <f t="shared" si="43"/>
        <v>107067.54</v>
      </c>
    </row>
    <row r="2786" spans="1:6" x14ac:dyDescent="0.2">
      <c r="A2786" s="91">
        <v>45632</v>
      </c>
      <c r="B2786" s="43">
        <v>13798</v>
      </c>
      <c r="C2786" s="20" t="s">
        <v>21</v>
      </c>
      <c r="D2786" s="19"/>
      <c r="E2786" s="18">
        <v>106272.09</v>
      </c>
      <c r="F2786" s="15">
        <f t="shared" si="43"/>
        <v>106272.09</v>
      </c>
    </row>
    <row r="2787" spans="1:6" x14ac:dyDescent="0.2">
      <c r="A2787" s="91">
        <v>45671</v>
      </c>
      <c r="B2787" s="43">
        <v>12642</v>
      </c>
      <c r="C2787" s="20" t="s">
        <v>21</v>
      </c>
      <c r="D2787" s="19"/>
      <c r="E2787" s="18">
        <v>111779.4</v>
      </c>
      <c r="F2787" s="15">
        <f t="shared" si="43"/>
        <v>111779.4</v>
      </c>
    </row>
    <row r="2788" spans="1:6" x14ac:dyDescent="0.2">
      <c r="A2788" s="91">
        <v>45692</v>
      </c>
      <c r="B2788" s="43">
        <v>7099</v>
      </c>
      <c r="C2788" s="20" t="s">
        <v>21</v>
      </c>
      <c r="D2788" s="25"/>
      <c r="E2788" s="25">
        <v>1469500</v>
      </c>
      <c r="F2788" s="15">
        <f t="shared" si="43"/>
        <v>1469500</v>
      </c>
    </row>
    <row r="2789" spans="1:6" x14ac:dyDescent="0.2">
      <c r="A2789" s="91">
        <v>45693</v>
      </c>
      <c r="B2789" s="43">
        <v>10017</v>
      </c>
      <c r="C2789" s="20" t="s">
        <v>21</v>
      </c>
      <c r="D2789" s="25"/>
      <c r="E2789" s="25">
        <v>1390280</v>
      </c>
      <c r="F2789" s="15">
        <f t="shared" si="43"/>
        <v>1390280</v>
      </c>
    </row>
    <row r="2790" spans="1:6" x14ac:dyDescent="0.2">
      <c r="A2790" s="91">
        <v>45702</v>
      </c>
      <c r="B2790" s="43">
        <v>12437</v>
      </c>
      <c r="C2790" s="20" t="s">
        <v>21</v>
      </c>
      <c r="D2790" s="19"/>
      <c r="E2790" s="18">
        <v>51920.9</v>
      </c>
      <c r="F2790" s="15">
        <f t="shared" si="43"/>
        <v>51920.9</v>
      </c>
    </row>
    <row r="2791" spans="1:6" x14ac:dyDescent="0.2">
      <c r="A2791" s="91">
        <v>45726</v>
      </c>
      <c r="B2791" s="43">
        <v>7727</v>
      </c>
      <c r="C2791" s="20" t="s">
        <v>21</v>
      </c>
      <c r="D2791" s="19"/>
      <c r="E2791" s="18">
        <v>58517.87</v>
      </c>
      <c r="F2791" s="15">
        <f t="shared" si="43"/>
        <v>58517.87</v>
      </c>
    </row>
    <row r="2792" spans="1:6" x14ac:dyDescent="0.2">
      <c r="A2792" s="91">
        <v>45756</v>
      </c>
      <c r="B2792" s="43">
        <v>12165</v>
      </c>
      <c r="C2792" s="20" t="s">
        <v>21</v>
      </c>
      <c r="D2792" s="19"/>
      <c r="E2792" s="18">
        <v>158252.1</v>
      </c>
      <c r="F2792" s="15">
        <f t="shared" si="43"/>
        <v>158252.1</v>
      </c>
    </row>
    <row r="2793" spans="1:6" x14ac:dyDescent="0.2">
      <c r="A2793" s="91">
        <v>45789</v>
      </c>
      <c r="B2793" s="43">
        <v>11737</v>
      </c>
      <c r="C2793" s="20" t="s">
        <v>21</v>
      </c>
      <c r="D2793" s="19"/>
      <c r="E2793" s="18">
        <v>73276.639999999999</v>
      </c>
      <c r="F2793" s="15">
        <f t="shared" si="43"/>
        <v>73276.639999999999</v>
      </c>
    </row>
    <row r="2794" spans="1:6" x14ac:dyDescent="0.2">
      <c r="A2794" s="91">
        <v>45819</v>
      </c>
      <c r="B2794" s="46">
        <v>11140</v>
      </c>
      <c r="C2794" s="9" t="s">
        <v>21</v>
      </c>
      <c r="D2794" s="62"/>
      <c r="E2794" s="63">
        <v>104055.73</v>
      </c>
      <c r="F2794" s="15">
        <f t="shared" si="43"/>
        <v>104055.73</v>
      </c>
    </row>
    <row r="2795" spans="1:6" x14ac:dyDescent="0.2">
      <c r="A2795" s="91">
        <v>45849</v>
      </c>
      <c r="B2795" s="44">
        <v>13247</v>
      </c>
      <c r="C2795" s="28" t="s">
        <v>21</v>
      </c>
      <c r="D2795" s="24"/>
      <c r="E2795" s="31">
        <v>15735</v>
      </c>
      <c r="F2795" s="15">
        <f t="shared" si="43"/>
        <v>15735</v>
      </c>
    </row>
    <row r="2796" spans="1:6" x14ac:dyDescent="0.2">
      <c r="A2796" s="91">
        <v>45889</v>
      </c>
      <c r="B2796" s="43">
        <v>12074</v>
      </c>
      <c r="C2796" s="20" t="s">
        <v>21</v>
      </c>
      <c r="D2796" s="19"/>
      <c r="E2796" s="18">
        <v>678234.79</v>
      </c>
      <c r="F2796" s="15">
        <f t="shared" si="43"/>
        <v>678234.79</v>
      </c>
    </row>
    <row r="2797" spans="1:6" x14ac:dyDescent="0.2">
      <c r="A2797" s="91">
        <v>45680</v>
      </c>
      <c r="B2797" s="43">
        <v>15320596</v>
      </c>
      <c r="C2797" s="20" t="s">
        <v>269</v>
      </c>
      <c r="D2797" s="19"/>
      <c r="E2797" s="18">
        <v>14800</v>
      </c>
      <c r="F2797" s="15">
        <f t="shared" si="43"/>
        <v>14800</v>
      </c>
    </row>
    <row r="2798" spans="1:6" x14ac:dyDescent="0.2">
      <c r="A2798" s="91">
        <v>45807</v>
      </c>
      <c r="B2798" s="43">
        <v>17912650</v>
      </c>
      <c r="C2798" s="20" t="s">
        <v>463</v>
      </c>
      <c r="D2798" s="19"/>
      <c r="E2798" s="18">
        <v>227047.38</v>
      </c>
      <c r="F2798" s="15">
        <f t="shared" si="43"/>
        <v>227047.38</v>
      </c>
    </row>
    <row r="2799" spans="1:6" x14ac:dyDescent="0.2">
      <c r="A2799" s="91">
        <v>45799</v>
      </c>
      <c r="B2799" s="43">
        <v>4038901</v>
      </c>
      <c r="C2799" s="20" t="s">
        <v>451</v>
      </c>
      <c r="D2799" s="18">
        <v>20000000</v>
      </c>
      <c r="E2799" s="19"/>
      <c r="F2799" s="15">
        <f t="shared" si="43"/>
        <v>-20000000</v>
      </c>
    </row>
    <row r="2800" spans="1:6" x14ac:dyDescent="0.2">
      <c r="A2800" s="91">
        <v>45863</v>
      </c>
      <c r="B2800" s="43">
        <v>4223749</v>
      </c>
      <c r="C2800" s="20" t="s">
        <v>451</v>
      </c>
      <c r="D2800" s="18">
        <v>175000000</v>
      </c>
      <c r="E2800" s="19"/>
      <c r="F2800" s="15">
        <f t="shared" si="43"/>
        <v>-175000000</v>
      </c>
    </row>
    <row r="2801" spans="1:8" x14ac:dyDescent="0.2">
      <c r="A2801" s="91">
        <v>45866</v>
      </c>
      <c r="B2801" s="43">
        <v>4289293</v>
      </c>
      <c r="C2801" s="20" t="s">
        <v>451</v>
      </c>
      <c r="D2801" s="18">
        <v>175000000</v>
      </c>
      <c r="E2801" s="19"/>
      <c r="F2801" s="15">
        <f t="shared" si="43"/>
        <v>-175000000</v>
      </c>
    </row>
    <row r="2802" spans="1:8" x14ac:dyDescent="0.2">
      <c r="A2802" s="91">
        <v>45894</v>
      </c>
      <c r="B2802" s="43">
        <v>4280177</v>
      </c>
      <c r="C2802" s="20" t="s">
        <v>451</v>
      </c>
      <c r="D2802" s="18">
        <v>60000000</v>
      </c>
      <c r="E2802" s="19"/>
      <c r="F2802" s="15">
        <f t="shared" si="43"/>
        <v>-60000000</v>
      </c>
    </row>
    <row r="2803" spans="1:8" x14ac:dyDescent="0.2">
      <c r="A2803" s="91">
        <v>45538</v>
      </c>
      <c r="B2803" s="16">
        <v>41354424</v>
      </c>
      <c r="C2803" s="17" t="s">
        <v>17</v>
      </c>
      <c r="D2803" s="18">
        <v>42158.76</v>
      </c>
      <c r="E2803" s="19"/>
      <c r="F2803" s="15">
        <f t="shared" si="43"/>
        <v>-42158.76</v>
      </c>
      <c r="H2803" s="10"/>
    </row>
    <row r="2804" spans="1:8" x14ac:dyDescent="0.2">
      <c r="A2804" s="91">
        <v>45573</v>
      </c>
      <c r="B2804" s="43">
        <v>41354424</v>
      </c>
      <c r="C2804" s="17" t="s">
        <v>108</v>
      </c>
      <c r="D2804" s="18">
        <v>42158.76</v>
      </c>
      <c r="E2804" s="19"/>
      <c r="F2804" s="15">
        <f t="shared" si="43"/>
        <v>-42158.76</v>
      </c>
    </row>
    <row r="2805" spans="1:8" x14ac:dyDescent="0.2">
      <c r="A2805" s="91">
        <v>45601</v>
      </c>
      <c r="B2805" s="43">
        <v>41354424</v>
      </c>
      <c r="C2805" s="17" t="s">
        <v>144</v>
      </c>
      <c r="D2805" s="18">
        <v>44861.96</v>
      </c>
      <c r="E2805" s="19"/>
      <c r="F2805" s="15">
        <f t="shared" si="43"/>
        <v>-44861.96</v>
      </c>
    </row>
    <row r="2806" spans="1:8" x14ac:dyDescent="0.2">
      <c r="A2806" s="91">
        <v>45755</v>
      </c>
      <c r="B2806" s="43">
        <v>41354424</v>
      </c>
      <c r="C2806" s="17" t="s">
        <v>383</v>
      </c>
      <c r="D2806" s="18">
        <v>52078.76</v>
      </c>
      <c r="E2806" s="19"/>
      <c r="F2806" s="15">
        <f t="shared" si="43"/>
        <v>-52078.76</v>
      </c>
    </row>
    <row r="2807" spans="1:8" x14ac:dyDescent="0.2">
      <c r="A2807" s="91">
        <v>45629</v>
      </c>
      <c r="B2807" s="43">
        <v>41354424</v>
      </c>
      <c r="C2807" s="17" t="s">
        <v>200</v>
      </c>
      <c r="D2807" s="18">
        <v>44861.96</v>
      </c>
      <c r="E2807" s="19"/>
      <c r="F2807" s="15">
        <f t="shared" si="43"/>
        <v>-44861.96</v>
      </c>
    </row>
    <row r="2808" spans="1:8" x14ac:dyDescent="0.2">
      <c r="A2808" s="91">
        <v>45664</v>
      </c>
      <c r="B2808" s="43">
        <v>41354424</v>
      </c>
      <c r="C2808" s="17" t="s">
        <v>238</v>
      </c>
      <c r="D2808" s="18">
        <v>48854.76</v>
      </c>
      <c r="E2808" s="19"/>
      <c r="F2808" s="15">
        <f t="shared" si="43"/>
        <v>-48854.76</v>
      </c>
    </row>
    <row r="2809" spans="1:8" x14ac:dyDescent="0.2">
      <c r="A2809" s="91">
        <v>45692</v>
      </c>
      <c r="B2809" s="43">
        <v>41354424</v>
      </c>
      <c r="C2809" s="17" t="s">
        <v>286</v>
      </c>
      <c r="D2809" s="18">
        <v>48854.76</v>
      </c>
      <c r="E2809" s="19"/>
      <c r="F2809" s="15">
        <f t="shared" si="43"/>
        <v>-48854.76</v>
      </c>
    </row>
    <row r="2810" spans="1:8" x14ac:dyDescent="0.2">
      <c r="A2810" s="91">
        <v>45727</v>
      </c>
      <c r="B2810" s="43">
        <v>41354424</v>
      </c>
      <c r="C2810" s="17" t="s">
        <v>345</v>
      </c>
      <c r="D2810" s="18">
        <v>48854.76</v>
      </c>
      <c r="E2810" s="19"/>
      <c r="F2810" s="15">
        <f t="shared" si="43"/>
        <v>-48854.76</v>
      </c>
    </row>
    <row r="2811" spans="1:8" x14ac:dyDescent="0.2">
      <c r="A2811" s="91">
        <v>45811</v>
      </c>
      <c r="B2811" s="43">
        <v>41354424</v>
      </c>
      <c r="C2811" s="17" t="s">
        <v>469</v>
      </c>
      <c r="D2811" s="18">
        <v>52078.76</v>
      </c>
      <c r="E2811" s="19"/>
      <c r="F2811" s="15">
        <f t="shared" si="43"/>
        <v>-52078.76</v>
      </c>
    </row>
    <row r="2812" spans="1:8" x14ac:dyDescent="0.2">
      <c r="A2812" s="91">
        <v>45783</v>
      </c>
      <c r="B2812" s="43">
        <v>41354424</v>
      </c>
      <c r="C2812" s="17" t="s">
        <v>422</v>
      </c>
      <c r="D2812" s="18">
        <v>52078.76</v>
      </c>
      <c r="E2812" s="19"/>
      <c r="F2812" s="15">
        <f t="shared" si="43"/>
        <v>-52078.76</v>
      </c>
    </row>
    <row r="2813" spans="1:8" x14ac:dyDescent="0.2">
      <c r="A2813" s="91">
        <v>45846</v>
      </c>
      <c r="B2813" s="43">
        <v>41354424</v>
      </c>
      <c r="C2813" s="17" t="s">
        <v>527</v>
      </c>
      <c r="D2813" s="18">
        <v>56542.76</v>
      </c>
      <c r="E2813" s="19"/>
      <c r="F2813" s="15">
        <f t="shared" si="43"/>
        <v>-56542.76</v>
      </c>
    </row>
    <row r="2814" spans="1:8" x14ac:dyDescent="0.2">
      <c r="A2814" s="91">
        <v>45874</v>
      </c>
      <c r="B2814" s="43">
        <v>41354424</v>
      </c>
      <c r="C2814" s="17" t="s">
        <v>567</v>
      </c>
      <c r="D2814" s="18">
        <v>56542.76</v>
      </c>
      <c r="E2814" s="19"/>
      <c r="F2814" s="15">
        <f t="shared" si="43"/>
        <v>-56542.76</v>
      </c>
    </row>
    <row r="2815" spans="1:8" x14ac:dyDescent="0.2">
      <c r="A2815" s="91">
        <v>45537</v>
      </c>
      <c r="B2815" s="16">
        <v>23506</v>
      </c>
      <c r="C2815" s="20" t="s">
        <v>11</v>
      </c>
      <c r="D2815" s="18">
        <v>6409311</v>
      </c>
      <c r="E2815" s="19"/>
      <c r="F2815" s="15">
        <f t="shared" si="43"/>
        <v>-6409311</v>
      </c>
      <c r="H2815" s="10"/>
    </row>
    <row r="2816" spans="1:8" x14ac:dyDescent="0.2">
      <c r="A2816" s="91">
        <v>45552</v>
      </c>
      <c r="B2816" s="16">
        <v>72337</v>
      </c>
      <c r="C2816" s="20" t="s">
        <v>11</v>
      </c>
      <c r="D2816" s="18">
        <v>1023619</v>
      </c>
      <c r="E2816" s="19"/>
      <c r="F2816" s="15">
        <f t="shared" si="43"/>
        <v>-1023619</v>
      </c>
      <c r="H2816" s="10"/>
    </row>
    <row r="2817" spans="1:6" x14ac:dyDescent="0.2">
      <c r="A2817" s="91">
        <v>45568</v>
      </c>
      <c r="B2817" s="43">
        <v>23718</v>
      </c>
      <c r="C2817" s="20" t="s">
        <v>11</v>
      </c>
      <c r="D2817" s="18">
        <v>5788909</v>
      </c>
      <c r="E2817" s="19"/>
      <c r="F2817" s="15">
        <f t="shared" si="43"/>
        <v>-5788909</v>
      </c>
    </row>
    <row r="2818" spans="1:6" x14ac:dyDescent="0.2">
      <c r="A2818" s="91">
        <v>45583</v>
      </c>
      <c r="B2818" s="43">
        <v>73637</v>
      </c>
      <c r="C2818" s="20" t="s">
        <v>11</v>
      </c>
      <c r="D2818" s="18">
        <v>926841</v>
      </c>
      <c r="E2818" s="19"/>
      <c r="F2818" s="15">
        <f t="shared" si="43"/>
        <v>-926841</v>
      </c>
    </row>
    <row r="2819" spans="1:6" x14ac:dyDescent="0.2">
      <c r="A2819" s="91">
        <v>45600</v>
      </c>
      <c r="B2819" s="43">
        <v>41088</v>
      </c>
      <c r="C2819" s="20" t="s">
        <v>11</v>
      </c>
      <c r="D2819" s="18">
        <v>6124481</v>
      </c>
      <c r="E2819" s="19"/>
      <c r="F2819" s="15">
        <f t="shared" ref="F2819:F2882" si="44">+E2819-D2819</f>
        <v>-6124481</v>
      </c>
    </row>
    <row r="2820" spans="1:6" x14ac:dyDescent="0.2">
      <c r="A2820" s="91">
        <v>45611</v>
      </c>
      <c r="B2820" s="66">
        <v>41739</v>
      </c>
      <c r="C2820" s="83" t="s">
        <v>11</v>
      </c>
      <c r="D2820" s="64">
        <v>1720040</v>
      </c>
      <c r="E2820" s="35"/>
      <c r="F2820" s="15">
        <f t="shared" si="44"/>
        <v>-1720040</v>
      </c>
    </row>
    <row r="2821" spans="1:6" x14ac:dyDescent="0.2">
      <c r="A2821" s="92">
        <v>45611</v>
      </c>
      <c r="B2821" s="70">
        <v>46619</v>
      </c>
      <c r="C2821" s="9" t="s">
        <v>11</v>
      </c>
      <c r="D2821" s="63">
        <v>356904</v>
      </c>
      <c r="E2821" s="49"/>
      <c r="F2821" s="15">
        <f t="shared" si="44"/>
        <v>-356904</v>
      </c>
    </row>
    <row r="2822" spans="1:6" x14ac:dyDescent="0.2">
      <c r="A2822" s="92">
        <v>45629</v>
      </c>
      <c r="B2822" s="70">
        <v>36081</v>
      </c>
      <c r="C2822" s="9" t="s">
        <v>11</v>
      </c>
      <c r="D2822" s="63">
        <v>7942211</v>
      </c>
      <c r="E2822" s="49"/>
      <c r="F2822" s="15">
        <f t="shared" si="44"/>
        <v>-7942211</v>
      </c>
    </row>
    <row r="2823" spans="1:6" x14ac:dyDescent="0.2">
      <c r="A2823" s="92">
        <v>45639</v>
      </c>
      <c r="B2823" s="70">
        <v>35905</v>
      </c>
      <c r="C2823" s="9" t="s">
        <v>11</v>
      </c>
      <c r="D2823" s="63">
        <v>1344634</v>
      </c>
      <c r="E2823" s="49"/>
      <c r="F2823" s="15">
        <f t="shared" si="44"/>
        <v>-1344634</v>
      </c>
    </row>
    <row r="2824" spans="1:6" x14ac:dyDescent="0.2">
      <c r="A2824" s="91">
        <v>45645</v>
      </c>
      <c r="B2824" s="72">
        <v>93508</v>
      </c>
      <c r="C2824" s="84" t="s">
        <v>11</v>
      </c>
      <c r="D2824" s="8">
        <v>4118488</v>
      </c>
      <c r="E2824" s="7"/>
      <c r="F2824" s="15">
        <f t="shared" si="44"/>
        <v>-4118488</v>
      </c>
    </row>
    <row r="2825" spans="1:6" x14ac:dyDescent="0.2">
      <c r="A2825" s="91">
        <v>45660</v>
      </c>
      <c r="B2825" s="60">
        <v>29521</v>
      </c>
      <c r="C2825" s="12" t="s">
        <v>11</v>
      </c>
      <c r="D2825" s="13">
        <v>8356589</v>
      </c>
      <c r="E2825" s="14"/>
      <c r="F2825" s="15">
        <f t="shared" si="44"/>
        <v>-8356589</v>
      </c>
    </row>
    <row r="2826" spans="1:6" x14ac:dyDescent="0.2">
      <c r="A2826" s="91">
        <v>45673</v>
      </c>
      <c r="B2826" s="43">
        <v>65243</v>
      </c>
      <c r="C2826" s="20" t="s">
        <v>11</v>
      </c>
      <c r="D2826" s="18">
        <v>2309259</v>
      </c>
      <c r="E2826" s="19"/>
      <c r="F2826" s="15">
        <f t="shared" si="44"/>
        <v>-2309259</v>
      </c>
    </row>
    <row r="2827" spans="1:6" x14ac:dyDescent="0.2">
      <c r="A2827" s="91">
        <v>45692</v>
      </c>
      <c r="B2827" s="43">
        <v>33629</v>
      </c>
      <c r="C2827" s="20" t="s">
        <v>11</v>
      </c>
      <c r="D2827" s="18">
        <v>12601375</v>
      </c>
      <c r="E2827" s="19"/>
      <c r="F2827" s="15">
        <f t="shared" si="44"/>
        <v>-12601375</v>
      </c>
    </row>
    <row r="2828" spans="1:6" x14ac:dyDescent="0.2">
      <c r="A2828" s="91">
        <v>45705</v>
      </c>
      <c r="B2828" s="43">
        <v>70310</v>
      </c>
      <c r="C2828" s="20" t="s">
        <v>11</v>
      </c>
      <c r="D2828" s="18">
        <v>1711467</v>
      </c>
      <c r="E2828" s="19"/>
      <c r="F2828" s="15">
        <f t="shared" si="44"/>
        <v>-1711467</v>
      </c>
    </row>
    <row r="2829" spans="1:6" x14ac:dyDescent="0.2">
      <c r="A2829" s="91">
        <v>45721</v>
      </c>
      <c r="B2829" s="43">
        <v>59940</v>
      </c>
      <c r="C2829" s="20" t="s">
        <v>11</v>
      </c>
      <c r="D2829" s="18">
        <v>13130645</v>
      </c>
      <c r="E2829" s="19"/>
      <c r="F2829" s="15">
        <f t="shared" si="44"/>
        <v>-13130645</v>
      </c>
    </row>
    <row r="2830" spans="1:6" x14ac:dyDescent="0.2">
      <c r="A2830" s="91">
        <v>45734</v>
      </c>
      <c r="B2830" s="43">
        <v>81698</v>
      </c>
      <c r="C2830" s="20" t="s">
        <v>11</v>
      </c>
      <c r="D2830" s="18">
        <v>1368457</v>
      </c>
      <c r="E2830" s="19"/>
      <c r="F2830" s="15">
        <f t="shared" si="44"/>
        <v>-1368457</v>
      </c>
    </row>
    <row r="2831" spans="1:6" x14ac:dyDescent="0.2">
      <c r="A2831" s="91">
        <v>45750</v>
      </c>
      <c r="B2831" s="43">
        <v>31606</v>
      </c>
      <c r="C2831" s="20" t="s">
        <v>11</v>
      </c>
      <c r="D2831" s="18">
        <v>7368684</v>
      </c>
      <c r="E2831" s="19"/>
      <c r="F2831" s="15">
        <f t="shared" si="44"/>
        <v>-7368684</v>
      </c>
    </row>
    <row r="2832" spans="1:6" x14ac:dyDescent="0.2">
      <c r="A2832" s="91">
        <v>45768</v>
      </c>
      <c r="B2832" s="43">
        <v>75434</v>
      </c>
      <c r="C2832" s="20" t="s">
        <v>11</v>
      </c>
      <c r="D2832" s="18">
        <v>2114313</v>
      </c>
      <c r="E2832" s="19"/>
      <c r="F2832" s="15">
        <f t="shared" si="44"/>
        <v>-2114313</v>
      </c>
    </row>
    <row r="2833" spans="1:8" x14ac:dyDescent="0.2">
      <c r="A2833" s="91">
        <v>45782</v>
      </c>
      <c r="B2833" s="43">
        <v>467</v>
      </c>
      <c r="C2833" s="20" t="s">
        <v>11</v>
      </c>
      <c r="D2833" s="18">
        <v>13406892</v>
      </c>
      <c r="E2833" s="19"/>
      <c r="F2833" s="15">
        <f t="shared" si="44"/>
        <v>-13406892</v>
      </c>
    </row>
    <row r="2834" spans="1:8" x14ac:dyDescent="0.2">
      <c r="A2834" s="91">
        <v>45793</v>
      </c>
      <c r="B2834" s="43">
        <v>65133</v>
      </c>
      <c r="C2834" s="20" t="s">
        <v>11</v>
      </c>
      <c r="D2834" s="18">
        <v>1600115</v>
      </c>
      <c r="E2834" s="19"/>
      <c r="F2834" s="15">
        <f t="shared" si="44"/>
        <v>-1600115</v>
      </c>
    </row>
    <row r="2835" spans="1:8" x14ac:dyDescent="0.2">
      <c r="A2835" s="91">
        <v>45811</v>
      </c>
      <c r="B2835" s="43">
        <v>27085</v>
      </c>
      <c r="C2835" s="20" t="s">
        <v>11</v>
      </c>
      <c r="D2835" s="18">
        <v>13442689</v>
      </c>
      <c r="E2835" s="19"/>
      <c r="F2835" s="15">
        <f t="shared" si="44"/>
        <v>-13442689</v>
      </c>
    </row>
    <row r="2836" spans="1:8" x14ac:dyDescent="0.2">
      <c r="A2836" s="91">
        <v>45821</v>
      </c>
      <c r="B2836" s="43">
        <v>35938</v>
      </c>
      <c r="C2836" s="20" t="s">
        <v>11</v>
      </c>
      <c r="D2836" s="18">
        <v>1799068</v>
      </c>
      <c r="E2836" s="19"/>
      <c r="F2836" s="15">
        <f t="shared" si="44"/>
        <v>-1799068</v>
      </c>
    </row>
    <row r="2837" spans="1:8" x14ac:dyDescent="0.2">
      <c r="A2837" s="91">
        <v>45832</v>
      </c>
      <c r="B2837" s="43">
        <v>39176</v>
      </c>
      <c r="C2837" s="20" t="s">
        <v>11</v>
      </c>
      <c r="D2837" s="18">
        <v>7654904</v>
      </c>
      <c r="E2837" s="19"/>
      <c r="F2837" s="15">
        <f t="shared" si="44"/>
        <v>-7654904</v>
      </c>
    </row>
    <row r="2838" spans="1:8" x14ac:dyDescent="0.2">
      <c r="A2838" s="91">
        <v>45855</v>
      </c>
      <c r="B2838" s="43">
        <v>73238</v>
      </c>
      <c r="C2838" s="20" t="s">
        <v>11</v>
      </c>
      <c r="D2838" s="18">
        <v>1220803</v>
      </c>
      <c r="E2838" s="19"/>
      <c r="F2838" s="15">
        <f t="shared" si="44"/>
        <v>-1220803</v>
      </c>
    </row>
    <row r="2839" spans="1:8" x14ac:dyDescent="0.2">
      <c r="A2839" s="91">
        <v>45873</v>
      </c>
      <c r="B2839" s="43">
        <v>49527</v>
      </c>
      <c r="C2839" s="20" t="s">
        <v>11</v>
      </c>
      <c r="D2839" s="18">
        <v>11939779</v>
      </c>
      <c r="E2839" s="19"/>
      <c r="F2839" s="15">
        <f t="shared" si="44"/>
        <v>-11939779</v>
      </c>
    </row>
    <row r="2840" spans="1:8" x14ac:dyDescent="0.2">
      <c r="A2840" s="91">
        <v>45889</v>
      </c>
      <c r="B2840" s="43">
        <v>483</v>
      </c>
      <c r="C2840" s="20" t="s">
        <v>11</v>
      </c>
      <c r="D2840" s="18">
        <v>1846913</v>
      </c>
      <c r="E2840" s="19"/>
      <c r="F2840" s="15">
        <f t="shared" si="44"/>
        <v>-1846913</v>
      </c>
    </row>
    <row r="2841" spans="1:8" x14ac:dyDescent="0.2">
      <c r="A2841" s="91">
        <v>45560</v>
      </c>
      <c r="B2841" s="26"/>
      <c r="C2841" s="17" t="s">
        <v>88</v>
      </c>
      <c r="D2841" s="18">
        <v>26282277</v>
      </c>
      <c r="E2841" s="19"/>
      <c r="F2841" s="15">
        <f t="shared" si="44"/>
        <v>-26282277</v>
      </c>
      <c r="H2841" s="10"/>
    </row>
    <row r="2842" spans="1:8" x14ac:dyDescent="0.2">
      <c r="A2842" s="91">
        <v>45593</v>
      </c>
      <c r="B2842" s="45"/>
      <c r="C2842" s="17" t="s">
        <v>88</v>
      </c>
      <c r="D2842" s="18">
        <v>25106407.399999999</v>
      </c>
      <c r="E2842" s="19"/>
      <c r="F2842" s="15">
        <f t="shared" si="44"/>
        <v>-25106407.399999999</v>
      </c>
    </row>
    <row r="2843" spans="1:8" x14ac:dyDescent="0.2">
      <c r="A2843" s="91">
        <v>45622</v>
      </c>
      <c r="B2843" s="51"/>
      <c r="C2843" s="47" t="s">
        <v>88</v>
      </c>
      <c r="D2843" s="48">
        <v>25104031.5</v>
      </c>
      <c r="E2843" s="49"/>
      <c r="F2843" s="15">
        <f t="shared" si="44"/>
        <v>-25104031.5</v>
      </c>
    </row>
    <row r="2844" spans="1:8" x14ac:dyDescent="0.2">
      <c r="A2844" s="91">
        <v>45649</v>
      </c>
      <c r="B2844" s="50"/>
      <c r="C2844" s="22" t="s">
        <v>88</v>
      </c>
      <c r="D2844" s="23">
        <v>22030145</v>
      </c>
      <c r="E2844" s="24"/>
      <c r="F2844" s="15">
        <f t="shared" si="44"/>
        <v>-22030145</v>
      </c>
    </row>
    <row r="2845" spans="1:8" x14ac:dyDescent="0.2">
      <c r="A2845" s="91">
        <v>45681</v>
      </c>
      <c r="B2845" s="45"/>
      <c r="C2845" s="17" t="s">
        <v>88</v>
      </c>
      <c r="D2845" s="18">
        <v>27442325</v>
      </c>
      <c r="E2845" s="19"/>
      <c r="F2845" s="15">
        <f t="shared" si="44"/>
        <v>-27442325</v>
      </c>
    </row>
    <row r="2846" spans="1:8" x14ac:dyDescent="0.2">
      <c r="A2846" s="91">
        <v>45712</v>
      </c>
      <c r="B2846" s="45"/>
      <c r="C2846" s="17" t="s">
        <v>88</v>
      </c>
      <c r="D2846" s="18">
        <v>26539620</v>
      </c>
      <c r="E2846" s="19"/>
      <c r="F2846" s="15">
        <f t="shared" si="44"/>
        <v>-26539620</v>
      </c>
    </row>
    <row r="2847" spans="1:8" x14ac:dyDescent="0.2">
      <c r="A2847" s="91">
        <v>45742</v>
      </c>
      <c r="B2847" s="45"/>
      <c r="C2847" s="17" t="s">
        <v>88</v>
      </c>
      <c r="D2847" s="18">
        <v>23508945</v>
      </c>
      <c r="E2847" s="19"/>
      <c r="F2847" s="15">
        <f t="shared" si="44"/>
        <v>-23508945</v>
      </c>
    </row>
    <row r="2848" spans="1:8" x14ac:dyDescent="0.2">
      <c r="A2848" s="91">
        <v>45775</v>
      </c>
      <c r="B2848" s="45"/>
      <c r="C2848" s="17" t="s">
        <v>88</v>
      </c>
      <c r="D2848" s="18">
        <v>35525380</v>
      </c>
      <c r="E2848" s="19"/>
      <c r="F2848" s="15">
        <f t="shared" si="44"/>
        <v>-35525380</v>
      </c>
    </row>
    <row r="2849" spans="1:6" x14ac:dyDescent="0.2">
      <c r="A2849" s="91">
        <v>45800</v>
      </c>
      <c r="B2849" s="45"/>
      <c r="C2849" s="17" t="s">
        <v>88</v>
      </c>
      <c r="D2849" s="18">
        <v>31495415</v>
      </c>
      <c r="E2849" s="19"/>
      <c r="F2849" s="15">
        <f t="shared" si="44"/>
        <v>-31495415</v>
      </c>
    </row>
    <row r="2850" spans="1:6" x14ac:dyDescent="0.2">
      <c r="A2850" s="91">
        <v>45834</v>
      </c>
      <c r="B2850" s="45"/>
      <c r="C2850" s="17" t="s">
        <v>88</v>
      </c>
      <c r="D2850" s="18">
        <v>29234775</v>
      </c>
      <c r="E2850" s="19"/>
      <c r="F2850" s="15">
        <f t="shared" si="44"/>
        <v>-29234775</v>
      </c>
    </row>
    <row r="2851" spans="1:6" x14ac:dyDescent="0.2">
      <c r="A2851" s="91">
        <v>45863</v>
      </c>
      <c r="B2851" s="45"/>
      <c r="C2851" s="17" t="s">
        <v>88</v>
      </c>
      <c r="D2851" s="18">
        <v>28662540</v>
      </c>
      <c r="E2851" s="19"/>
      <c r="F2851" s="15">
        <f t="shared" si="44"/>
        <v>-28662540</v>
      </c>
    </row>
    <row r="2852" spans="1:6" x14ac:dyDescent="0.2">
      <c r="A2852" s="91">
        <v>45896</v>
      </c>
      <c r="B2852" s="45"/>
      <c r="C2852" s="17" t="s">
        <v>88</v>
      </c>
      <c r="D2852" s="18">
        <v>15714700</v>
      </c>
      <c r="E2852" s="19"/>
      <c r="F2852" s="15">
        <f t="shared" si="44"/>
        <v>-15714700</v>
      </c>
    </row>
    <row r="2853" spans="1:6" x14ac:dyDescent="0.2">
      <c r="A2853" s="91">
        <v>45898</v>
      </c>
      <c r="B2853" s="45"/>
      <c r="C2853" s="17" t="s">
        <v>88</v>
      </c>
      <c r="D2853" s="25">
        <v>16384800</v>
      </c>
      <c r="E2853" s="19"/>
      <c r="F2853" s="15">
        <f t="shared" si="44"/>
        <v>-16384800</v>
      </c>
    </row>
    <row r="2854" spans="1:6" x14ac:dyDescent="0.2">
      <c r="A2854" s="91">
        <v>45611</v>
      </c>
      <c r="B2854" s="43">
        <v>43462538</v>
      </c>
      <c r="C2854" s="20" t="s">
        <v>167</v>
      </c>
      <c r="D2854" s="18">
        <v>1490842</v>
      </c>
      <c r="E2854" s="19"/>
      <c r="F2854" s="15">
        <f t="shared" si="44"/>
        <v>-1490842</v>
      </c>
    </row>
    <row r="2855" spans="1:6" x14ac:dyDescent="0.2">
      <c r="A2855" s="91">
        <v>45797</v>
      </c>
      <c r="B2855" s="43">
        <v>80569415</v>
      </c>
      <c r="C2855" s="20" t="s">
        <v>167</v>
      </c>
      <c r="D2855" s="18">
        <v>842688.1</v>
      </c>
      <c r="E2855" s="19"/>
      <c r="F2855" s="15">
        <f t="shared" si="44"/>
        <v>-842688.1</v>
      </c>
    </row>
    <row r="2856" spans="1:6" x14ac:dyDescent="0.2">
      <c r="A2856" s="91">
        <v>45826</v>
      </c>
      <c r="B2856" s="43">
        <v>66609053</v>
      </c>
      <c r="C2856" s="20" t="s">
        <v>167</v>
      </c>
      <c r="D2856" s="18">
        <v>862020</v>
      </c>
      <c r="E2856" s="19"/>
      <c r="F2856" s="15">
        <f t="shared" si="44"/>
        <v>-862020</v>
      </c>
    </row>
    <row r="2857" spans="1:6" x14ac:dyDescent="0.2">
      <c r="A2857" s="91">
        <v>45611</v>
      </c>
      <c r="B2857" s="43">
        <v>49886798</v>
      </c>
      <c r="C2857" s="20" t="s">
        <v>171</v>
      </c>
      <c r="D2857" s="18">
        <v>124216.3</v>
      </c>
      <c r="E2857" s="19"/>
      <c r="F2857" s="15">
        <f t="shared" si="44"/>
        <v>-124216.3</v>
      </c>
    </row>
    <row r="2858" spans="1:6" x14ac:dyDescent="0.2">
      <c r="A2858" s="91">
        <v>45735</v>
      </c>
      <c r="B2858" s="43">
        <v>32127067</v>
      </c>
      <c r="C2858" s="20" t="s">
        <v>171</v>
      </c>
      <c r="D2858" s="18">
        <v>259656.3</v>
      </c>
      <c r="E2858" s="19"/>
      <c r="F2858" s="15">
        <f t="shared" si="44"/>
        <v>-259656.3</v>
      </c>
    </row>
    <row r="2859" spans="1:6" x14ac:dyDescent="0.2">
      <c r="A2859" s="91">
        <v>45735</v>
      </c>
      <c r="B2859" s="43">
        <v>73045636</v>
      </c>
      <c r="C2859" s="20" t="s">
        <v>358</v>
      </c>
      <c r="D2859" s="18">
        <v>14772.4</v>
      </c>
      <c r="E2859" s="19"/>
      <c r="F2859" s="15">
        <f t="shared" si="44"/>
        <v>-14772.4</v>
      </c>
    </row>
    <row r="2860" spans="1:6" x14ac:dyDescent="0.2">
      <c r="A2860" s="91">
        <v>45735</v>
      </c>
      <c r="B2860" s="43">
        <v>29683493</v>
      </c>
      <c r="C2860" s="20" t="s">
        <v>357</v>
      </c>
      <c r="D2860" s="18">
        <v>272635.5</v>
      </c>
      <c r="E2860" s="19"/>
      <c r="F2860" s="15">
        <f t="shared" si="44"/>
        <v>-272635.5</v>
      </c>
    </row>
    <row r="2861" spans="1:6" x14ac:dyDescent="0.2">
      <c r="A2861" s="91">
        <v>45611</v>
      </c>
      <c r="B2861" s="43">
        <v>14133520</v>
      </c>
      <c r="C2861" s="20" t="s">
        <v>166</v>
      </c>
      <c r="D2861" s="18">
        <v>843140.6</v>
      </c>
      <c r="E2861" s="19"/>
      <c r="F2861" s="15">
        <f t="shared" si="44"/>
        <v>-843140.6</v>
      </c>
    </row>
    <row r="2862" spans="1:6" x14ac:dyDescent="0.2">
      <c r="A2862" s="91">
        <v>45735</v>
      </c>
      <c r="B2862" s="43">
        <v>11374690</v>
      </c>
      <c r="C2862" s="20" t="s">
        <v>166</v>
      </c>
      <c r="D2862" s="18">
        <v>355307</v>
      </c>
      <c r="E2862" s="19"/>
      <c r="F2862" s="15">
        <f t="shared" si="44"/>
        <v>-355307</v>
      </c>
    </row>
    <row r="2863" spans="1:6" x14ac:dyDescent="0.2">
      <c r="A2863" s="91">
        <v>45797</v>
      </c>
      <c r="B2863" s="43">
        <v>83848462</v>
      </c>
      <c r="C2863" s="20" t="s">
        <v>166</v>
      </c>
      <c r="D2863" s="18">
        <v>392776.3</v>
      </c>
      <c r="E2863" s="19"/>
      <c r="F2863" s="15">
        <f t="shared" si="44"/>
        <v>-392776.3</v>
      </c>
    </row>
    <row r="2864" spans="1:6" x14ac:dyDescent="0.2">
      <c r="A2864" s="91">
        <v>45826</v>
      </c>
      <c r="B2864" s="43">
        <v>93214471</v>
      </c>
      <c r="C2864" s="20" t="s">
        <v>166</v>
      </c>
      <c r="D2864" s="18">
        <v>394556.1</v>
      </c>
      <c r="E2864" s="19"/>
      <c r="F2864" s="15">
        <f t="shared" si="44"/>
        <v>-394556.1</v>
      </c>
    </row>
    <row r="2865" spans="1:6" x14ac:dyDescent="0.2">
      <c r="A2865" s="91">
        <v>45889</v>
      </c>
      <c r="B2865" s="43">
        <v>76834604</v>
      </c>
      <c r="C2865" s="20" t="s">
        <v>166</v>
      </c>
      <c r="D2865" s="18">
        <v>420721.4</v>
      </c>
      <c r="E2865" s="19"/>
      <c r="F2865" s="15">
        <f t="shared" si="44"/>
        <v>-420721.4</v>
      </c>
    </row>
    <row r="2866" spans="1:6" x14ac:dyDescent="0.2">
      <c r="A2866" s="91">
        <v>45735</v>
      </c>
      <c r="B2866" s="43">
        <v>10094996</v>
      </c>
      <c r="C2866" s="20" t="s">
        <v>356</v>
      </c>
      <c r="D2866" s="18">
        <v>23788.3</v>
      </c>
      <c r="E2866" s="19"/>
      <c r="F2866" s="15">
        <f t="shared" si="44"/>
        <v>-23788.3</v>
      </c>
    </row>
    <row r="2867" spans="1:6" x14ac:dyDescent="0.2">
      <c r="A2867" s="91">
        <v>45611</v>
      </c>
      <c r="B2867" s="43">
        <v>48696043</v>
      </c>
      <c r="C2867" s="20" t="s">
        <v>170</v>
      </c>
      <c r="D2867" s="18">
        <v>109371.2</v>
      </c>
      <c r="E2867" s="19"/>
      <c r="F2867" s="15">
        <f t="shared" si="44"/>
        <v>-109371.2</v>
      </c>
    </row>
    <row r="2868" spans="1:6" x14ac:dyDescent="0.2">
      <c r="A2868" s="91">
        <v>45735</v>
      </c>
      <c r="B2868" s="43">
        <v>30908201</v>
      </c>
      <c r="C2868" s="20" t="s">
        <v>170</v>
      </c>
      <c r="D2868" s="18">
        <v>228625.2</v>
      </c>
      <c r="E2868" s="19"/>
      <c r="F2868" s="15">
        <f t="shared" si="44"/>
        <v>-228625.2</v>
      </c>
    </row>
    <row r="2869" spans="1:6" x14ac:dyDescent="0.2">
      <c r="A2869" s="91">
        <v>45611</v>
      </c>
      <c r="B2869" s="43">
        <v>12783409</v>
      </c>
      <c r="C2869" s="20" t="s">
        <v>165</v>
      </c>
      <c r="D2869" s="18">
        <v>564480.19999999995</v>
      </c>
      <c r="E2869" s="19"/>
      <c r="F2869" s="15">
        <f t="shared" si="44"/>
        <v>-564480.19999999995</v>
      </c>
    </row>
    <row r="2870" spans="1:6" x14ac:dyDescent="0.2">
      <c r="A2870" s="91">
        <v>45735</v>
      </c>
      <c r="B2870" s="43">
        <v>28503745</v>
      </c>
      <c r="C2870" s="20" t="s">
        <v>165</v>
      </c>
      <c r="D2870" s="18">
        <v>237524.8</v>
      </c>
      <c r="E2870" s="19"/>
      <c r="F2870" s="15">
        <f t="shared" si="44"/>
        <v>-237524.8</v>
      </c>
    </row>
    <row r="2871" spans="1:6" x14ac:dyDescent="0.2">
      <c r="A2871" s="91">
        <v>45797</v>
      </c>
      <c r="B2871" s="43">
        <v>2400828</v>
      </c>
      <c r="C2871" s="20" t="s">
        <v>165</v>
      </c>
      <c r="D2871" s="18">
        <v>262573.09999999998</v>
      </c>
      <c r="E2871" s="19"/>
      <c r="F2871" s="15">
        <f t="shared" si="44"/>
        <v>-262573.09999999998</v>
      </c>
    </row>
    <row r="2872" spans="1:6" x14ac:dyDescent="0.2">
      <c r="A2872" s="91">
        <v>45826</v>
      </c>
      <c r="B2872" s="43">
        <v>94440512</v>
      </c>
      <c r="C2872" s="20" t="s">
        <v>165</v>
      </c>
      <c r="D2872" s="18">
        <v>270704</v>
      </c>
      <c r="E2872" s="19"/>
      <c r="F2872" s="15">
        <f t="shared" si="44"/>
        <v>-270704</v>
      </c>
    </row>
    <row r="2873" spans="1:6" x14ac:dyDescent="0.2">
      <c r="A2873" s="91">
        <v>45889</v>
      </c>
      <c r="B2873" s="43">
        <v>2958700</v>
      </c>
      <c r="C2873" s="20" t="s">
        <v>165</v>
      </c>
      <c r="D2873" s="18">
        <v>281254.5</v>
      </c>
      <c r="E2873" s="19"/>
      <c r="F2873" s="15">
        <f t="shared" si="44"/>
        <v>-281254.5</v>
      </c>
    </row>
    <row r="2874" spans="1:6" x14ac:dyDescent="0.2">
      <c r="A2874" s="91">
        <v>45611</v>
      </c>
      <c r="B2874" s="43">
        <v>45695014</v>
      </c>
      <c r="C2874" s="20" t="s">
        <v>168</v>
      </c>
      <c r="D2874" s="18">
        <v>338247.2</v>
      </c>
      <c r="E2874" s="19"/>
      <c r="F2874" s="15">
        <f t="shared" si="44"/>
        <v>-338247.2</v>
      </c>
    </row>
    <row r="2875" spans="1:6" x14ac:dyDescent="0.2">
      <c r="A2875" s="91">
        <v>45735</v>
      </c>
      <c r="B2875" s="43">
        <v>74312517</v>
      </c>
      <c r="C2875" s="20" t="s">
        <v>168</v>
      </c>
      <c r="D2875" s="18">
        <v>142540.4</v>
      </c>
      <c r="E2875" s="19"/>
      <c r="F2875" s="15">
        <f t="shared" si="44"/>
        <v>-142540.4</v>
      </c>
    </row>
    <row r="2876" spans="1:6" x14ac:dyDescent="0.2">
      <c r="A2876" s="91">
        <v>45797</v>
      </c>
      <c r="B2876" s="43">
        <v>81785404</v>
      </c>
      <c r="C2876" s="20" t="s">
        <v>168</v>
      </c>
      <c r="D2876" s="18">
        <v>157572.1</v>
      </c>
      <c r="E2876" s="19"/>
      <c r="F2876" s="15">
        <f t="shared" si="44"/>
        <v>-157572.1</v>
      </c>
    </row>
    <row r="2877" spans="1:6" x14ac:dyDescent="0.2">
      <c r="A2877" s="91">
        <v>45826</v>
      </c>
      <c r="B2877" s="43">
        <v>68539557</v>
      </c>
      <c r="C2877" s="20" t="s">
        <v>168</v>
      </c>
      <c r="D2877" s="18">
        <v>158286.20000000001</v>
      </c>
      <c r="E2877" s="19"/>
      <c r="F2877" s="15">
        <f t="shared" si="44"/>
        <v>-158286.20000000001</v>
      </c>
    </row>
    <row r="2878" spans="1:6" x14ac:dyDescent="0.2">
      <c r="A2878" s="91">
        <v>45889</v>
      </c>
      <c r="B2878" s="43">
        <v>74925794</v>
      </c>
      <c r="C2878" s="20" t="s">
        <v>168</v>
      </c>
      <c r="D2878" s="18">
        <v>168783</v>
      </c>
      <c r="E2878" s="19"/>
      <c r="F2878" s="15">
        <f t="shared" si="44"/>
        <v>-168783</v>
      </c>
    </row>
    <row r="2879" spans="1:6" x14ac:dyDescent="0.2">
      <c r="A2879" s="91">
        <v>45611</v>
      </c>
      <c r="B2879" s="43">
        <v>47025817</v>
      </c>
      <c r="C2879" s="20" t="s">
        <v>169</v>
      </c>
      <c r="D2879" s="18">
        <v>274648</v>
      </c>
      <c r="E2879" s="19"/>
      <c r="F2879" s="15">
        <f t="shared" si="44"/>
        <v>-274648</v>
      </c>
    </row>
    <row r="2880" spans="1:6" x14ac:dyDescent="0.2">
      <c r="A2880" s="91">
        <v>45735</v>
      </c>
      <c r="B2880" s="43">
        <v>9161983</v>
      </c>
      <c r="C2880" s="20" t="s">
        <v>169</v>
      </c>
      <c r="D2880" s="18">
        <v>115739.2</v>
      </c>
      <c r="E2880" s="19"/>
      <c r="F2880" s="15">
        <f t="shared" si="44"/>
        <v>-115739.2</v>
      </c>
    </row>
    <row r="2881" spans="1:8" x14ac:dyDescent="0.2">
      <c r="A2881" s="91">
        <v>45797</v>
      </c>
      <c r="B2881" s="43">
        <v>82860295</v>
      </c>
      <c r="C2881" s="20" t="s">
        <v>169</v>
      </c>
      <c r="D2881" s="18">
        <v>127944.6</v>
      </c>
      <c r="E2881" s="19"/>
      <c r="F2881" s="15">
        <f t="shared" si="44"/>
        <v>-127944.6</v>
      </c>
    </row>
    <row r="2882" spans="1:8" x14ac:dyDescent="0.2">
      <c r="A2882" s="91">
        <v>45826</v>
      </c>
      <c r="B2882" s="43">
        <v>69451331</v>
      </c>
      <c r="C2882" s="20" t="s">
        <v>169</v>
      </c>
      <c r="D2882" s="18">
        <v>128524.3</v>
      </c>
      <c r="E2882" s="19"/>
      <c r="F2882" s="15">
        <f t="shared" si="44"/>
        <v>-128524.3</v>
      </c>
    </row>
    <row r="2883" spans="1:8" x14ac:dyDescent="0.2">
      <c r="A2883" s="91">
        <v>45889</v>
      </c>
      <c r="B2883" s="43">
        <v>75869125</v>
      </c>
      <c r="C2883" s="20" t="s">
        <v>169</v>
      </c>
      <c r="D2883" s="18">
        <v>137047.6</v>
      </c>
      <c r="E2883" s="19"/>
      <c r="F2883" s="15">
        <f t="shared" ref="F2883:F2946" si="45">+E2883-D2883</f>
        <v>-137047.6</v>
      </c>
    </row>
    <row r="2884" spans="1:8" x14ac:dyDescent="0.2">
      <c r="A2884" s="91">
        <v>45554</v>
      </c>
      <c r="B2884" s="67">
        <v>42925598</v>
      </c>
      <c r="C2884" s="9" t="s">
        <v>71</v>
      </c>
      <c r="D2884" s="48">
        <v>142132.76</v>
      </c>
      <c r="E2884" s="49"/>
      <c r="F2884" s="15">
        <f t="shared" si="45"/>
        <v>-142132.76</v>
      </c>
      <c r="H2884" s="10"/>
    </row>
    <row r="2885" spans="1:8" x14ac:dyDescent="0.2">
      <c r="A2885" s="91">
        <v>45581</v>
      </c>
      <c r="B2885" s="44">
        <v>61299815</v>
      </c>
      <c r="C2885" s="28" t="s">
        <v>71</v>
      </c>
      <c r="D2885" s="23">
        <v>142251.69</v>
      </c>
      <c r="E2885" s="24"/>
      <c r="F2885" s="15">
        <f t="shared" si="45"/>
        <v>-142251.69</v>
      </c>
    </row>
    <row r="2886" spans="1:8" x14ac:dyDescent="0.2">
      <c r="A2886" s="91">
        <v>45611</v>
      </c>
      <c r="B2886" s="43">
        <v>39398608</v>
      </c>
      <c r="C2886" s="20" t="s">
        <v>71</v>
      </c>
      <c r="D2886" s="18">
        <v>69317.62</v>
      </c>
      <c r="E2886" s="19"/>
      <c r="F2886" s="15">
        <f t="shared" si="45"/>
        <v>-69317.62</v>
      </c>
    </row>
    <row r="2887" spans="1:8" x14ac:dyDescent="0.2">
      <c r="A2887" s="91">
        <v>45652</v>
      </c>
      <c r="B2887" s="43">
        <v>42768955</v>
      </c>
      <c r="C2887" s="20" t="s">
        <v>71</v>
      </c>
      <c r="D2887" s="18">
        <v>69452.69</v>
      </c>
      <c r="E2887" s="19"/>
      <c r="F2887" s="15">
        <f t="shared" si="45"/>
        <v>-69452.69</v>
      </c>
    </row>
    <row r="2888" spans="1:8" x14ac:dyDescent="0.2">
      <c r="A2888" s="91">
        <v>45677</v>
      </c>
      <c r="B2888" s="43">
        <v>99660216</v>
      </c>
      <c r="C2888" s="20" t="s">
        <v>71</v>
      </c>
      <c r="D2888" s="18">
        <v>113413</v>
      </c>
      <c r="E2888" s="19"/>
      <c r="F2888" s="15">
        <f t="shared" si="45"/>
        <v>-113413</v>
      </c>
    </row>
    <row r="2889" spans="1:8" x14ac:dyDescent="0.2">
      <c r="A2889" s="91">
        <v>45705</v>
      </c>
      <c r="B2889" s="43">
        <v>23933955</v>
      </c>
      <c r="C2889" s="20" t="s">
        <v>71</v>
      </c>
      <c r="D2889" s="18">
        <v>113016.71</v>
      </c>
      <c r="E2889" s="19"/>
      <c r="F2889" s="15">
        <f t="shared" si="45"/>
        <v>-113016.71</v>
      </c>
    </row>
    <row r="2890" spans="1:8" x14ac:dyDescent="0.2">
      <c r="A2890" s="91">
        <v>45735</v>
      </c>
      <c r="B2890" s="43">
        <v>59809313</v>
      </c>
      <c r="C2890" s="20" t="s">
        <v>71</v>
      </c>
      <c r="D2890" s="18">
        <v>69257.98</v>
      </c>
      <c r="E2890" s="19"/>
      <c r="F2890" s="15">
        <f t="shared" si="45"/>
        <v>-69257.98</v>
      </c>
    </row>
    <row r="2891" spans="1:8" x14ac:dyDescent="0.2">
      <c r="A2891" s="91">
        <v>45771</v>
      </c>
      <c r="B2891" s="43">
        <v>43587214</v>
      </c>
      <c r="C2891" s="20" t="s">
        <v>71</v>
      </c>
      <c r="D2891" s="18">
        <v>68992.639999999999</v>
      </c>
      <c r="E2891" s="19"/>
      <c r="F2891" s="15">
        <f t="shared" si="45"/>
        <v>-68992.639999999999</v>
      </c>
    </row>
    <row r="2892" spans="1:8" x14ac:dyDescent="0.2">
      <c r="A2892" s="91">
        <v>45771</v>
      </c>
      <c r="B2892" s="43">
        <v>74118777</v>
      </c>
      <c r="C2892" s="20" t="s">
        <v>71</v>
      </c>
      <c r="D2892" s="18">
        <v>72938.899999999994</v>
      </c>
      <c r="E2892" s="19"/>
      <c r="F2892" s="15">
        <f t="shared" si="45"/>
        <v>-72938.899999999994</v>
      </c>
    </row>
    <row r="2893" spans="1:8" x14ac:dyDescent="0.2">
      <c r="A2893" s="91">
        <v>45826</v>
      </c>
      <c r="B2893" s="43">
        <v>99958328</v>
      </c>
      <c r="C2893" s="20" t="s">
        <v>71</v>
      </c>
      <c r="D2893" s="18">
        <v>75171.12</v>
      </c>
      <c r="E2893" s="19"/>
      <c r="F2893" s="15">
        <f t="shared" si="45"/>
        <v>-75171.12</v>
      </c>
    </row>
    <row r="2894" spans="1:8" x14ac:dyDescent="0.2">
      <c r="A2894" s="91">
        <v>45855</v>
      </c>
      <c r="B2894" s="43">
        <v>77792581</v>
      </c>
      <c r="C2894" s="20" t="s">
        <v>71</v>
      </c>
      <c r="D2894" s="18">
        <v>65575.13</v>
      </c>
      <c r="E2894" s="19"/>
      <c r="F2894" s="15">
        <f t="shared" si="45"/>
        <v>-65575.13</v>
      </c>
    </row>
    <row r="2895" spans="1:8" x14ac:dyDescent="0.2">
      <c r="A2895" s="91">
        <v>45889</v>
      </c>
      <c r="B2895" s="43">
        <v>26065133</v>
      </c>
      <c r="C2895" s="20" t="s">
        <v>71</v>
      </c>
      <c r="D2895" s="18">
        <v>61305.65</v>
      </c>
      <c r="E2895" s="19"/>
      <c r="F2895" s="15">
        <f t="shared" si="45"/>
        <v>-61305.65</v>
      </c>
    </row>
    <row r="2896" spans="1:8" x14ac:dyDescent="0.2">
      <c r="A2896" s="91">
        <v>45554</v>
      </c>
      <c r="B2896" s="16">
        <v>40939367</v>
      </c>
      <c r="C2896" s="20" t="s">
        <v>69</v>
      </c>
      <c r="D2896" s="18">
        <v>27748.83</v>
      </c>
      <c r="E2896" s="19"/>
      <c r="F2896" s="15">
        <f t="shared" si="45"/>
        <v>-27748.83</v>
      </c>
      <c r="H2896" s="10"/>
    </row>
    <row r="2897" spans="1:8" x14ac:dyDescent="0.2">
      <c r="A2897" s="91">
        <v>45581</v>
      </c>
      <c r="B2897" s="43">
        <v>60097673</v>
      </c>
      <c r="C2897" s="20" t="s">
        <v>69</v>
      </c>
      <c r="D2897" s="18">
        <v>27777.77</v>
      </c>
      <c r="E2897" s="19"/>
      <c r="F2897" s="15">
        <f t="shared" si="45"/>
        <v>-27777.77</v>
      </c>
    </row>
    <row r="2898" spans="1:8" x14ac:dyDescent="0.2">
      <c r="A2898" s="91">
        <v>45611</v>
      </c>
      <c r="B2898" s="43">
        <v>40925127</v>
      </c>
      <c r="C2898" s="20" t="s">
        <v>69</v>
      </c>
      <c r="D2898" s="18">
        <v>29784.79</v>
      </c>
      <c r="E2898" s="19"/>
      <c r="F2898" s="15">
        <f t="shared" si="45"/>
        <v>-29784.79</v>
      </c>
    </row>
    <row r="2899" spans="1:8" x14ac:dyDescent="0.2">
      <c r="A2899" s="91">
        <v>45642</v>
      </c>
      <c r="B2899" s="43">
        <v>71060087</v>
      </c>
      <c r="C2899" s="20" t="s">
        <v>69</v>
      </c>
      <c r="D2899" s="18">
        <v>29857.119999999999</v>
      </c>
      <c r="E2899" s="19"/>
      <c r="F2899" s="15">
        <f t="shared" si="45"/>
        <v>-29857.119999999999</v>
      </c>
    </row>
    <row r="2900" spans="1:8" x14ac:dyDescent="0.2">
      <c r="A2900" s="91">
        <v>45642</v>
      </c>
      <c r="B2900" s="43">
        <v>73201031</v>
      </c>
      <c r="C2900" s="20" t="s">
        <v>69</v>
      </c>
      <c r="D2900" s="18">
        <v>30306.14</v>
      </c>
      <c r="E2900" s="19"/>
      <c r="F2900" s="15">
        <f t="shared" si="45"/>
        <v>-30306.14</v>
      </c>
    </row>
    <row r="2901" spans="1:8" x14ac:dyDescent="0.2">
      <c r="A2901" s="91">
        <v>45705</v>
      </c>
      <c r="B2901" s="43">
        <v>26187759</v>
      </c>
      <c r="C2901" s="20" t="s">
        <v>69</v>
      </c>
      <c r="D2901" s="18">
        <v>31374.1</v>
      </c>
      <c r="E2901" s="19"/>
      <c r="F2901" s="15">
        <f t="shared" si="45"/>
        <v>-31374.1</v>
      </c>
    </row>
    <row r="2902" spans="1:8" x14ac:dyDescent="0.2">
      <c r="A2902" s="91">
        <v>45735</v>
      </c>
      <c r="B2902" s="43">
        <v>57368322</v>
      </c>
      <c r="C2902" s="20" t="s">
        <v>69</v>
      </c>
      <c r="D2902" s="18">
        <v>30794.31</v>
      </c>
      <c r="E2902" s="19"/>
      <c r="F2902" s="15">
        <f t="shared" si="45"/>
        <v>-30794.31</v>
      </c>
    </row>
    <row r="2903" spans="1:8" x14ac:dyDescent="0.2">
      <c r="A2903" s="91">
        <v>45771</v>
      </c>
      <c r="B2903" s="43">
        <v>50170361</v>
      </c>
      <c r="C2903" s="20" t="s">
        <v>69</v>
      </c>
      <c r="D2903" s="18">
        <v>30848.12</v>
      </c>
      <c r="E2903" s="19"/>
      <c r="F2903" s="15">
        <f t="shared" si="45"/>
        <v>-30848.12</v>
      </c>
    </row>
    <row r="2904" spans="1:8" x14ac:dyDescent="0.2">
      <c r="A2904" s="91">
        <v>45826</v>
      </c>
      <c r="B2904" s="43">
        <v>98005068</v>
      </c>
      <c r="C2904" s="20" t="s">
        <v>69</v>
      </c>
      <c r="D2904" s="18">
        <v>32035.18</v>
      </c>
      <c r="E2904" s="19"/>
      <c r="F2904" s="15">
        <f t="shared" si="45"/>
        <v>-32035.18</v>
      </c>
    </row>
    <row r="2905" spans="1:8" x14ac:dyDescent="0.2">
      <c r="A2905" s="91">
        <v>45855</v>
      </c>
      <c r="B2905" s="43">
        <v>62685095</v>
      </c>
      <c r="C2905" s="20" t="s">
        <v>69</v>
      </c>
      <c r="D2905" s="18">
        <v>34704.61</v>
      </c>
      <c r="E2905" s="19"/>
      <c r="F2905" s="15">
        <f t="shared" si="45"/>
        <v>-34704.61</v>
      </c>
    </row>
    <row r="2906" spans="1:8" x14ac:dyDescent="0.2">
      <c r="A2906" s="91">
        <v>45889</v>
      </c>
      <c r="B2906" s="43">
        <v>12188317</v>
      </c>
      <c r="C2906" s="20" t="s">
        <v>69</v>
      </c>
      <c r="D2906" s="18">
        <v>32322.12</v>
      </c>
      <c r="E2906" s="19"/>
      <c r="F2906" s="15">
        <f t="shared" si="45"/>
        <v>-32322.12</v>
      </c>
    </row>
    <row r="2907" spans="1:8" x14ac:dyDescent="0.2">
      <c r="A2907" s="91">
        <v>45554</v>
      </c>
      <c r="B2907" s="16">
        <v>23723420</v>
      </c>
      <c r="C2907" s="20" t="s">
        <v>68</v>
      </c>
      <c r="D2907" s="18">
        <v>14690.18</v>
      </c>
      <c r="E2907" s="19"/>
      <c r="F2907" s="15">
        <f t="shared" si="45"/>
        <v>-14690.18</v>
      </c>
      <c r="H2907" s="10"/>
    </row>
    <row r="2908" spans="1:8" x14ac:dyDescent="0.2">
      <c r="A2908" s="91">
        <v>45581</v>
      </c>
      <c r="B2908" s="43">
        <v>58767929</v>
      </c>
      <c r="C2908" s="20" t="s">
        <v>68</v>
      </c>
      <c r="D2908" s="18">
        <v>14698.52</v>
      </c>
      <c r="E2908" s="19"/>
      <c r="F2908" s="15">
        <f t="shared" si="45"/>
        <v>-14698.52</v>
      </c>
    </row>
    <row r="2909" spans="1:8" x14ac:dyDescent="0.2">
      <c r="A2909" s="91">
        <v>45611</v>
      </c>
      <c r="B2909" s="43">
        <v>18846325</v>
      </c>
      <c r="C2909" s="20" t="s">
        <v>68</v>
      </c>
      <c r="D2909" s="18">
        <v>15753.54</v>
      </c>
      <c r="E2909" s="19"/>
      <c r="F2909" s="15">
        <f t="shared" si="45"/>
        <v>-15753.54</v>
      </c>
    </row>
    <row r="2910" spans="1:8" x14ac:dyDescent="0.2">
      <c r="A2910" s="91">
        <v>45642</v>
      </c>
      <c r="B2910" s="46">
        <v>69788739</v>
      </c>
      <c r="C2910" s="9" t="s">
        <v>68</v>
      </c>
      <c r="D2910" s="48">
        <v>15774.44</v>
      </c>
      <c r="E2910" s="49"/>
      <c r="F2910" s="15">
        <f t="shared" si="45"/>
        <v>-15774.44</v>
      </c>
    </row>
    <row r="2911" spans="1:8" x14ac:dyDescent="0.2">
      <c r="A2911" s="91">
        <v>45705</v>
      </c>
      <c r="B2911" s="44">
        <v>27616856</v>
      </c>
      <c r="C2911" s="28" t="s">
        <v>68</v>
      </c>
      <c r="D2911" s="23">
        <v>40493.800000000003</v>
      </c>
      <c r="E2911" s="24"/>
      <c r="F2911" s="15">
        <f t="shared" si="45"/>
        <v>-40493.800000000003</v>
      </c>
    </row>
    <row r="2912" spans="1:8" x14ac:dyDescent="0.2">
      <c r="A2912" s="91">
        <v>45735</v>
      </c>
      <c r="B2912" s="43">
        <v>56340918</v>
      </c>
      <c r="C2912" s="20" t="s">
        <v>68</v>
      </c>
      <c r="D2912" s="18">
        <v>60662.94</v>
      </c>
      <c r="E2912" s="19"/>
      <c r="F2912" s="15">
        <f t="shared" si="45"/>
        <v>-60662.94</v>
      </c>
    </row>
    <row r="2913" spans="1:8" x14ac:dyDescent="0.2">
      <c r="A2913" s="91">
        <v>45826</v>
      </c>
      <c r="B2913" s="43">
        <v>96621706</v>
      </c>
      <c r="C2913" s="20" t="s">
        <v>68</v>
      </c>
      <c r="D2913" s="18">
        <v>33430.129999999997</v>
      </c>
      <c r="E2913" s="19"/>
      <c r="F2913" s="15">
        <f t="shared" si="45"/>
        <v>-33430.129999999997</v>
      </c>
    </row>
    <row r="2914" spans="1:8" x14ac:dyDescent="0.2">
      <c r="A2914" s="91">
        <v>45855</v>
      </c>
      <c r="B2914" s="43">
        <v>61922862</v>
      </c>
      <c r="C2914" s="20" t="s">
        <v>68</v>
      </c>
      <c r="D2914" s="18">
        <v>36334.910000000003</v>
      </c>
      <c r="E2914" s="19"/>
      <c r="F2914" s="15">
        <f t="shared" si="45"/>
        <v>-36334.910000000003</v>
      </c>
    </row>
    <row r="2915" spans="1:8" x14ac:dyDescent="0.2">
      <c r="A2915" s="91">
        <v>45889</v>
      </c>
      <c r="B2915" s="43">
        <v>11121736</v>
      </c>
      <c r="C2915" s="20" t="s">
        <v>68</v>
      </c>
      <c r="D2915" s="18">
        <v>36162.68</v>
      </c>
      <c r="E2915" s="19"/>
      <c r="F2915" s="15">
        <f t="shared" si="45"/>
        <v>-36162.68</v>
      </c>
    </row>
    <row r="2916" spans="1:8" x14ac:dyDescent="0.2">
      <c r="A2916" s="91">
        <v>45566</v>
      </c>
      <c r="B2916" s="43">
        <v>7757905</v>
      </c>
      <c r="C2916" s="20" t="s">
        <v>101</v>
      </c>
      <c r="D2916" s="18">
        <v>189038</v>
      </c>
      <c r="E2916" s="19"/>
      <c r="F2916" s="15">
        <f t="shared" si="45"/>
        <v>-189038</v>
      </c>
    </row>
    <row r="2917" spans="1:8" x14ac:dyDescent="0.2">
      <c r="A2917" s="91">
        <v>45611</v>
      </c>
      <c r="B2917" s="43">
        <v>17659033</v>
      </c>
      <c r="C2917" s="20" t="s">
        <v>101</v>
      </c>
      <c r="D2917" s="18">
        <v>185810.59</v>
      </c>
      <c r="E2917" s="19"/>
      <c r="F2917" s="15">
        <f t="shared" si="45"/>
        <v>-185810.59</v>
      </c>
    </row>
    <row r="2918" spans="1:8" x14ac:dyDescent="0.2">
      <c r="A2918" s="91">
        <v>45642</v>
      </c>
      <c r="B2918" s="43">
        <v>72210514</v>
      </c>
      <c r="C2918" s="20" t="s">
        <v>101</v>
      </c>
      <c r="D2918" s="18">
        <v>394991.48</v>
      </c>
      <c r="E2918" s="19"/>
      <c r="F2918" s="15">
        <f t="shared" si="45"/>
        <v>-394991.48</v>
      </c>
    </row>
    <row r="2919" spans="1:8" x14ac:dyDescent="0.2">
      <c r="A2919" s="91">
        <v>45677</v>
      </c>
      <c r="B2919" s="43">
        <v>86451179</v>
      </c>
      <c r="C2919" s="20" t="s">
        <v>101</v>
      </c>
      <c r="D2919" s="18">
        <v>392632.82</v>
      </c>
      <c r="E2919" s="19"/>
      <c r="F2919" s="15">
        <f t="shared" si="45"/>
        <v>-392632.82</v>
      </c>
    </row>
    <row r="2920" spans="1:8" x14ac:dyDescent="0.2">
      <c r="A2920" s="91">
        <v>45705</v>
      </c>
      <c r="B2920" s="43">
        <v>25165550</v>
      </c>
      <c r="C2920" s="20" t="s">
        <v>101</v>
      </c>
      <c r="D2920" s="18">
        <v>118455.03</v>
      </c>
      <c r="E2920" s="19"/>
      <c r="F2920" s="15">
        <f t="shared" si="45"/>
        <v>-118455.03</v>
      </c>
    </row>
    <row r="2921" spans="1:8" x14ac:dyDescent="0.2">
      <c r="A2921" s="91">
        <v>45735</v>
      </c>
      <c r="B2921" s="43">
        <v>58596146</v>
      </c>
      <c r="C2921" s="20" t="s">
        <v>101</v>
      </c>
      <c r="D2921" s="18">
        <v>118558.03</v>
      </c>
      <c r="E2921" s="19"/>
      <c r="F2921" s="15">
        <f t="shared" si="45"/>
        <v>-118558.03</v>
      </c>
    </row>
    <row r="2922" spans="1:8" x14ac:dyDescent="0.2">
      <c r="A2922" s="91">
        <v>45771</v>
      </c>
      <c r="B2922" s="43">
        <v>26799698</v>
      </c>
      <c r="C2922" s="20" t="s">
        <v>101</v>
      </c>
      <c r="D2922" s="18">
        <v>51427.48</v>
      </c>
      <c r="E2922" s="19"/>
      <c r="F2922" s="15">
        <f t="shared" si="45"/>
        <v>-51427.48</v>
      </c>
    </row>
    <row r="2923" spans="1:8" x14ac:dyDescent="0.2">
      <c r="A2923" s="91">
        <v>45771</v>
      </c>
      <c r="B2923" s="43">
        <v>72182709</v>
      </c>
      <c r="C2923" s="20" t="s">
        <v>101</v>
      </c>
      <c r="D2923" s="18">
        <v>50072.02</v>
      </c>
      <c r="E2923" s="19"/>
      <c r="F2923" s="15">
        <f t="shared" si="45"/>
        <v>-50072.02</v>
      </c>
    </row>
    <row r="2924" spans="1:8" x14ac:dyDescent="0.2">
      <c r="A2924" s="91">
        <v>45826</v>
      </c>
      <c r="B2924" s="43">
        <v>98937793</v>
      </c>
      <c r="C2924" s="20" t="s">
        <v>101</v>
      </c>
      <c r="D2924" s="18">
        <v>173514.68</v>
      </c>
      <c r="E2924" s="19"/>
      <c r="F2924" s="15">
        <f t="shared" si="45"/>
        <v>-173514.68</v>
      </c>
    </row>
    <row r="2925" spans="1:8" x14ac:dyDescent="0.2">
      <c r="A2925" s="91">
        <v>45855</v>
      </c>
      <c r="B2925" s="43">
        <v>76992341</v>
      </c>
      <c r="C2925" s="20" t="s">
        <v>101</v>
      </c>
      <c r="D2925" s="18">
        <v>169949.33</v>
      </c>
      <c r="E2925" s="19"/>
      <c r="F2925" s="15">
        <f t="shared" si="45"/>
        <v>-169949.33</v>
      </c>
    </row>
    <row r="2926" spans="1:8" x14ac:dyDescent="0.2">
      <c r="A2926" s="91">
        <v>45889</v>
      </c>
      <c r="B2926" s="43">
        <v>25093633</v>
      </c>
      <c r="C2926" s="20" t="s">
        <v>101</v>
      </c>
      <c r="D2926" s="18">
        <v>176169.48</v>
      </c>
      <c r="E2926" s="19"/>
      <c r="F2926" s="15">
        <f t="shared" si="45"/>
        <v>-176169.48</v>
      </c>
    </row>
    <row r="2927" spans="1:8" x14ac:dyDescent="0.2">
      <c r="A2927" s="91">
        <v>45554</v>
      </c>
      <c r="B2927" s="16">
        <v>41955022</v>
      </c>
      <c r="C2927" s="20" t="s">
        <v>70</v>
      </c>
      <c r="D2927" s="18">
        <v>20846.12</v>
      </c>
      <c r="E2927" s="19"/>
      <c r="F2927" s="15">
        <f t="shared" si="45"/>
        <v>-20846.12</v>
      </c>
      <c r="H2927" s="10"/>
    </row>
    <row r="2928" spans="1:8" x14ac:dyDescent="0.2">
      <c r="A2928" s="91">
        <v>45581</v>
      </c>
      <c r="B2928" s="43">
        <v>64104190</v>
      </c>
      <c r="C2928" s="20" t="s">
        <v>70</v>
      </c>
      <c r="D2928" s="18">
        <v>19869.75</v>
      </c>
      <c r="E2928" s="19"/>
      <c r="F2928" s="15">
        <f t="shared" si="45"/>
        <v>-19869.75</v>
      </c>
    </row>
    <row r="2929" spans="1:6" x14ac:dyDescent="0.2">
      <c r="A2929" s="91">
        <v>45611</v>
      </c>
      <c r="B2929" s="43">
        <v>82391499</v>
      </c>
      <c r="C2929" s="20" t="s">
        <v>70</v>
      </c>
      <c r="D2929" s="18">
        <v>21352.23</v>
      </c>
      <c r="E2929" s="19"/>
      <c r="F2929" s="15">
        <f t="shared" si="45"/>
        <v>-21352.23</v>
      </c>
    </row>
    <row r="2930" spans="1:6" x14ac:dyDescent="0.2">
      <c r="A2930" s="91">
        <v>45642</v>
      </c>
      <c r="B2930" s="43">
        <v>67290943</v>
      </c>
      <c r="C2930" s="20" t="s">
        <v>70</v>
      </c>
      <c r="D2930" s="18">
        <v>22540.400000000001</v>
      </c>
      <c r="E2930" s="19"/>
      <c r="F2930" s="15">
        <f t="shared" si="45"/>
        <v>-22540.400000000001</v>
      </c>
    </row>
    <row r="2931" spans="1:6" x14ac:dyDescent="0.2">
      <c r="A2931" s="91">
        <v>45677</v>
      </c>
      <c r="B2931" s="43">
        <v>1626652</v>
      </c>
      <c r="C2931" s="20" t="s">
        <v>70</v>
      </c>
      <c r="D2931" s="18">
        <v>22100.5</v>
      </c>
      <c r="E2931" s="19"/>
      <c r="F2931" s="15">
        <f t="shared" si="45"/>
        <v>-22100.5</v>
      </c>
    </row>
    <row r="2932" spans="1:6" x14ac:dyDescent="0.2">
      <c r="A2932" s="91">
        <v>45705</v>
      </c>
      <c r="B2932" s="43">
        <v>44594260</v>
      </c>
      <c r="C2932" s="20" t="s">
        <v>70</v>
      </c>
      <c r="D2932" s="18">
        <v>21791.82</v>
      </c>
      <c r="E2932" s="19"/>
      <c r="F2932" s="15">
        <f t="shared" si="45"/>
        <v>-21791.82</v>
      </c>
    </row>
    <row r="2933" spans="1:6" x14ac:dyDescent="0.2">
      <c r="A2933" s="91">
        <v>45735</v>
      </c>
      <c r="B2933" s="43">
        <v>61162661</v>
      </c>
      <c r="C2933" s="20" t="s">
        <v>70</v>
      </c>
      <c r="D2933" s="18">
        <v>22782.09</v>
      </c>
      <c r="E2933" s="19"/>
      <c r="F2933" s="15">
        <f t="shared" si="45"/>
        <v>-22782.09</v>
      </c>
    </row>
    <row r="2934" spans="1:6" x14ac:dyDescent="0.2">
      <c r="A2934" s="91">
        <v>45771</v>
      </c>
      <c r="B2934" s="43">
        <v>73107273</v>
      </c>
      <c r="C2934" s="20" t="s">
        <v>70</v>
      </c>
      <c r="D2934" s="18">
        <v>22605.07</v>
      </c>
      <c r="E2934" s="19"/>
      <c r="F2934" s="15">
        <f t="shared" si="45"/>
        <v>-22605.07</v>
      </c>
    </row>
    <row r="2935" spans="1:6" x14ac:dyDescent="0.2">
      <c r="A2935" s="91">
        <v>45797</v>
      </c>
      <c r="B2935" s="43">
        <v>78751270</v>
      </c>
      <c r="C2935" s="20" t="s">
        <v>70</v>
      </c>
      <c r="D2935" s="18">
        <v>22323.01</v>
      </c>
      <c r="E2935" s="19"/>
      <c r="F2935" s="15">
        <f t="shared" si="45"/>
        <v>-22323.01</v>
      </c>
    </row>
    <row r="2936" spans="1:6" x14ac:dyDescent="0.2">
      <c r="A2936" s="91">
        <v>45826</v>
      </c>
      <c r="B2936" s="46">
        <v>36450898</v>
      </c>
      <c r="C2936" s="9" t="s">
        <v>70</v>
      </c>
      <c r="D2936" s="48">
        <v>22674</v>
      </c>
      <c r="E2936" s="49"/>
      <c r="F2936" s="15">
        <f t="shared" si="45"/>
        <v>-22674</v>
      </c>
    </row>
    <row r="2937" spans="1:6" x14ac:dyDescent="0.2">
      <c r="A2937" s="91">
        <v>45855</v>
      </c>
      <c r="B2937" s="44">
        <v>80253022</v>
      </c>
      <c r="C2937" s="28" t="s">
        <v>70</v>
      </c>
      <c r="D2937" s="23">
        <v>23347.040000000001</v>
      </c>
      <c r="E2937" s="24"/>
      <c r="F2937" s="15">
        <f t="shared" si="45"/>
        <v>-23347.040000000001</v>
      </c>
    </row>
    <row r="2938" spans="1:6" x14ac:dyDescent="0.2">
      <c r="A2938" s="91">
        <v>45889</v>
      </c>
      <c r="B2938" s="43">
        <v>28025810</v>
      </c>
      <c r="C2938" s="20" t="s">
        <v>70</v>
      </c>
      <c r="D2938" s="18">
        <v>23552.3</v>
      </c>
      <c r="E2938" s="19"/>
      <c r="F2938" s="15">
        <f t="shared" si="45"/>
        <v>-23552.3</v>
      </c>
    </row>
    <row r="2939" spans="1:6" x14ac:dyDescent="0.2">
      <c r="A2939" s="91">
        <v>45616</v>
      </c>
      <c r="B2939" s="43">
        <v>35343034</v>
      </c>
      <c r="C2939" s="20" t="s">
        <v>177</v>
      </c>
      <c r="D2939" s="18">
        <v>2059560.62</v>
      </c>
      <c r="E2939" s="19"/>
      <c r="F2939" s="15">
        <f t="shared" si="45"/>
        <v>-2059560.62</v>
      </c>
    </row>
    <row r="2940" spans="1:6" x14ac:dyDescent="0.2">
      <c r="A2940" s="91">
        <v>45652</v>
      </c>
      <c r="B2940" s="43">
        <v>40472781</v>
      </c>
      <c r="C2940" s="20" t="s">
        <v>177</v>
      </c>
      <c r="D2940" s="18">
        <v>2223593.9700000002</v>
      </c>
      <c r="E2940" s="19"/>
      <c r="F2940" s="15">
        <f t="shared" si="45"/>
        <v>-2223593.9700000002</v>
      </c>
    </row>
    <row r="2941" spans="1:6" x14ac:dyDescent="0.2">
      <c r="A2941" s="91">
        <v>45684</v>
      </c>
      <c r="B2941" s="43">
        <v>39804179</v>
      </c>
      <c r="C2941" s="20" t="s">
        <v>177</v>
      </c>
      <c r="D2941" s="18">
        <v>68068.13</v>
      </c>
      <c r="E2941" s="19"/>
      <c r="F2941" s="15">
        <f t="shared" si="45"/>
        <v>-68068.13</v>
      </c>
    </row>
    <row r="2942" spans="1:6" x14ac:dyDescent="0.2">
      <c r="A2942" s="91">
        <v>45684</v>
      </c>
      <c r="B2942" s="43">
        <v>40953342</v>
      </c>
      <c r="C2942" s="20" t="s">
        <v>177</v>
      </c>
      <c r="D2942" s="18">
        <v>1996440.89</v>
      </c>
      <c r="E2942" s="19"/>
      <c r="F2942" s="15">
        <f t="shared" si="45"/>
        <v>-1996440.89</v>
      </c>
    </row>
    <row r="2943" spans="1:6" x14ac:dyDescent="0.2">
      <c r="A2943" s="91">
        <v>45705</v>
      </c>
      <c r="B2943" s="43">
        <v>79515234</v>
      </c>
      <c r="C2943" s="20" t="s">
        <v>177</v>
      </c>
      <c r="D2943" s="18">
        <v>2114334.2599999998</v>
      </c>
      <c r="E2943" s="19"/>
      <c r="F2943" s="15">
        <f t="shared" si="45"/>
        <v>-2114334.2599999998</v>
      </c>
    </row>
    <row r="2944" spans="1:6" x14ac:dyDescent="0.2">
      <c r="A2944" s="91">
        <v>45735</v>
      </c>
      <c r="B2944" s="43">
        <v>55252915</v>
      </c>
      <c r="C2944" s="20" t="s">
        <v>177</v>
      </c>
      <c r="D2944" s="18">
        <v>2021665.98</v>
      </c>
      <c r="E2944" s="19"/>
      <c r="F2944" s="15">
        <f t="shared" si="45"/>
        <v>-2021665.98</v>
      </c>
    </row>
    <row r="2945" spans="1:8" x14ac:dyDescent="0.2">
      <c r="A2945" s="91">
        <v>45771</v>
      </c>
      <c r="B2945" s="43">
        <v>44588319</v>
      </c>
      <c r="C2945" s="20" t="s">
        <v>177</v>
      </c>
      <c r="D2945" s="18">
        <v>2064398.88</v>
      </c>
      <c r="E2945" s="19"/>
      <c r="F2945" s="15">
        <f t="shared" si="45"/>
        <v>-2064398.88</v>
      </c>
    </row>
    <row r="2946" spans="1:8" x14ac:dyDescent="0.2">
      <c r="A2946" s="91">
        <v>45771</v>
      </c>
      <c r="B2946" s="43">
        <v>45471033</v>
      </c>
      <c r="C2946" s="20" t="s">
        <v>177</v>
      </c>
      <c r="D2946" s="18">
        <v>75054.78</v>
      </c>
      <c r="E2946" s="19"/>
      <c r="F2946" s="15">
        <f t="shared" si="45"/>
        <v>-75054.78</v>
      </c>
    </row>
    <row r="2947" spans="1:8" x14ac:dyDescent="0.2">
      <c r="A2947" s="91">
        <v>45797</v>
      </c>
      <c r="B2947" s="43">
        <v>5938285</v>
      </c>
      <c r="C2947" s="20" t="s">
        <v>177</v>
      </c>
      <c r="D2947" s="18">
        <v>2189864.67</v>
      </c>
      <c r="E2947" s="19"/>
      <c r="F2947" s="15">
        <f t="shared" ref="F2947:F3010" si="46">+E2947-D2947</f>
        <v>-2189864.67</v>
      </c>
    </row>
    <row r="2948" spans="1:8" x14ac:dyDescent="0.2">
      <c r="A2948" s="91">
        <v>45826</v>
      </c>
      <c r="B2948" s="43">
        <v>95427063</v>
      </c>
      <c r="C2948" s="20" t="s">
        <v>177</v>
      </c>
      <c r="D2948" s="18">
        <v>2073078.07</v>
      </c>
      <c r="E2948" s="19"/>
      <c r="F2948" s="15">
        <f t="shared" si="46"/>
        <v>-2073078.07</v>
      </c>
    </row>
    <row r="2949" spans="1:8" x14ac:dyDescent="0.2">
      <c r="A2949" s="91">
        <v>45855</v>
      </c>
      <c r="B2949" s="43">
        <v>78676132</v>
      </c>
      <c r="C2949" s="20" t="s">
        <v>177</v>
      </c>
      <c r="D2949" s="18">
        <v>79900.399999999994</v>
      </c>
      <c r="E2949" s="19"/>
      <c r="F2949" s="15">
        <f t="shared" si="46"/>
        <v>-79900.399999999994</v>
      </c>
    </row>
    <row r="2950" spans="1:8" x14ac:dyDescent="0.2">
      <c r="A2950" s="91">
        <v>45855</v>
      </c>
      <c r="B2950" s="43">
        <v>79460386</v>
      </c>
      <c r="C2950" s="20" t="s">
        <v>177</v>
      </c>
      <c r="D2950" s="18">
        <v>2835143.1</v>
      </c>
      <c r="E2950" s="19"/>
      <c r="F2950" s="15">
        <f t="shared" si="46"/>
        <v>-2835143.1</v>
      </c>
    </row>
    <row r="2951" spans="1:8" x14ac:dyDescent="0.2">
      <c r="A2951" s="91">
        <v>45889</v>
      </c>
      <c r="B2951" s="43">
        <v>9192962</v>
      </c>
      <c r="C2951" s="20" t="s">
        <v>177</v>
      </c>
      <c r="D2951" s="18">
        <v>2681645.7000000002</v>
      </c>
      <c r="E2951" s="19"/>
      <c r="F2951" s="15">
        <f t="shared" si="46"/>
        <v>-2681645.7000000002</v>
      </c>
    </row>
    <row r="2952" spans="1:8" x14ac:dyDescent="0.2">
      <c r="A2952" s="91">
        <v>45554</v>
      </c>
      <c r="B2952" s="16">
        <v>17387334</v>
      </c>
      <c r="C2952" s="20" t="s">
        <v>62</v>
      </c>
      <c r="D2952" s="18">
        <v>4600.32</v>
      </c>
      <c r="E2952" s="19"/>
      <c r="F2952" s="15">
        <f t="shared" si="46"/>
        <v>-4600.32</v>
      </c>
      <c r="H2952" s="10"/>
    </row>
    <row r="2953" spans="1:8" x14ac:dyDescent="0.2">
      <c r="A2953" s="91">
        <v>45581</v>
      </c>
      <c r="B2953" s="43">
        <v>54587026</v>
      </c>
      <c r="C2953" s="20" t="s">
        <v>62</v>
      </c>
      <c r="D2953" s="18">
        <v>5037.0200000000004</v>
      </c>
      <c r="E2953" s="19"/>
      <c r="F2953" s="15">
        <f t="shared" si="46"/>
        <v>-5037.0200000000004</v>
      </c>
    </row>
    <row r="2954" spans="1:8" x14ac:dyDescent="0.2">
      <c r="A2954" s="91">
        <v>45611</v>
      </c>
      <c r="B2954" s="43">
        <v>86975738</v>
      </c>
      <c r="C2954" s="20" t="s">
        <v>62</v>
      </c>
      <c r="D2954" s="18">
        <v>4116.2700000000004</v>
      </c>
      <c r="E2954" s="19"/>
      <c r="F2954" s="15">
        <f t="shared" si="46"/>
        <v>-4116.2700000000004</v>
      </c>
    </row>
    <row r="2955" spans="1:8" x14ac:dyDescent="0.2">
      <c r="A2955" s="91">
        <v>45642</v>
      </c>
      <c r="B2955" s="43">
        <v>66073065</v>
      </c>
      <c r="C2955" s="20" t="s">
        <v>62</v>
      </c>
      <c r="D2955" s="18">
        <v>5432.11</v>
      </c>
      <c r="E2955" s="19"/>
      <c r="F2955" s="15">
        <f t="shared" si="46"/>
        <v>-5432.11</v>
      </c>
    </row>
    <row r="2956" spans="1:8" x14ac:dyDescent="0.2">
      <c r="A2956" s="91">
        <v>45677</v>
      </c>
      <c r="B2956" s="43">
        <v>79860900</v>
      </c>
      <c r="C2956" s="20" t="s">
        <v>62</v>
      </c>
      <c r="D2956" s="18">
        <v>1163.8800000000001</v>
      </c>
      <c r="E2956" s="19"/>
      <c r="F2956" s="15">
        <f t="shared" si="46"/>
        <v>-1163.8800000000001</v>
      </c>
    </row>
    <row r="2957" spans="1:8" x14ac:dyDescent="0.2">
      <c r="A2957" s="91">
        <v>45705</v>
      </c>
      <c r="B2957" s="43">
        <v>45495684</v>
      </c>
      <c r="C2957" s="20" t="s">
        <v>62</v>
      </c>
      <c r="D2957" s="18">
        <v>4572.3500000000004</v>
      </c>
      <c r="E2957" s="19"/>
      <c r="F2957" s="15">
        <f t="shared" si="46"/>
        <v>-4572.3500000000004</v>
      </c>
    </row>
    <row r="2958" spans="1:8" x14ac:dyDescent="0.2">
      <c r="A2958" s="91">
        <v>45735</v>
      </c>
      <c r="B2958" s="43">
        <v>36912673</v>
      </c>
      <c r="C2958" s="20" t="s">
        <v>62</v>
      </c>
      <c r="D2958" s="18">
        <v>5805.36</v>
      </c>
      <c r="E2958" s="19"/>
      <c r="F2958" s="15">
        <f t="shared" si="46"/>
        <v>-5805.36</v>
      </c>
    </row>
    <row r="2959" spans="1:8" x14ac:dyDescent="0.2">
      <c r="A2959" s="91">
        <v>45797</v>
      </c>
      <c r="B2959" s="43">
        <v>79683669</v>
      </c>
      <c r="C2959" s="20" t="s">
        <v>62</v>
      </c>
      <c r="D2959" s="18">
        <v>11871.6</v>
      </c>
      <c r="E2959" s="19"/>
      <c r="F2959" s="15">
        <f t="shared" si="46"/>
        <v>-11871.6</v>
      </c>
    </row>
    <row r="2960" spans="1:8" x14ac:dyDescent="0.2">
      <c r="A2960" s="91">
        <v>45826</v>
      </c>
      <c r="B2960" s="43">
        <v>37479173</v>
      </c>
      <c r="C2960" s="20" t="s">
        <v>62</v>
      </c>
      <c r="D2960" s="18">
        <v>5275.8</v>
      </c>
      <c r="E2960" s="19"/>
      <c r="F2960" s="15">
        <f t="shared" si="46"/>
        <v>-5275.8</v>
      </c>
    </row>
    <row r="2961" spans="1:8" x14ac:dyDescent="0.2">
      <c r="A2961" s="91">
        <v>45855</v>
      </c>
      <c r="B2961" s="46">
        <v>59352504</v>
      </c>
      <c r="C2961" s="9" t="s">
        <v>62</v>
      </c>
      <c r="D2961" s="48">
        <v>6414.42</v>
      </c>
      <c r="E2961" s="62"/>
      <c r="F2961" s="15">
        <f t="shared" si="46"/>
        <v>-6414.42</v>
      </c>
    </row>
    <row r="2962" spans="1:8" x14ac:dyDescent="0.2">
      <c r="A2962" s="91">
        <v>45554</v>
      </c>
      <c r="B2962" s="21">
        <v>18431787</v>
      </c>
      <c r="C2962" s="28" t="s">
        <v>63</v>
      </c>
      <c r="D2962" s="23">
        <v>17653.82</v>
      </c>
      <c r="E2962" s="30"/>
      <c r="F2962" s="15">
        <f t="shared" si="46"/>
        <v>-17653.82</v>
      </c>
      <c r="H2962" s="10"/>
    </row>
    <row r="2963" spans="1:8" x14ac:dyDescent="0.2">
      <c r="A2963" s="91">
        <v>45652</v>
      </c>
      <c r="B2963" s="43">
        <v>39345647</v>
      </c>
      <c r="C2963" s="20" t="s">
        <v>63</v>
      </c>
      <c r="D2963" s="18">
        <v>24373.59</v>
      </c>
      <c r="E2963" s="19"/>
      <c r="F2963" s="15">
        <f t="shared" si="46"/>
        <v>-24373.59</v>
      </c>
    </row>
    <row r="2964" spans="1:8" x14ac:dyDescent="0.2">
      <c r="A2964" s="91">
        <v>45677</v>
      </c>
      <c r="B2964" s="43">
        <v>79755657</v>
      </c>
      <c r="C2964" s="20" t="s">
        <v>63</v>
      </c>
      <c r="D2964" s="18">
        <v>20772.169999999998</v>
      </c>
      <c r="E2964" s="19"/>
      <c r="F2964" s="15">
        <f t="shared" si="46"/>
        <v>-20772.169999999998</v>
      </c>
    </row>
    <row r="2965" spans="1:8" x14ac:dyDescent="0.2">
      <c r="A2965" s="91">
        <v>45707</v>
      </c>
      <c r="B2965" s="43">
        <v>68611037</v>
      </c>
      <c r="C2965" s="20" t="s">
        <v>63</v>
      </c>
      <c r="D2965" s="18">
        <v>20532.43</v>
      </c>
      <c r="E2965" s="19"/>
      <c r="F2965" s="15">
        <f t="shared" si="46"/>
        <v>-20532.43</v>
      </c>
    </row>
    <row r="2966" spans="1:8" x14ac:dyDescent="0.2">
      <c r="A2966" s="91">
        <v>45735</v>
      </c>
      <c r="B2966" s="43">
        <v>34333019</v>
      </c>
      <c r="C2966" s="20" t="s">
        <v>63</v>
      </c>
      <c r="D2966" s="18">
        <v>22230.47</v>
      </c>
      <c r="E2966" s="19"/>
      <c r="F2966" s="15">
        <f t="shared" si="46"/>
        <v>-22230.47</v>
      </c>
    </row>
    <row r="2967" spans="1:8" x14ac:dyDescent="0.2">
      <c r="A2967" s="91">
        <v>45838</v>
      </c>
      <c r="B2967" s="43">
        <v>92426781</v>
      </c>
      <c r="C2967" s="20" t="s">
        <v>63</v>
      </c>
      <c r="D2967" s="18">
        <v>23313.08</v>
      </c>
      <c r="E2967" s="19"/>
      <c r="F2967" s="15">
        <f t="shared" si="46"/>
        <v>-23313.08</v>
      </c>
    </row>
    <row r="2968" spans="1:8" x14ac:dyDescent="0.2">
      <c r="A2968" s="91">
        <v>45889</v>
      </c>
      <c r="B2968" s="43">
        <v>72931876</v>
      </c>
      <c r="C2968" s="20" t="s">
        <v>63</v>
      </c>
      <c r="D2968" s="18">
        <v>24530.11</v>
      </c>
      <c r="E2968" s="19"/>
      <c r="F2968" s="15">
        <f t="shared" si="46"/>
        <v>-24530.11</v>
      </c>
    </row>
    <row r="2969" spans="1:8" x14ac:dyDescent="0.2">
      <c r="A2969" s="91">
        <v>45566</v>
      </c>
      <c r="B2969" s="43">
        <v>6517676</v>
      </c>
      <c r="C2969" s="20" t="s">
        <v>100</v>
      </c>
      <c r="D2969" s="18">
        <v>151212.37</v>
      </c>
      <c r="E2969" s="19"/>
      <c r="F2969" s="15">
        <f t="shared" si="46"/>
        <v>-151212.37</v>
      </c>
    </row>
    <row r="2970" spans="1:8" x14ac:dyDescent="0.2">
      <c r="A2970" s="91">
        <v>45652</v>
      </c>
      <c r="B2970" s="43">
        <v>41715832</v>
      </c>
      <c r="C2970" s="20" t="s">
        <v>100</v>
      </c>
      <c r="D2970" s="18">
        <v>210170.07</v>
      </c>
      <c r="E2970" s="19"/>
      <c r="F2970" s="15">
        <f t="shared" si="46"/>
        <v>-210170.07</v>
      </c>
    </row>
    <row r="2971" spans="1:8" x14ac:dyDescent="0.2">
      <c r="A2971" s="91">
        <v>45677</v>
      </c>
      <c r="B2971" s="43">
        <v>84565125</v>
      </c>
      <c r="C2971" s="20" t="s">
        <v>100</v>
      </c>
      <c r="D2971" s="18">
        <v>286981.71999999997</v>
      </c>
      <c r="E2971" s="19"/>
      <c r="F2971" s="15">
        <f t="shared" si="46"/>
        <v>-286981.71999999997</v>
      </c>
    </row>
    <row r="2972" spans="1:8" x14ac:dyDescent="0.2">
      <c r="A2972" s="91">
        <v>45707</v>
      </c>
      <c r="B2972" s="43">
        <v>71325150</v>
      </c>
      <c r="C2972" s="20" t="s">
        <v>100</v>
      </c>
      <c r="D2972" s="18">
        <v>296249.96999999997</v>
      </c>
      <c r="E2972" s="19"/>
      <c r="F2972" s="15">
        <f t="shared" si="46"/>
        <v>-296249.96999999997</v>
      </c>
    </row>
    <row r="2973" spans="1:8" x14ac:dyDescent="0.2">
      <c r="A2973" s="91">
        <v>45771</v>
      </c>
      <c r="B2973" s="43">
        <v>75031095</v>
      </c>
      <c r="C2973" s="20" t="s">
        <v>100</v>
      </c>
      <c r="D2973" s="18">
        <v>930250.67</v>
      </c>
      <c r="E2973" s="19"/>
      <c r="F2973" s="15">
        <f t="shared" si="46"/>
        <v>-930250.67</v>
      </c>
    </row>
    <row r="2974" spans="1:8" x14ac:dyDescent="0.2">
      <c r="A2974" s="91">
        <v>45838</v>
      </c>
      <c r="B2974" s="43">
        <v>93664239</v>
      </c>
      <c r="C2974" s="20" t="s">
        <v>100</v>
      </c>
      <c r="D2974" s="18">
        <v>581534.35</v>
      </c>
      <c r="E2974" s="19"/>
      <c r="F2974" s="15">
        <f t="shared" si="46"/>
        <v>-581534.35</v>
      </c>
    </row>
    <row r="2975" spans="1:8" x14ac:dyDescent="0.2">
      <c r="A2975" s="91">
        <v>45863</v>
      </c>
      <c r="B2975" s="43">
        <v>3768228</v>
      </c>
      <c r="C2975" s="20" t="s">
        <v>100</v>
      </c>
      <c r="D2975" s="18">
        <v>459794.51</v>
      </c>
      <c r="E2975" s="19"/>
      <c r="F2975" s="15">
        <f t="shared" si="46"/>
        <v>-459794.51</v>
      </c>
    </row>
    <row r="2976" spans="1:8" x14ac:dyDescent="0.2">
      <c r="A2976" s="91">
        <v>45889</v>
      </c>
      <c r="B2976" s="43">
        <v>10144597</v>
      </c>
      <c r="C2976" s="20" t="s">
        <v>100</v>
      </c>
      <c r="D2976" s="18">
        <v>480969.3</v>
      </c>
      <c r="E2976" s="19"/>
      <c r="F2976" s="15">
        <f t="shared" si="46"/>
        <v>-480969.3</v>
      </c>
    </row>
    <row r="2977" spans="1:8" x14ac:dyDescent="0.2">
      <c r="A2977" s="91">
        <v>45652</v>
      </c>
      <c r="B2977" s="43">
        <v>38207797</v>
      </c>
      <c r="C2977" s="20" t="s">
        <v>222</v>
      </c>
      <c r="D2977" s="18">
        <v>329456.48</v>
      </c>
      <c r="E2977" s="19"/>
      <c r="F2977" s="15">
        <f t="shared" si="46"/>
        <v>-329456.48</v>
      </c>
    </row>
    <row r="2978" spans="1:8" x14ac:dyDescent="0.2">
      <c r="A2978" s="91">
        <v>45677</v>
      </c>
      <c r="B2978" s="43">
        <v>3734407</v>
      </c>
      <c r="C2978" s="20" t="s">
        <v>222</v>
      </c>
      <c r="D2978" s="18">
        <v>237131.85</v>
      </c>
      <c r="E2978" s="19"/>
      <c r="F2978" s="15">
        <f t="shared" si="46"/>
        <v>-237131.85</v>
      </c>
    </row>
    <row r="2979" spans="1:8" x14ac:dyDescent="0.2">
      <c r="A2979" s="91">
        <v>45707</v>
      </c>
      <c r="B2979" s="43">
        <v>67636009</v>
      </c>
      <c r="C2979" s="20" t="s">
        <v>222</v>
      </c>
      <c r="D2979" s="18">
        <v>242009.98</v>
      </c>
      <c r="E2979" s="19"/>
      <c r="F2979" s="15">
        <f t="shared" si="46"/>
        <v>-242009.98</v>
      </c>
    </row>
    <row r="2980" spans="1:8" x14ac:dyDescent="0.2">
      <c r="A2980" s="91">
        <v>45735</v>
      </c>
      <c r="B2980" s="43">
        <v>35517387</v>
      </c>
      <c r="C2980" s="20" t="s">
        <v>222</v>
      </c>
      <c r="D2980" s="18">
        <v>349344.42</v>
      </c>
      <c r="E2980" s="19"/>
      <c r="F2980" s="15">
        <f t="shared" si="46"/>
        <v>-349344.42</v>
      </c>
    </row>
    <row r="2981" spans="1:8" x14ac:dyDescent="0.2">
      <c r="A2981" s="91">
        <v>45771</v>
      </c>
      <c r="B2981" s="43">
        <v>23130534</v>
      </c>
      <c r="C2981" s="20" t="s">
        <v>222</v>
      </c>
      <c r="D2981" s="18">
        <v>369604.7</v>
      </c>
      <c r="E2981" s="19"/>
      <c r="F2981" s="15">
        <f t="shared" si="46"/>
        <v>-369604.7</v>
      </c>
    </row>
    <row r="2982" spans="1:8" x14ac:dyDescent="0.2">
      <c r="A2982" s="91">
        <v>45838</v>
      </c>
      <c r="B2982" s="43">
        <v>93119827</v>
      </c>
      <c r="C2982" s="20" t="s">
        <v>222</v>
      </c>
      <c r="D2982" s="18">
        <v>352532.82</v>
      </c>
      <c r="E2982" s="19"/>
      <c r="F2982" s="15">
        <f t="shared" si="46"/>
        <v>-352532.82</v>
      </c>
    </row>
    <row r="2983" spans="1:8" x14ac:dyDescent="0.2">
      <c r="A2983" s="91">
        <v>45863</v>
      </c>
      <c r="B2983" s="43">
        <v>2603286</v>
      </c>
      <c r="C2983" s="20" t="s">
        <v>222</v>
      </c>
      <c r="D2983" s="18">
        <v>555997.12</v>
      </c>
      <c r="E2983" s="19"/>
      <c r="F2983" s="15">
        <f t="shared" si="46"/>
        <v>-555997.12</v>
      </c>
    </row>
    <row r="2984" spans="1:8" x14ac:dyDescent="0.2">
      <c r="A2984" s="91">
        <v>45889</v>
      </c>
      <c r="B2984" s="43">
        <v>73935758</v>
      </c>
      <c r="C2984" s="20" t="s">
        <v>222</v>
      </c>
      <c r="D2984" s="18">
        <v>575641.56000000006</v>
      </c>
      <c r="E2984" s="19"/>
      <c r="F2984" s="15">
        <f t="shared" si="46"/>
        <v>-575641.56000000006</v>
      </c>
    </row>
    <row r="2985" spans="1:8" x14ac:dyDescent="0.2">
      <c r="A2985" s="91">
        <v>45554</v>
      </c>
      <c r="B2985" s="16">
        <v>19562037</v>
      </c>
      <c r="C2985" s="20" t="s">
        <v>64</v>
      </c>
      <c r="D2985" s="18">
        <v>353727.04</v>
      </c>
      <c r="E2985" s="19"/>
      <c r="F2985" s="15">
        <f t="shared" si="46"/>
        <v>-353727.04</v>
      </c>
      <c r="H2985" s="10"/>
    </row>
    <row r="2986" spans="1:8" x14ac:dyDescent="0.2">
      <c r="A2986" s="91">
        <v>45581</v>
      </c>
      <c r="B2986" s="46">
        <v>22120567</v>
      </c>
      <c r="C2986" s="9" t="s">
        <v>64</v>
      </c>
      <c r="D2986" s="48">
        <v>287906.45</v>
      </c>
      <c r="E2986" s="49"/>
      <c r="F2986" s="15">
        <f t="shared" si="46"/>
        <v>-287906.45</v>
      </c>
    </row>
    <row r="2987" spans="1:8" x14ac:dyDescent="0.2">
      <c r="A2987" s="91">
        <v>45611</v>
      </c>
      <c r="B2987" s="44">
        <v>88071411</v>
      </c>
      <c r="C2987" s="28" t="s">
        <v>64</v>
      </c>
      <c r="D2987" s="23">
        <v>179066.18</v>
      </c>
      <c r="E2987" s="24"/>
      <c r="F2987" s="15">
        <f t="shared" si="46"/>
        <v>-179066.18</v>
      </c>
    </row>
    <row r="2988" spans="1:8" x14ac:dyDescent="0.2">
      <c r="A2988" s="91">
        <v>45642</v>
      </c>
      <c r="B2988" s="43">
        <v>37582548</v>
      </c>
      <c r="C2988" s="20" t="s">
        <v>64</v>
      </c>
      <c r="D2988" s="18">
        <v>152404.17000000001</v>
      </c>
      <c r="E2988" s="19"/>
      <c r="F2988" s="15">
        <f t="shared" si="46"/>
        <v>-152404.17000000001</v>
      </c>
    </row>
    <row r="2989" spans="1:8" x14ac:dyDescent="0.2">
      <c r="A2989" s="91">
        <v>45677</v>
      </c>
      <c r="B2989" s="43">
        <v>74422530</v>
      </c>
      <c r="C2989" s="20" t="s">
        <v>64</v>
      </c>
      <c r="D2989" s="18">
        <v>187824.13</v>
      </c>
      <c r="E2989" s="19"/>
      <c r="F2989" s="15">
        <f t="shared" si="46"/>
        <v>-187824.13</v>
      </c>
    </row>
    <row r="2990" spans="1:8" x14ac:dyDescent="0.2">
      <c r="A2990" s="91">
        <v>45771</v>
      </c>
      <c r="B2990" s="43">
        <v>46422662</v>
      </c>
      <c r="C2990" s="20" t="s">
        <v>64</v>
      </c>
      <c r="D2990" s="18">
        <v>144278.14000000001</v>
      </c>
      <c r="E2990" s="19"/>
      <c r="F2990" s="15">
        <f t="shared" si="46"/>
        <v>-144278.14000000001</v>
      </c>
    </row>
    <row r="2991" spans="1:8" x14ac:dyDescent="0.2">
      <c r="A2991" s="91">
        <v>45797</v>
      </c>
      <c r="B2991" s="43">
        <v>50177641</v>
      </c>
      <c r="C2991" s="20" t="s">
        <v>64</v>
      </c>
      <c r="D2991" s="18">
        <v>274162.71999999997</v>
      </c>
      <c r="E2991" s="19"/>
      <c r="F2991" s="15">
        <f t="shared" si="46"/>
        <v>-274162.71999999997</v>
      </c>
    </row>
    <row r="2992" spans="1:8" x14ac:dyDescent="0.2">
      <c r="A2992" s="91">
        <v>45855</v>
      </c>
      <c r="B2992" s="43">
        <v>34184283</v>
      </c>
      <c r="C2992" s="20" t="s">
        <v>64</v>
      </c>
      <c r="D2992" s="18">
        <v>355119.92</v>
      </c>
      <c r="E2992" s="19"/>
      <c r="F2992" s="15">
        <f t="shared" si="46"/>
        <v>-355119.92</v>
      </c>
    </row>
    <row r="2993" spans="1:8" x14ac:dyDescent="0.2">
      <c r="A2993" s="91">
        <v>45855</v>
      </c>
      <c r="B2993" s="43">
        <v>60122745</v>
      </c>
      <c r="C2993" s="20" t="s">
        <v>64</v>
      </c>
      <c r="D2993" s="18">
        <v>313462.67</v>
      </c>
      <c r="E2993" s="19"/>
      <c r="F2993" s="15">
        <f t="shared" si="46"/>
        <v>-313462.67</v>
      </c>
    </row>
    <row r="2994" spans="1:8" x14ac:dyDescent="0.2">
      <c r="A2994" s="91">
        <v>45889</v>
      </c>
      <c r="B2994" s="43">
        <v>5630406</v>
      </c>
      <c r="C2994" s="20" t="s">
        <v>64</v>
      </c>
      <c r="D2994" s="18">
        <v>371400.55</v>
      </c>
      <c r="E2994" s="19"/>
      <c r="F2994" s="15">
        <f t="shared" si="46"/>
        <v>-371400.55</v>
      </c>
    </row>
    <row r="2995" spans="1:8" x14ac:dyDescent="0.2">
      <c r="A2995" s="91">
        <v>45554</v>
      </c>
      <c r="B2995" s="16">
        <v>22849407</v>
      </c>
      <c r="C2995" s="20" t="s">
        <v>67</v>
      </c>
      <c r="D2995" s="18">
        <v>24667.1</v>
      </c>
      <c r="E2995" s="19"/>
      <c r="F2995" s="15">
        <f t="shared" si="46"/>
        <v>-24667.1</v>
      </c>
      <c r="H2995" s="10"/>
    </row>
    <row r="2996" spans="1:8" x14ac:dyDescent="0.2">
      <c r="A2996" s="91">
        <v>45581</v>
      </c>
      <c r="B2996" s="43">
        <v>55616741</v>
      </c>
      <c r="C2996" s="20" t="s">
        <v>67</v>
      </c>
      <c r="D2996" s="18">
        <v>21249.17</v>
      </c>
      <c r="E2996" s="19"/>
      <c r="F2996" s="15">
        <f t="shared" si="46"/>
        <v>-21249.17</v>
      </c>
    </row>
    <row r="2997" spans="1:8" x14ac:dyDescent="0.2">
      <c r="A2997" s="91">
        <v>45611</v>
      </c>
      <c r="B2997" s="43">
        <v>15379470</v>
      </c>
      <c r="C2997" s="20" t="s">
        <v>67</v>
      </c>
      <c r="D2997" s="18">
        <v>23021.95</v>
      </c>
      <c r="E2997" s="19"/>
      <c r="F2997" s="15">
        <f t="shared" si="46"/>
        <v>-23021.95</v>
      </c>
    </row>
    <row r="2998" spans="1:8" x14ac:dyDescent="0.2">
      <c r="A2998" s="91">
        <v>45642</v>
      </c>
      <c r="B2998" s="43">
        <v>68617807</v>
      </c>
      <c r="C2998" s="20" t="s">
        <v>67</v>
      </c>
      <c r="D2998" s="18">
        <v>21934.7</v>
      </c>
      <c r="E2998" s="19"/>
      <c r="F2998" s="15">
        <f t="shared" si="46"/>
        <v>-21934.7</v>
      </c>
    </row>
    <row r="2999" spans="1:8" x14ac:dyDescent="0.2">
      <c r="A2999" s="91">
        <v>45677</v>
      </c>
      <c r="B2999" s="43">
        <v>83374443</v>
      </c>
      <c r="C2999" s="20" t="s">
        <v>67</v>
      </c>
      <c r="D2999" s="18">
        <v>22586.89</v>
      </c>
      <c r="E2999" s="19"/>
      <c r="F2999" s="15">
        <f t="shared" si="46"/>
        <v>-22586.89</v>
      </c>
    </row>
    <row r="3000" spans="1:8" x14ac:dyDescent="0.2">
      <c r="A3000" s="91">
        <v>45705</v>
      </c>
      <c r="B3000" s="43">
        <v>76868691</v>
      </c>
      <c r="C3000" s="20" t="s">
        <v>67</v>
      </c>
      <c r="D3000" s="18">
        <v>23581.75</v>
      </c>
      <c r="E3000" s="19"/>
      <c r="F3000" s="15">
        <f t="shared" si="46"/>
        <v>-23581.75</v>
      </c>
    </row>
    <row r="3001" spans="1:8" x14ac:dyDescent="0.2">
      <c r="A3001" s="91">
        <v>45707</v>
      </c>
      <c r="B3001" s="43">
        <v>70047766</v>
      </c>
      <c r="C3001" s="20" t="s">
        <v>67</v>
      </c>
      <c r="D3001" s="18">
        <v>23581.75</v>
      </c>
      <c r="E3001" s="19"/>
      <c r="F3001" s="15">
        <f t="shared" si="46"/>
        <v>-23581.75</v>
      </c>
    </row>
    <row r="3002" spans="1:8" x14ac:dyDescent="0.2">
      <c r="A3002" s="91">
        <v>45735</v>
      </c>
      <c r="B3002" s="43">
        <v>53244041</v>
      </c>
      <c r="C3002" s="20" t="s">
        <v>67</v>
      </c>
      <c r="D3002" s="18">
        <v>4606.6899999999996</v>
      </c>
      <c r="E3002" s="19"/>
      <c r="F3002" s="15">
        <f t="shared" si="46"/>
        <v>-4606.6899999999996</v>
      </c>
    </row>
    <row r="3003" spans="1:8" x14ac:dyDescent="0.2">
      <c r="A3003" s="91">
        <v>45771</v>
      </c>
      <c r="B3003" s="43">
        <v>48194079</v>
      </c>
      <c r="C3003" s="20" t="s">
        <v>67</v>
      </c>
      <c r="D3003" s="18">
        <v>22973.78</v>
      </c>
      <c r="E3003" s="19"/>
      <c r="F3003" s="15">
        <f t="shared" si="46"/>
        <v>-22973.78</v>
      </c>
    </row>
    <row r="3004" spans="1:8" x14ac:dyDescent="0.2">
      <c r="A3004" s="91">
        <v>45797</v>
      </c>
      <c r="B3004" s="43">
        <v>3295351</v>
      </c>
      <c r="C3004" s="20" t="s">
        <v>67</v>
      </c>
      <c r="D3004" s="18">
        <v>24606.52</v>
      </c>
      <c r="E3004" s="19"/>
      <c r="F3004" s="15">
        <f t="shared" si="46"/>
        <v>-24606.52</v>
      </c>
    </row>
    <row r="3005" spans="1:8" x14ac:dyDescent="0.2">
      <c r="A3005" s="91">
        <v>45826</v>
      </c>
      <c r="B3005" s="43">
        <v>65698034</v>
      </c>
      <c r="C3005" s="20" t="s">
        <v>67</v>
      </c>
      <c r="D3005" s="18">
        <v>26061.69</v>
      </c>
      <c r="E3005" s="19"/>
      <c r="F3005" s="15">
        <f t="shared" si="46"/>
        <v>-26061.69</v>
      </c>
    </row>
    <row r="3006" spans="1:8" x14ac:dyDescent="0.2">
      <c r="A3006" s="91">
        <v>45855</v>
      </c>
      <c r="B3006" s="43">
        <v>61053344</v>
      </c>
      <c r="C3006" s="20" t="s">
        <v>67</v>
      </c>
      <c r="D3006" s="18">
        <v>26735.71</v>
      </c>
      <c r="E3006" s="19"/>
      <c r="F3006" s="15">
        <f t="shared" si="46"/>
        <v>-26735.71</v>
      </c>
    </row>
    <row r="3007" spans="1:8" x14ac:dyDescent="0.2">
      <c r="A3007" s="91">
        <v>45889</v>
      </c>
      <c r="B3007" s="43">
        <v>7720947</v>
      </c>
      <c r="C3007" s="20" t="s">
        <v>67</v>
      </c>
      <c r="D3007" s="18">
        <v>26147.14</v>
      </c>
      <c r="E3007" s="19"/>
      <c r="F3007" s="15">
        <f t="shared" si="46"/>
        <v>-26147.14</v>
      </c>
    </row>
    <row r="3008" spans="1:8" x14ac:dyDescent="0.2">
      <c r="A3008" s="91">
        <v>45735</v>
      </c>
      <c r="B3008" s="43">
        <v>5397221</v>
      </c>
      <c r="C3008" s="20" t="s">
        <v>355</v>
      </c>
      <c r="D3008" s="18">
        <v>42781.71</v>
      </c>
      <c r="E3008" s="19"/>
      <c r="F3008" s="15">
        <f t="shared" si="46"/>
        <v>-42781.71</v>
      </c>
    </row>
    <row r="3009" spans="1:8" x14ac:dyDescent="0.2">
      <c r="A3009" s="91">
        <v>45552</v>
      </c>
      <c r="B3009" s="16">
        <v>42596144</v>
      </c>
      <c r="C3009" s="20" t="s">
        <v>53</v>
      </c>
      <c r="D3009" s="18">
        <v>22504.66</v>
      </c>
      <c r="E3009" s="19"/>
      <c r="F3009" s="15">
        <f t="shared" si="46"/>
        <v>-22504.66</v>
      </c>
      <c r="H3009" s="10"/>
    </row>
    <row r="3010" spans="1:8" x14ac:dyDescent="0.2">
      <c r="A3010" s="91">
        <v>45581</v>
      </c>
      <c r="B3010" s="43">
        <v>18575587</v>
      </c>
      <c r="C3010" s="20" t="s">
        <v>53</v>
      </c>
      <c r="D3010" s="18">
        <v>23606.55</v>
      </c>
      <c r="E3010" s="19"/>
      <c r="F3010" s="15">
        <f t="shared" si="46"/>
        <v>-23606.55</v>
      </c>
    </row>
    <row r="3011" spans="1:8" x14ac:dyDescent="0.2">
      <c r="A3011" s="91">
        <v>45611</v>
      </c>
      <c r="B3011" s="46">
        <v>83567335</v>
      </c>
      <c r="C3011" s="9" t="s">
        <v>53</v>
      </c>
      <c r="D3011" s="48">
        <v>24692.13</v>
      </c>
      <c r="E3011" s="62"/>
      <c r="F3011" s="15">
        <f t="shared" ref="F3011:F3074" si="47">+E3011-D3011</f>
        <v>-24692.13</v>
      </c>
    </row>
    <row r="3012" spans="1:8" x14ac:dyDescent="0.2">
      <c r="A3012" s="91">
        <v>45642</v>
      </c>
      <c r="B3012" s="44">
        <v>33953824</v>
      </c>
      <c r="C3012" s="28" t="s">
        <v>53</v>
      </c>
      <c r="D3012" s="23">
        <v>25654.71</v>
      </c>
      <c r="E3012" s="24"/>
      <c r="F3012" s="15">
        <f t="shared" si="47"/>
        <v>-25654.71</v>
      </c>
    </row>
    <row r="3013" spans="1:8" x14ac:dyDescent="0.2">
      <c r="A3013" s="91">
        <v>45677</v>
      </c>
      <c r="B3013" s="43">
        <v>75635504</v>
      </c>
      <c r="C3013" s="20" t="s">
        <v>53</v>
      </c>
      <c r="D3013" s="18">
        <v>26628.59</v>
      </c>
      <c r="E3013" s="19"/>
      <c r="F3013" s="15">
        <f t="shared" si="47"/>
        <v>-26628.59</v>
      </c>
    </row>
    <row r="3014" spans="1:8" x14ac:dyDescent="0.2">
      <c r="A3014" s="91">
        <v>45705</v>
      </c>
      <c r="B3014" s="43">
        <v>41313655</v>
      </c>
      <c r="C3014" s="20" t="s">
        <v>53</v>
      </c>
      <c r="D3014" s="18">
        <v>27586.16</v>
      </c>
      <c r="E3014" s="19"/>
      <c r="F3014" s="15">
        <f t="shared" si="47"/>
        <v>-27586.16</v>
      </c>
    </row>
    <row r="3015" spans="1:8" x14ac:dyDescent="0.2">
      <c r="A3015" s="91">
        <v>45735</v>
      </c>
      <c r="B3015" s="43">
        <v>6417908</v>
      </c>
      <c r="C3015" s="20" t="s">
        <v>53</v>
      </c>
      <c r="D3015" s="18">
        <v>17234.12</v>
      </c>
      <c r="E3015" s="19"/>
      <c r="F3015" s="15">
        <f t="shared" si="47"/>
        <v>-17234.12</v>
      </c>
    </row>
    <row r="3016" spans="1:8" x14ac:dyDescent="0.2">
      <c r="A3016" s="91">
        <v>45581</v>
      </c>
      <c r="B3016" s="43">
        <v>56657325</v>
      </c>
      <c r="C3016" s="20" t="s">
        <v>117</v>
      </c>
      <c r="D3016" s="18">
        <v>27572.45</v>
      </c>
      <c r="E3016" s="19"/>
      <c r="F3016" s="15">
        <f t="shared" si="47"/>
        <v>-27572.45</v>
      </c>
    </row>
    <row r="3017" spans="1:8" x14ac:dyDescent="0.2">
      <c r="A3017" s="91">
        <v>45611</v>
      </c>
      <c r="B3017" s="43">
        <v>16725229</v>
      </c>
      <c r="C3017" s="20" t="s">
        <v>117</v>
      </c>
      <c r="D3017" s="18">
        <v>172671.46</v>
      </c>
      <c r="E3017" s="19"/>
      <c r="F3017" s="15">
        <f t="shared" si="47"/>
        <v>-172671.46</v>
      </c>
    </row>
    <row r="3018" spans="1:8" x14ac:dyDescent="0.2">
      <c r="A3018" s="91">
        <v>45652</v>
      </c>
      <c r="B3018" s="43">
        <v>36996565</v>
      </c>
      <c r="C3018" s="20" t="s">
        <v>117</v>
      </c>
      <c r="D3018" s="18">
        <v>179402.37</v>
      </c>
      <c r="E3018" s="19"/>
      <c r="F3018" s="15">
        <f t="shared" si="47"/>
        <v>-179402.37</v>
      </c>
    </row>
    <row r="3019" spans="1:8" x14ac:dyDescent="0.2">
      <c r="A3019" s="91">
        <v>45677</v>
      </c>
      <c r="B3019" s="43">
        <v>81781742</v>
      </c>
      <c r="C3019" s="20" t="s">
        <v>117</v>
      </c>
      <c r="D3019" s="18">
        <v>186215.18</v>
      </c>
      <c r="E3019" s="19"/>
      <c r="F3019" s="15">
        <f t="shared" si="47"/>
        <v>-186215.18</v>
      </c>
    </row>
    <row r="3020" spans="1:8" x14ac:dyDescent="0.2">
      <c r="A3020" s="91">
        <v>45705</v>
      </c>
      <c r="B3020" s="43">
        <v>78146562</v>
      </c>
      <c r="C3020" s="20" t="s">
        <v>117</v>
      </c>
      <c r="D3020" s="18">
        <v>192912.97</v>
      </c>
      <c r="E3020" s="19"/>
      <c r="F3020" s="15">
        <f t="shared" si="47"/>
        <v>-192912.97</v>
      </c>
    </row>
    <row r="3021" spans="1:8" x14ac:dyDescent="0.2">
      <c r="A3021" s="91">
        <v>45735</v>
      </c>
      <c r="B3021" s="43">
        <v>33277144</v>
      </c>
      <c r="C3021" s="20" t="s">
        <v>117</v>
      </c>
      <c r="D3021" s="18">
        <v>198503.78</v>
      </c>
      <c r="E3021" s="19"/>
      <c r="F3021" s="15">
        <f t="shared" si="47"/>
        <v>-198503.78</v>
      </c>
    </row>
    <row r="3022" spans="1:8" x14ac:dyDescent="0.2">
      <c r="A3022" s="91">
        <v>45771</v>
      </c>
      <c r="B3022" s="43">
        <v>24116555</v>
      </c>
      <c r="C3022" s="20" t="s">
        <v>117</v>
      </c>
      <c r="D3022" s="18">
        <v>203859.66</v>
      </c>
      <c r="E3022" s="19"/>
      <c r="F3022" s="15">
        <f t="shared" si="47"/>
        <v>-203859.66</v>
      </c>
    </row>
    <row r="3023" spans="1:8" x14ac:dyDescent="0.2">
      <c r="A3023" s="91">
        <v>45797</v>
      </c>
      <c r="B3023" s="43">
        <v>4881205</v>
      </c>
      <c r="C3023" s="20" t="s">
        <v>117</v>
      </c>
      <c r="D3023" s="18">
        <v>208747.02</v>
      </c>
      <c r="E3023" s="19"/>
      <c r="F3023" s="15">
        <f t="shared" si="47"/>
        <v>-208747.02</v>
      </c>
    </row>
    <row r="3024" spans="1:8" x14ac:dyDescent="0.2">
      <c r="A3024" s="91">
        <v>45826</v>
      </c>
      <c r="B3024" s="43">
        <v>67521836</v>
      </c>
      <c r="C3024" s="20" t="s">
        <v>117</v>
      </c>
      <c r="D3024" s="18">
        <v>213333.7</v>
      </c>
      <c r="E3024" s="19"/>
      <c r="F3024" s="15">
        <f t="shared" si="47"/>
        <v>-213333.7</v>
      </c>
    </row>
    <row r="3025" spans="1:8" x14ac:dyDescent="0.2">
      <c r="A3025" s="91">
        <v>45889</v>
      </c>
      <c r="B3025" s="43">
        <v>69803633</v>
      </c>
      <c r="C3025" s="20" t="s">
        <v>117</v>
      </c>
      <c r="D3025" s="18">
        <v>226756.36</v>
      </c>
      <c r="E3025" s="19"/>
      <c r="F3025" s="15">
        <f t="shared" si="47"/>
        <v>-226756.36</v>
      </c>
    </row>
    <row r="3026" spans="1:8" x14ac:dyDescent="0.2">
      <c r="A3026" s="91">
        <v>45889</v>
      </c>
      <c r="B3026" s="43">
        <v>4545225</v>
      </c>
      <c r="C3026" s="20" t="s">
        <v>117</v>
      </c>
      <c r="D3026" s="18">
        <v>491347.72</v>
      </c>
      <c r="E3026" s="19"/>
      <c r="F3026" s="15">
        <f t="shared" si="47"/>
        <v>-491347.72</v>
      </c>
    </row>
    <row r="3027" spans="1:8" x14ac:dyDescent="0.2">
      <c r="A3027" s="91">
        <v>45554</v>
      </c>
      <c r="B3027" s="16">
        <v>20585067</v>
      </c>
      <c r="C3027" s="20" t="s">
        <v>65</v>
      </c>
      <c r="D3027" s="18">
        <v>136815.07999999999</v>
      </c>
      <c r="E3027" s="19"/>
      <c r="F3027" s="15">
        <f t="shared" si="47"/>
        <v>-136815.07999999999</v>
      </c>
      <c r="H3027" s="10"/>
    </row>
    <row r="3028" spans="1:8" x14ac:dyDescent="0.2">
      <c r="A3028" s="91">
        <v>45581</v>
      </c>
      <c r="B3028" s="43">
        <v>19645138</v>
      </c>
      <c r="C3028" s="20" t="s">
        <v>65</v>
      </c>
      <c r="D3028" s="18">
        <v>143518.04</v>
      </c>
      <c r="E3028" s="19"/>
      <c r="F3028" s="15">
        <f t="shared" si="47"/>
        <v>-143518.04</v>
      </c>
    </row>
    <row r="3029" spans="1:8" x14ac:dyDescent="0.2">
      <c r="A3029" s="91">
        <v>45611</v>
      </c>
      <c r="B3029" s="43">
        <v>84897164</v>
      </c>
      <c r="C3029" s="20" t="s">
        <v>65</v>
      </c>
      <c r="D3029" s="18">
        <v>150118.07999999999</v>
      </c>
      <c r="E3029" s="19"/>
      <c r="F3029" s="15">
        <f t="shared" si="47"/>
        <v>-150118.07999999999</v>
      </c>
    </row>
    <row r="3030" spans="1:8" x14ac:dyDescent="0.2">
      <c r="A3030" s="91">
        <v>45642</v>
      </c>
      <c r="B3030" s="43">
        <v>35342047</v>
      </c>
      <c r="C3030" s="20" t="s">
        <v>65</v>
      </c>
      <c r="D3030" s="18">
        <v>155971.4</v>
      </c>
      <c r="E3030" s="19"/>
      <c r="F3030" s="15">
        <f t="shared" si="47"/>
        <v>-155971.4</v>
      </c>
    </row>
    <row r="3031" spans="1:8" x14ac:dyDescent="0.2">
      <c r="A3031" s="91">
        <v>45677</v>
      </c>
      <c r="B3031" s="43">
        <v>77168571</v>
      </c>
      <c r="C3031" s="20" t="s">
        <v>65</v>
      </c>
      <c r="D3031" s="18">
        <v>161896.26</v>
      </c>
      <c r="E3031" s="19"/>
      <c r="F3031" s="15">
        <f t="shared" si="47"/>
        <v>-161896.26</v>
      </c>
    </row>
    <row r="3032" spans="1:8" x14ac:dyDescent="0.2">
      <c r="A3032" s="91">
        <v>45705</v>
      </c>
      <c r="B3032" s="43">
        <v>42516419</v>
      </c>
      <c r="C3032" s="20" t="s">
        <v>65</v>
      </c>
      <c r="D3032" s="18">
        <v>167721.97</v>
      </c>
      <c r="E3032" s="19"/>
      <c r="F3032" s="15">
        <f t="shared" si="47"/>
        <v>-167721.97</v>
      </c>
    </row>
    <row r="3033" spans="1:8" x14ac:dyDescent="0.2">
      <c r="A3033" s="91">
        <v>45735</v>
      </c>
      <c r="B3033" s="43">
        <v>7289919</v>
      </c>
      <c r="C3033" s="20" t="s">
        <v>65</v>
      </c>
      <c r="D3033" s="18">
        <v>172527.35999999999</v>
      </c>
      <c r="E3033" s="19"/>
      <c r="F3033" s="15">
        <f t="shared" si="47"/>
        <v>-172527.35999999999</v>
      </c>
    </row>
    <row r="3034" spans="1:8" x14ac:dyDescent="0.2">
      <c r="A3034" s="91">
        <v>45771</v>
      </c>
      <c r="B3034" s="43">
        <v>20449338</v>
      </c>
      <c r="C3034" s="20" t="s">
        <v>65</v>
      </c>
      <c r="D3034" s="18">
        <v>177184.67</v>
      </c>
      <c r="E3034" s="19"/>
      <c r="F3034" s="15">
        <f t="shared" si="47"/>
        <v>-177184.67</v>
      </c>
    </row>
    <row r="3035" spans="1:8" x14ac:dyDescent="0.2">
      <c r="A3035" s="91">
        <v>45797</v>
      </c>
      <c r="B3035" s="46">
        <v>51088794</v>
      </c>
      <c r="C3035" s="9" t="s">
        <v>65</v>
      </c>
      <c r="D3035" s="48">
        <v>185014.2</v>
      </c>
      <c r="E3035" s="49"/>
      <c r="F3035" s="15">
        <f t="shared" si="47"/>
        <v>-185014.2</v>
      </c>
    </row>
    <row r="3036" spans="1:8" x14ac:dyDescent="0.2">
      <c r="A3036" s="91">
        <v>45826</v>
      </c>
      <c r="B3036" s="44">
        <v>33705049</v>
      </c>
      <c r="C3036" s="28" t="s">
        <v>65</v>
      </c>
      <c r="D3036" s="23">
        <v>185425</v>
      </c>
      <c r="E3036" s="24"/>
      <c r="F3036" s="15">
        <f t="shared" si="47"/>
        <v>-185425</v>
      </c>
    </row>
    <row r="3037" spans="1:8" x14ac:dyDescent="0.2">
      <c r="A3037" s="91">
        <v>45855</v>
      </c>
      <c r="B3037" s="43">
        <v>35145045</v>
      </c>
      <c r="C3037" s="20" t="s">
        <v>65</v>
      </c>
      <c r="D3037" s="18">
        <v>194321.69</v>
      </c>
      <c r="E3037" s="19"/>
      <c r="F3037" s="15">
        <f t="shared" si="47"/>
        <v>-194321.69</v>
      </c>
    </row>
    <row r="3038" spans="1:8" x14ac:dyDescent="0.2">
      <c r="A3038" s="91">
        <v>45889</v>
      </c>
      <c r="B3038" s="43">
        <v>70868485</v>
      </c>
      <c r="C3038" s="20" t="s">
        <v>65</v>
      </c>
      <c r="D3038" s="18">
        <v>198401.7</v>
      </c>
      <c r="E3038" s="19"/>
      <c r="F3038" s="15">
        <f t="shared" si="47"/>
        <v>-198401.7</v>
      </c>
    </row>
    <row r="3039" spans="1:8" x14ac:dyDescent="0.2">
      <c r="A3039" s="91">
        <v>45554</v>
      </c>
      <c r="B3039" s="16">
        <v>21540045</v>
      </c>
      <c r="C3039" s="20" t="s">
        <v>66</v>
      </c>
      <c r="D3039" s="18">
        <v>468580.64</v>
      </c>
      <c r="E3039" s="19"/>
      <c r="F3039" s="15">
        <f t="shared" si="47"/>
        <v>-468580.64</v>
      </c>
      <c r="H3039" s="10"/>
    </row>
    <row r="3040" spans="1:8" x14ac:dyDescent="0.2">
      <c r="A3040" s="91">
        <v>45581</v>
      </c>
      <c r="B3040" s="43">
        <v>20857480</v>
      </c>
      <c r="C3040" s="20" t="s">
        <v>66</v>
      </c>
      <c r="D3040" s="18">
        <v>483419.63</v>
      </c>
      <c r="E3040" s="19"/>
      <c r="F3040" s="15">
        <f t="shared" si="47"/>
        <v>-483419.63</v>
      </c>
    </row>
    <row r="3041" spans="1:8" x14ac:dyDescent="0.2">
      <c r="A3041" s="91">
        <v>45611</v>
      </c>
      <c r="B3041" s="43">
        <v>85909854</v>
      </c>
      <c r="C3041" s="20" t="s">
        <v>66</v>
      </c>
      <c r="D3041" s="18">
        <v>512650.89</v>
      </c>
      <c r="E3041" s="19"/>
      <c r="F3041" s="15">
        <f t="shared" si="47"/>
        <v>-512650.89</v>
      </c>
    </row>
    <row r="3042" spans="1:8" x14ac:dyDescent="0.2">
      <c r="A3042" s="91">
        <v>45642</v>
      </c>
      <c r="B3042" s="43">
        <v>36549992</v>
      </c>
      <c r="C3042" s="20" t="s">
        <v>66</v>
      </c>
      <c r="D3042" s="18">
        <v>539954.41</v>
      </c>
      <c r="E3042" s="19"/>
      <c r="F3042" s="15">
        <f t="shared" si="47"/>
        <v>-539954.41</v>
      </c>
    </row>
    <row r="3043" spans="1:8" x14ac:dyDescent="0.2">
      <c r="A3043" s="91">
        <v>45677</v>
      </c>
      <c r="B3043" s="43">
        <v>78628273</v>
      </c>
      <c r="C3043" s="20" t="s">
        <v>66</v>
      </c>
      <c r="D3043" s="18">
        <v>558078.39</v>
      </c>
      <c r="E3043" s="19"/>
      <c r="F3043" s="15">
        <f t="shared" si="47"/>
        <v>-558078.39</v>
      </c>
    </row>
    <row r="3044" spans="1:8" x14ac:dyDescent="0.2">
      <c r="A3044" s="91">
        <v>45705</v>
      </c>
      <c r="B3044" s="43">
        <v>43586422</v>
      </c>
      <c r="C3044" s="20" t="s">
        <v>66</v>
      </c>
      <c r="D3044" s="18">
        <v>579607.43000000005</v>
      </c>
      <c r="E3044" s="19"/>
      <c r="F3044" s="15">
        <f t="shared" si="47"/>
        <v>-579607.43000000005</v>
      </c>
    </row>
    <row r="3045" spans="1:8" x14ac:dyDescent="0.2">
      <c r="A3045" s="91">
        <v>45735</v>
      </c>
      <c r="B3045" s="43">
        <v>8217102</v>
      </c>
      <c r="C3045" s="20" t="s">
        <v>66</v>
      </c>
      <c r="D3045" s="18">
        <v>600593.48</v>
      </c>
      <c r="E3045" s="19"/>
      <c r="F3045" s="15">
        <f t="shared" si="47"/>
        <v>-600593.48</v>
      </c>
    </row>
    <row r="3046" spans="1:8" x14ac:dyDescent="0.2">
      <c r="A3046" s="91">
        <v>45771</v>
      </c>
      <c r="B3046" s="43">
        <v>21333591</v>
      </c>
      <c r="C3046" s="20" t="s">
        <v>66</v>
      </c>
      <c r="D3046" s="18">
        <v>618224.72</v>
      </c>
      <c r="E3046" s="19"/>
      <c r="F3046" s="15">
        <f t="shared" si="47"/>
        <v>-618224.72</v>
      </c>
    </row>
    <row r="3047" spans="1:8" x14ac:dyDescent="0.2">
      <c r="A3047" s="91">
        <v>45797</v>
      </c>
      <c r="B3047" s="43">
        <v>52086333</v>
      </c>
      <c r="C3047" s="20" t="s">
        <v>66</v>
      </c>
      <c r="D3047" s="18">
        <v>643860.84</v>
      </c>
      <c r="E3047" s="19"/>
      <c r="F3047" s="15">
        <f t="shared" si="47"/>
        <v>-643860.84</v>
      </c>
    </row>
    <row r="3048" spans="1:8" x14ac:dyDescent="0.2">
      <c r="A3048" s="91">
        <v>45826</v>
      </c>
      <c r="B3048" s="43">
        <v>35318638</v>
      </c>
      <c r="C3048" s="20" t="s">
        <v>66</v>
      </c>
      <c r="D3048" s="18">
        <v>661002.47</v>
      </c>
      <c r="E3048" s="19"/>
      <c r="F3048" s="15">
        <f t="shared" si="47"/>
        <v>-661002.47</v>
      </c>
    </row>
    <row r="3049" spans="1:8" x14ac:dyDescent="0.2">
      <c r="A3049" s="91">
        <v>45855</v>
      </c>
      <c r="B3049" s="43">
        <v>36149815</v>
      </c>
      <c r="C3049" s="20" t="s">
        <v>66</v>
      </c>
      <c r="D3049" s="18">
        <v>694230.34</v>
      </c>
      <c r="E3049" s="19"/>
      <c r="F3049" s="15">
        <f t="shared" si="47"/>
        <v>-694230.34</v>
      </c>
    </row>
    <row r="3050" spans="1:8" x14ac:dyDescent="0.2">
      <c r="A3050" s="91">
        <v>45889</v>
      </c>
      <c r="B3050" s="43">
        <v>71946600</v>
      </c>
      <c r="C3050" s="20" t="s">
        <v>66</v>
      </c>
      <c r="D3050" s="18">
        <v>717412.58</v>
      </c>
      <c r="E3050" s="19"/>
      <c r="F3050" s="15">
        <f t="shared" si="47"/>
        <v>-717412.58</v>
      </c>
    </row>
    <row r="3051" spans="1:8" x14ac:dyDescent="0.2">
      <c r="A3051" s="91">
        <v>45677</v>
      </c>
      <c r="B3051" s="43">
        <v>83293010</v>
      </c>
      <c r="C3051" s="20" t="s">
        <v>261</v>
      </c>
      <c r="D3051" s="18">
        <v>31015.96</v>
      </c>
      <c r="E3051" s="19"/>
      <c r="F3051" s="15">
        <f t="shared" si="47"/>
        <v>-31015.96</v>
      </c>
    </row>
    <row r="3052" spans="1:8" x14ac:dyDescent="0.2">
      <c r="A3052" s="91">
        <v>45705</v>
      </c>
      <c r="B3052" s="43">
        <v>48290440</v>
      </c>
      <c r="C3052" s="20" t="s">
        <v>261</v>
      </c>
      <c r="D3052" s="18">
        <v>31636.28</v>
      </c>
      <c r="E3052" s="19"/>
      <c r="F3052" s="15">
        <f t="shared" si="47"/>
        <v>-31636.28</v>
      </c>
    </row>
    <row r="3053" spans="1:8" x14ac:dyDescent="0.2">
      <c r="A3053" s="91">
        <v>45797</v>
      </c>
      <c r="B3053" s="43">
        <v>53903682</v>
      </c>
      <c r="C3053" s="20" t="s">
        <v>261</v>
      </c>
      <c r="D3053" s="18">
        <v>35429.83</v>
      </c>
      <c r="E3053" s="19"/>
      <c r="F3053" s="15">
        <f t="shared" si="47"/>
        <v>-35429.83</v>
      </c>
    </row>
    <row r="3054" spans="1:8" x14ac:dyDescent="0.2">
      <c r="A3054" s="91">
        <v>45826</v>
      </c>
      <c r="B3054" s="43">
        <v>40252357</v>
      </c>
      <c r="C3054" s="20" t="s">
        <v>261</v>
      </c>
      <c r="D3054" s="18">
        <v>35429.83</v>
      </c>
      <c r="E3054" s="19"/>
      <c r="F3054" s="15">
        <f t="shared" si="47"/>
        <v>-35429.83</v>
      </c>
    </row>
    <row r="3055" spans="1:8" x14ac:dyDescent="0.2">
      <c r="A3055" s="91">
        <v>45855</v>
      </c>
      <c r="B3055" s="43">
        <v>38892270</v>
      </c>
      <c r="C3055" s="20" t="s">
        <v>261</v>
      </c>
      <c r="D3055" s="18">
        <v>35429.83</v>
      </c>
      <c r="E3055" s="19"/>
      <c r="F3055" s="15">
        <f t="shared" si="47"/>
        <v>-35429.83</v>
      </c>
    </row>
    <row r="3056" spans="1:8" x14ac:dyDescent="0.2">
      <c r="A3056" s="91">
        <v>45552</v>
      </c>
      <c r="B3056" s="16">
        <v>47742095</v>
      </c>
      <c r="C3056" s="20" t="s">
        <v>57</v>
      </c>
      <c r="D3056" s="18">
        <v>125520.65</v>
      </c>
      <c r="E3056" s="19"/>
      <c r="F3056" s="15">
        <f t="shared" si="47"/>
        <v>-125520.65</v>
      </c>
      <c r="H3056" s="10"/>
    </row>
    <row r="3057" spans="1:6" x14ac:dyDescent="0.2">
      <c r="A3057" s="91">
        <v>45581</v>
      </c>
      <c r="B3057" s="43">
        <v>25724007</v>
      </c>
      <c r="C3057" s="20" t="s">
        <v>57</v>
      </c>
      <c r="D3057" s="18">
        <v>131798.70000000001</v>
      </c>
      <c r="E3057" s="19"/>
      <c r="F3057" s="15">
        <f t="shared" si="47"/>
        <v>-131798.70000000001</v>
      </c>
    </row>
    <row r="3058" spans="1:6" x14ac:dyDescent="0.2">
      <c r="A3058" s="91">
        <v>45611</v>
      </c>
      <c r="B3058" s="46">
        <v>11521163</v>
      </c>
      <c r="C3058" s="9" t="s">
        <v>57</v>
      </c>
      <c r="D3058" s="48">
        <v>138388</v>
      </c>
      <c r="E3058" s="49"/>
      <c r="F3058" s="15">
        <f t="shared" si="47"/>
        <v>-138388</v>
      </c>
    </row>
    <row r="3059" spans="1:6" x14ac:dyDescent="0.2">
      <c r="A3059" s="91">
        <v>45642</v>
      </c>
      <c r="B3059" s="44">
        <v>42295193</v>
      </c>
      <c r="C3059" s="28" t="s">
        <v>57</v>
      </c>
      <c r="D3059" s="23">
        <v>138388</v>
      </c>
      <c r="E3059" s="24"/>
      <c r="F3059" s="15">
        <f t="shared" si="47"/>
        <v>-138388</v>
      </c>
    </row>
    <row r="3060" spans="1:6" x14ac:dyDescent="0.2">
      <c r="A3060" s="91">
        <v>45677</v>
      </c>
      <c r="B3060" s="43">
        <v>77961470</v>
      </c>
      <c r="C3060" s="20" t="s">
        <v>57</v>
      </c>
      <c r="D3060" s="18">
        <v>135674.51</v>
      </c>
      <c r="E3060" s="19"/>
      <c r="F3060" s="15">
        <f t="shared" si="47"/>
        <v>-135674.51</v>
      </c>
    </row>
    <row r="3061" spans="1:6" x14ac:dyDescent="0.2">
      <c r="A3061" s="91">
        <v>45705</v>
      </c>
      <c r="B3061" s="43">
        <v>75786092</v>
      </c>
      <c r="C3061" s="20" t="s">
        <v>57</v>
      </c>
      <c r="D3061" s="18">
        <v>138388</v>
      </c>
      <c r="E3061" s="19"/>
      <c r="F3061" s="15">
        <f t="shared" si="47"/>
        <v>-138388</v>
      </c>
    </row>
    <row r="3062" spans="1:6" x14ac:dyDescent="0.2">
      <c r="A3062" s="91">
        <v>45797</v>
      </c>
      <c r="B3062" s="43">
        <v>56924047</v>
      </c>
      <c r="C3062" s="20" t="s">
        <v>57</v>
      </c>
      <c r="D3062" s="18">
        <v>154988.67000000001</v>
      </c>
      <c r="E3062" s="19"/>
      <c r="F3062" s="15">
        <f t="shared" si="47"/>
        <v>-154988.67000000001</v>
      </c>
    </row>
    <row r="3063" spans="1:6" x14ac:dyDescent="0.2">
      <c r="A3063" s="91">
        <v>45826</v>
      </c>
      <c r="B3063" s="43">
        <v>62888236</v>
      </c>
      <c r="C3063" s="20" t="s">
        <v>57</v>
      </c>
      <c r="D3063" s="18">
        <v>154988.67000000001</v>
      </c>
      <c r="E3063" s="19"/>
      <c r="F3063" s="15">
        <f t="shared" si="47"/>
        <v>-154988.67000000001</v>
      </c>
    </row>
    <row r="3064" spans="1:6" x14ac:dyDescent="0.2">
      <c r="A3064" s="91">
        <v>45855</v>
      </c>
      <c r="B3064" s="43">
        <v>41669141</v>
      </c>
      <c r="C3064" s="20" t="s">
        <v>57</v>
      </c>
      <c r="D3064" s="18">
        <v>154988.67000000001</v>
      </c>
      <c r="E3064" s="19"/>
      <c r="F3064" s="15">
        <f t="shared" si="47"/>
        <v>-154988.67000000001</v>
      </c>
    </row>
    <row r="3065" spans="1:6" x14ac:dyDescent="0.2">
      <c r="A3065" s="91">
        <v>45677</v>
      </c>
      <c r="B3065" s="43">
        <v>5790320</v>
      </c>
      <c r="C3065" s="20" t="s">
        <v>263</v>
      </c>
      <c r="D3065" s="18">
        <v>14699.42</v>
      </c>
      <c r="E3065" s="19"/>
      <c r="F3065" s="15">
        <f t="shared" si="47"/>
        <v>-14699.42</v>
      </c>
    </row>
    <row r="3066" spans="1:6" x14ac:dyDescent="0.2">
      <c r="A3066" s="91">
        <v>45705</v>
      </c>
      <c r="B3066" s="43">
        <v>74610092</v>
      </c>
      <c r="C3066" s="20" t="s">
        <v>263</v>
      </c>
      <c r="D3066" s="18">
        <v>14993.41</v>
      </c>
      <c r="E3066" s="19"/>
      <c r="F3066" s="15">
        <f t="shared" si="47"/>
        <v>-14993.41</v>
      </c>
    </row>
    <row r="3067" spans="1:6" x14ac:dyDescent="0.2">
      <c r="A3067" s="91">
        <v>45797</v>
      </c>
      <c r="B3067" s="43">
        <v>77263923</v>
      </c>
      <c r="C3067" s="20" t="s">
        <v>263</v>
      </c>
      <c r="D3067" s="18">
        <v>16796.72</v>
      </c>
      <c r="E3067" s="19"/>
      <c r="F3067" s="15">
        <f t="shared" si="47"/>
        <v>-16796.72</v>
      </c>
    </row>
    <row r="3068" spans="1:6" x14ac:dyDescent="0.2">
      <c r="A3068" s="91">
        <v>45826</v>
      </c>
      <c r="B3068" s="43">
        <v>64700370</v>
      </c>
      <c r="C3068" s="20" t="s">
        <v>263</v>
      </c>
      <c r="D3068" s="18">
        <v>16796.72</v>
      </c>
      <c r="E3068" s="19"/>
      <c r="F3068" s="15">
        <f t="shared" si="47"/>
        <v>-16796.72</v>
      </c>
    </row>
    <row r="3069" spans="1:6" x14ac:dyDescent="0.2">
      <c r="A3069" s="91">
        <v>45855</v>
      </c>
      <c r="B3069" s="43">
        <v>57755055</v>
      </c>
      <c r="C3069" s="20" t="s">
        <v>263</v>
      </c>
      <c r="D3069" s="18">
        <v>16796.72</v>
      </c>
      <c r="E3069" s="19"/>
      <c r="F3069" s="15">
        <f t="shared" si="47"/>
        <v>-16796.72</v>
      </c>
    </row>
    <row r="3070" spans="1:6" x14ac:dyDescent="0.2">
      <c r="A3070" s="91">
        <v>45677</v>
      </c>
      <c r="B3070" s="43">
        <v>84602976</v>
      </c>
      <c r="C3070" s="20" t="s">
        <v>262</v>
      </c>
      <c r="D3070" s="18">
        <v>12580</v>
      </c>
      <c r="E3070" s="19"/>
      <c r="F3070" s="15">
        <f t="shared" si="47"/>
        <v>-12580</v>
      </c>
    </row>
    <row r="3071" spans="1:6" x14ac:dyDescent="0.2">
      <c r="A3071" s="91">
        <v>45705</v>
      </c>
      <c r="B3071" s="43">
        <v>71320004</v>
      </c>
      <c r="C3071" s="20" t="s">
        <v>262</v>
      </c>
      <c r="D3071" s="18">
        <v>12831.6</v>
      </c>
      <c r="E3071" s="19"/>
      <c r="F3071" s="15">
        <f t="shared" si="47"/>
        <v>-12831.6</v>
      </c>
    </row>
    <row r="3072" spans="1:6" x14ac:dyDescent="0.2">
      <c r="A3072" s="91">
        <v>45797</v>
      </c>
      <c r="B3072" s="43">
        <v>54951553</v>
      </c>
      <c r="C3072" s="20" t="s">
        <v>262</v>
      </c>
      <c r="D3072" s="18">
        <v>14376.9</v>
      </c>
      <c r="E3072" s="19"/>
      <c r="F3072" s="15">
        <f t="shared" si="47"/>
        <v>-14376.9</v>
      </c>
    </row>
    <row r="3073" spans="1:8" x14ac:dyDescent="0.2">
      <c r="A3073" s="91">
        <v>45826</v>
      </c>
      <c r="B3073" s="43">
        <v>41565959</v>
      </c>
      <c r="C3073" s="20" t="s">
        <v>262</v>
      </c>
      <c r="D3073" s="18">
        <v>14376.9</v>
      </c>
      <c r="E3073" s="19"/>
      <c r="F3073" s="15">
        <f t="shared" si="47"/>
        <v>-14376.9</v>
      </c>
    </row>
    <row r="3074" spans="1:8" x14ac:dyDescent="0.2">
      <c r="A3074" s="91">
        <v>45855</v>
      </c>
      <c r="B3074" s="43">
        <v>39802220</v>
      </c>
      <c r="C3074" s="20" t="s">
        <v>262</v>
      </c>
      <c r="D3074" s="18">
        <v>14376.9</v>
      </c>
      <c r="E3074" s="19"/>
      <c r="F3074" s="15">
        <f t="shared" si="47"/>
        <v>-14376.9</v>
      </c>
    </row>
    <row r="3075" spans="1:8" x14ac:dyDescent="0.2">
      <c r="A3075" s="91">
        <v>45552</v>
      </c>
      <c r="B3075" s="16">
        <v>46791681</v>
      </c>
      <c r="C3075" s="20" t="s">
        <v>56</v>
      </c>
      <c r="D3075" s="18">
        <v>107456.54</v>
      </c>
      <c r="E3075" s="19"/>
      <c r="F3075" s="15">
        <f t="shared" ref="F3075:F3138" si="48">+E3075-D3075</f>
        <v>-107456.54</v>
      </c>
      <c r="H3075" s="10"/>
    </row>
    <row r="3076" spans="1:8" x14ac:dyDescent="0.2">
      <c r="A3076" s="91">
        <v>45581</v>
      </c>
      <c r="B3076" s="43">
        <v>24427207</v>
      </c>
      <c r="C3076" s="20" t="s">
        <v>56</v>
      </c>
      <c r="D3076" s="18">
        <v>112831.4</v>
      </c>
      <c r="E3076" s="19"/>
      <c r="F3076" s="15">
        <f t="shared" si="48"/>
        <v>-112831.4</v>
      </c>
    </row>
    <row r="3077" spans="1:8" x14ac:dyDescent="0.2">
      <c r="A3077" s="91">
        <v>45611</v>
      </c>
      <c r="B3077" s="43">
        <v>10461684</v>
      </c>
      <c r="C3077" s="20" t="s">
        <v>56</v>
      </c>
      <c r="D3077" s="18">
        <v>118472.35</v>
      </c>
      <c r="E3077" s="19"/>
      <c r="F3077" s="15">
        <f t="shared" si="48"/>
        <v>-118472.35</v>
      </c>
    </row>
    <row r="3078" spans="1:8" x14ac:dyDescent="0.2">
      <c r="A3078" s="91">
        <v>45642</v>
      </c>
      <c r="B3078" s="43">
        <v>41280684</v>
      </c>
      <c r="C3078" s="20" t="s">
        <v>56</v>
      </c>
      <c r="D3078" s="18">
        <v>118472.35</v>
      </c>
      <c r="E3078" s="19"/>
      <c r="F3078" s="15">
        <f t="shared" si="48"/>
        <v>-118472.35</v>
      </c>
    </row>
    <row r="3079" spans="1:8" x14ac:dyDescent="0.2">
      <c r="A3079" s="91">
        <v>45677</v>
      </c>
      <c r="B3079" s="43">
        <v>76345393</v>
      </c>
      <c r="C3079" s="20" t="s">
        <v>56</v>
      </c>
      <c r="D3079" s="18">
        <v>116149.36</v>
      </c>
      <c r="E3079" s="19"/>
      <c r="F3079" s="15">
        <f t="shared" si="48"/>
        <v>-116149.36</v>
      </c>
    </row>
    <row r="3080" spans="1:8" x14ac:dyDescent="0.2">
      <c r="A3080" s="91">
        <v>45705</v>
      </c>
      <c r="B3080" s="43">
        <v>73387299</v>
      </c>
      <c r="C3080" s="20" t="s">
        <v>56</v>
      </c>
      <c r="D3080" s="18">
        <v>118472.35</v>
      </c>
      <c r="E3080" s="19"/>
      <c r="F3080" s="15">
        <f t="shared" si="48"/>
        <v>-118472.35</v>
      </c>
    </row>
    <row r="3081" spans="1:8" x14ac:dyDescent="0.2">
      <c r="A3081" s="91">
        <v>45797</v>
      </c>
      <c r="B3081" s="46">
        <v>76323666</v>
      </c>
      <c r="C3081" s="9" t="s">
        <v>56</v>
      </c>
      <c r="D3081" s="48">
        <v>132683.1</v>
      </c>
      <c r="E3081" s="49"/>
      <c r="F3081" s="15">
        <f t="shared" si="48"/>
        <v>-132683.1</v>
      </c>
    </row>
    <row r="3082" spans="1:8" x14ac:dyDescent="0.2">
      <c r="A3082" s="91">
        <v>45826</v>
      </c>
      <c r="B3082" s="44">
        <v>63829071</v>
      </c>
      <c r="C3082" s="28" t="s">
        <v>56</v>
      </c>
      <c r="D3082" s="23">
        <v>132683.1</v>
      </c>
      <c r="E3082" s="24"/>
      <c r="F3082" s="15">
        <f t="shared" si="48"/>
        <v>-132683.1</v>
      </c>
    </row>
    <row r="3083" spans="1:8" x14ac:dyDescent="0.2">
      <c r="A3083" s="91">
        <v>45855</v>
      </c>
      <c r="B3083" s="43">
        <v>56958204</v>
      </c>
      <c r="C3083" s="20" t="s">
        <v>56</v>
      </c>
      <c r="D3083" s="18">
        <v>132683.1</v>
      </c>
      <c r="E3083" s="19"/>
      <c r="F3083" s="15">
        <f t="shared" si="48"/>
        <v>-132683.1</v>
      </c>
    </row>
    <row r="3084" spans="1:8" x14ac:dyDescent="0.2">
      <c r="A3084" s="91">
        <v>45552</v>
      </c>
      <c r="B3084" s="16">
        <v>44532477</v>
      </c>
      <c r="C3084" s="20" t="s">
        <v>54</v>
      </c>
      <c r="D3084" s="18">
        <v>65725.210000000006</v>
      </c>
      <c r="E3084" s="19"/>
      <c r="F3084" s="15">
        <f t="shared" si="48"/>
        <v>-65725.210000000006</v>
      </c>
      <c r="H3084" s="10"/>
    </row>
    <row r="3085" spans="1:8" x14ac:dyDescent="0.2">
      <c r="A3085" s="91">
        <v>45581</v>
      </c>
      <c r="B3085" s="43">
        <v>26970697</v>
      </c>
      <c r="C3085" s="20" t="s">
        <v>54</v>
      </c>
      <c r="D3085" s="18">
        <v>69013.5</v>
      </c>
      <c r="E3085" s="19"/>
      <c r="F3085" s="15">
        <f t="shared" si="48"/>
        <v>-69013.5</v>
      </c>
    </row>
    <row r="3086" spans="1:8" x14ac:dyDescent="0.2">
      <c r="A3086" s="91">
        <v>45611</v>
      </c>
      <c r="B3086" s="43">
        <v>89379567</v>
      </c>
      <c r="C3086" s="20" t="s">
        <v>54</v>
      </c>
      <c r="D3086" s="18">
        <v>72463.61</v>
      </c>
      <c r="E3086" s="19"/>
      <c r="F3086" s="15">
        <f t="shared" si="48"/>
        <v>-72463.61</v>
      </c>
    </row>
    <row r="3087" spans="1:8" x14ac:dyDescent="0.2">
      <c r="A3087" s="91">
        <v>45642</v>
      </c>
      <c r="B3087" s="43">
        <v>38758497</v>
      </c>
      <c r="C3087" s="20" t="s">
        <v>54</v>
      </c>
      <c r="D3087" s="18">
        <v>72463.61</v>
      </c>
      <c r="E3087" s="19"/>
      <c r="F3087" s="15">
        <f t="shared" si="48"/>
        <v>-72463.61</v>
      </c>
    </row>
    <row r="3088" spans="1:8" x14ac:dyDescent="0.2">
      <c r="A3088" s="91">
        <v>45677</v>
      </c>
      <c r="B3088" s="43">
        <v>81351433</v>
      </c>
      <c r="C3088" s="20" t="s">
        <v>54</v>
      </c>
      <c r="D3088" s="18">
        <v>71042.75</v>
      </c>
      <c r="E3088" s="19"/>
      <c r="F3088" s="15">
        <f t="shared" si="48"/>
        <v>-71042.75</v>
      </c>
    </row>
    <row r="3089" spans="1:8" x14ac:dyDescent="0.2">
      <c r="A3089" s="91">
        <v>45705</v>
      </c>
      <c r="B3089" s="43">
        <v>46882392</v>
      </c>
      <c r="C3089" s="20" t="s">
        <v>54</v>
      </c>
      <c r="D3089" s="18">
        <v>72463.61</v>
      </c>
      <c r="E3089" s="19"/>
      <c r="F3089" s="15">
        <f t="shared" si="48"/>
        <v>-72463.61</v>
      </c>
    </row>
    <row r="3090" spans="1:8" x14ac:dyDescent="0.2">
      <c r="A3090" s="91">
        <v>45797</v>
      </c>
      <c r="B3090" s="43">
        <v>52977205</v>
      </c>
      <c r="C3090" s="20" t="s">
        <v>54</v>
      </c>
      <c r="D3090" s="18">
        <v>81153.22</v>
      </c>
      <c r="E3090" s="19"/>
      <c r="F3090" s="15">
        <f t="shared" si="48"/>
        <v>-81153.22</v>
      </c>
    </row>
    <row r="3091" spans="1:8" x14ac:dyDescent="0.2">
      <c r="A3091" s="91">
        <v>45826</v>
      </c>
      <c r="B3091" s="43">
        <v>38819483</v>
      </c>
      <c r="C3091" s="20" t="s">
        <v>54</v>
      </c>
      <c r="D3091" s="18">
        <v>81153.22</v>
      </c>
      <c r="E3091" s="19"/>
      <c r="F3091" s="15">
        <f t="shared" si="48"/>
        <v>-81153.22</v>
      </c>
    </row>
    <row r="3092" spans="1:8" x14ac:dyDescent="0.2">
      <c r="A3092" s="91">
        <v>45855</v>
      </c>
      <c r="B3092" s="43">
        <v>37675595</v>
      </c>
      <c r="C3092" s="20" t="s">
        <v>54</v>
      </c>
      <c r="D3092" s="18">
        <v>81153.22</v>
      </c>
      <c r="E3092" s="19"/>
      <c r="F3092" s="15">
        <f t="shared" si="48"/>
        <v>-81153.22</v>
      </c>
    </row>
    <row r="3093" spans="1:8" x14ac:dyDescent="0.2">
      <c r="A3093" s="91">
        <v>45552</v>
      </c>
      <c r="B3093" s="16">
        <v>45690670</v>
      </c>
      <c r="C3093" s="20" t="s">
        <v>55</v>
      </c>
      <c r="D3093" s="18">
        <v>88457.93</v>
      </c>
      <c r="E3093" s="19"/>
      <c r="F3093" s="15">
        <f t="shared" si="48"/>
        <v>-88457.93</v>
      </c>
      <c r="H3093" s="10"/>
    </row>
    <row r="3094" spans="1:8" x14ac:dyDescent="0.2">
      <c r="A3094" s="91">
        <v>45581</v>
      </c>
      <c r="B3094" s="43">
        <v>23329763</v>
      </c>
      <c r="C3094" s="20" t="s">
        <v>55</v>
      </c>
      <c r="D3094" s="18">
        <v>92882.86</v>
      </c>
      <c r="E3094" s="19"/>
      <c r="F3094" s="15">
        <f t="shared" si="48"/>
        <v>-92882.86</v>
      </c>
    </row>
    <row r="3095" spans="1:8" x14ac:dyDescent="0.2">
      <c r="A3095" s="91">
        <v>45611</v>
      </c>
      <c r="B3095" s="43">
        <v>90613349</v>
      </c>
      <c r="C3095" s="20" t="s">
        <v>55</v>
      </c>
      <c r="D3095" s="18">
        <v>97526.399999999994</v>
      </c>
      <c r="E3095" s="19"/>
      <c r="F3095" s="15">
        <f t="shared" si="48"/>
        <v>-97526.399999999994</v>
      </c>
    </row>
    <row r="3096" spans="1:8" x14ac:dyDescent="0.2">
      <c r="A3096" s="91">
        <v>45642</v>
      </c>
      <c r="B3096" s="43">
        <v>39914435</v>
      </c>
      <c r="C3096" s="20" t="s">
        <v>55</v>
      </c>
      <c r="D3096" s="18">
        <v>97526.399999999994</v>
      </c>
      <c r="E3096" s="19"/>
      <c r="F3096" s="15">
        <f t="shared" si="48"/>
        <v>-97526.399999999994</v>
      </c>
    </row>
    <row r="3097" spans="1:8" x14ac:dyDescent="0.2">
      <c r="A3097" s="91">
        <v>45677</v>
      </c>
      <c r="B3097" s="43">
        <v>74501880</v>
      </c>
      <c r="C3097" s="20" t="s">
        <v>55</v>
      </c>
      <c r="D3097" s="18">
        <v>95614.12</v>
      </c>
      <c r="E3097" s="19"/>
      <c r="F3097" s="15">
        <f t="shared" si="48"/>
        <v>-95614.12</v>
      </c>
    </row>
    <row r="3098" spans="1:8" x14ac:dyDescent="0.2">
      <c r="A3098" s="91">
        <v>45705</v>
      </c>
      <c r="B3098" s="43">
        <v>72336779</v>
      </c>
      <c r="C3098" s="20" t="s">
        <v>55</v>
      </c>
      <c r="D3098" s="18">
        <v>97526.399999999994</v>
      </c>
      <c r="E3098" s="19"/>
      <c r="F3098" s="15">
        <f t="shared" si="48"/>
        <v>-97526.399999999994</v>
      </c>
    </row>
    <row r="3099" spans="1:8" x14ac:dyDescent="0.2">
      <c r="A3099" s="91">
        <v>45797</v>
      </c>
      <c r="B3099" s="43">
        <v>55907514</v>
      </c>
      <c r="C3099" s="20" t="s">
        <v>55</v>
      </c>
      <c r="D3099" s="18">
        <v>109223.61</v>
      </c>
      <c r="E3099" s="19"/>
      <c r="F3099" s="15">
        <f t="shared" si="48"/>
        <v>-109223.61</v>
      </c>
    </row>
    <row r="3100" spans="1:8" x14ac:dyDescent="0.2">
      <c r="A3100" s="91">
        <v>45826</v>
      </c>
      <c r="B3100" s="43">
        <v>43325674</v>
      </c>
      <c r="C3100" s="20" t="s">
        <v>55</v>
      </c>
      <c r="D3100" s="18">
        <v>109223.61</v>
      </c>
      <c r="E3100" s="19"/>
      <c r="F3100" s="15">
        <f t="shared" si="48"/>
        <v>-109223.61</v>
      </c>
    </row>
    <row r="3101" spans="1:8" x14ac:dyDescent="0.2">
      <c r="A3101" s="91">
        <v>45855</v>
      </c>
      <c r="B3101" s="43">
        <v>40712007</v>
      </c>
      <c r="C3101" s="20" t="s">
        <v>55</v>
      </c>
      <c r="D3101" s="18">
        <v>109223.61</v>
      </c>
      <c r="E3101" s="19"/>
      <c r="F3101" s="15">
        <f t="shared" si="48"/>
        <v>-109223.61</v>
      </c>
    </row>
    <row r="3102" spans="1:8" x14ac:dyDescent="0.2">
      <c r="A3102" s="91">
        <v>45554</v>
      </c>
      <c r="B3102" s="16">
        <v>16481475</v>
      </c>
      <c r="C3102" s="20" t="s">
        <v>61</v>
      </c>
      <c r="D3102" s="18">
        <v>76123.850000000006</v>
      </c>
      <c r="E3102" s="19"/>
      <c r="F3102" s="15">
        <f t="shared" si="48"/>
        <v>-76123.850000000006</v>
      </c>
      <c r="H3102" s="10"/>
    </row>
    <row r="3103" spans="1:8" x14ac:dyDescent="0.2">
      <c r="A3103" s="91">
        <v>45581</v>
      </c>
      <c r="B3103" s="43">
        <v>96725149</v>
      </c>
      <c r="C3103" s="20" t="s">
        <v>61</v>
      </c>
      <c r="D3103" s="18">
        <v>79154.95</v>
      </c>
      <c r="E3103" s="19"/>
      <c r="F3103" s="15">
        <f t="shared" si="48"/>
        <v>-79154.95</v>
      </c>
    </row>
    <row r="3104" spans="1:8" x14ac:dyDescent="0.2">
      <c r="A3104" s="91">
        <v>45611</v>
      </c>
      <c r="B3104" s="43">
        <v>42238716</v>
      </c>
      <c r="C3104" s="20" t="s">
        <v>61</v>
      </c>
      <c r="D3104" s="18">
        <v>81918.600000000006</v>
      </c>
      <c r="E3104" s="19"/>
      <c r="F3104" s="15">
        <f t="shared" si="48"/>
        <v>-81918.600000000006</v>
      </c>
    </row>
    <row r="3105" spans="1:8" x14ac:dyDescent="0.2">
      <c r="A3105" s="91">
        <v>45642</v>
      </c>
      <c r="B3105" s="43">
        <v>74240675</v>
      </c>
      <c r="C3105" s="20" t="s">
        <v>61</v>
      </c>
      <c r="D3105" s="18">
        <v>84758.75</v>
      </c>
      <c r="E3105" s="19"/>
      <c r="F3105" s="15">
        <f t="shared" si="48"/>
        <v>-84758.75</v>
      </c>
    </row>
    <row r="3106" spans="1:8" x14ac:dyDescent="0.2">
      <c r="A3106" s="91">
        <v>45677</v>
      </c>
      <c r="B3106" s="46">
        <v>4904082</v>
      </c>
      <c r="C3106" s="9" t="s">
        <v>61</v>
      </c>
      <c r="D3106" s="48">
        <v>88146.45</v>
      </c>
      <c r="E3106" s="49"/>
      <c r="F3106" s="15">
        <f t="shared" si="48"/>
        <v>-88146.45</v>
      </c>
    </row>
    <row r="3107" spans="1:8" x14ac:dyDescent="0.2">
      <c r="A3107" s="91">
        <v>45714</v>
      </c>
      <c r="B3107" s="44">
        <v>73800369</v>
      </c>
      <c r="C3107" s="28" t="s">
        <v>61</v>
      </c>
      <c r="D3107" s="23">
        <v>91667.88</v>
      </c>
      <c r="E3107" s="24"/>
      <c r="F3107" s="15">
        <f t="shared" si="48"/>
        <v>-91667.88</v>
      </c>
    </row>
    <row r="3108" spans="1:8" x14ac:dyDescent="0.2">
      <c r="A3108" s="91">
        <v>45735</v>
      </c>
      <c r="B3108" s="43">
        <v>75348395</v>
      </c>
      <c r="C3108" s="20" t="s">
        <v>61</v>
      </c>
      <c r="D3108" s="18">
        <v>95507.02</v>
      </c>
      <c r="E3108" s="19"/>
      <c r="F3108" s="15">
        <f t="shared" si="48"/>
        <v>-95507.02</v>
      </c>
    </row>
    <row r="3109" spans="1:8" x14ac:dyDescent="0.2">
      <c r="A3109" s="91">
        <v>45797</v>
      </c>
      <c r="B3109" s="43">
        <v>6866085</v>
      </c>
      <c r="C3109" s="20" t="s">
        <v>61</v>
      </c>
      <c r="D3109" s="18">
        <v>108542.53</v>
      </c>
      <c r="E3109" s="19"/>
      <c r="F3109" s="15">
        <f t="shared" si="48"/>
        <v>-108542.53</v>
      </c>
    </row>
    <row r="3110" spans="1:8" x14ac:dyDescent="0.2">
      <c r="A3110" s="91">
        <v>45826</v>
      </c>
      <c r="B3110" s="43">
        <v>1006573</v>
      </c>
      <c r="C3110" s="20" t="s">
        <v>61</v>
      </c>
      <c r="D3110" s="18">
        <v>124773.85</v>
      </c>
      <c r="E3110" s="19"/>
      <c r="F3110" s="15">
        <f t="shared" si="48"/>
        <v>-124773.85</v>
      </c>
    </row>
    <row r="3111" spans="1:8" x14ac:dyDescent="0.2">
      <c r="A3111" s="91">
        <v>45855</v>
      </c>
      <c r="B3111" s="43">
        <v>81063531</v>
      </c>
      <c r="C3111" s="20" t="s">
        <v>61</v>
      </c>
      <c r="D3111" s="18">
        <v>119081.5</v>
      </c>
      <c r="E3111" s="19"/>
      <c r="F3111" s="15">
        <f t="shared" si="48"/>
        <v>-119081.5</v>
      </c>
    </row>
    <row r="3112" spans="1:8" x14ac:dyDescent="0.2">
      <c r="A3112" s="91">
        <v>45889</v>
      </c>
      <c r="B3112" s="43">
        <v>29159115</v>
      </c>
      <c r="C3112" s="20" t="s">
        <v>61</v>
      </c>
      <c r="D3112" s="18">
        <v>122647.5</v>
      </c>
      <c r="E3112" s="19"/>
      <c r="F3112" s="15">
        <f t="shared" si="48"/>
        <v>-122647.5</v>
      </c>
    </row>
    <row r="3113" spans="1:8" x14ac:dyDescent="0.2">
      <c r="A3113" s="91">
        <v>45537</v>
      </c>
      <c r="B3113" s="26"/>
      <c r="C3113" s="17" t="s">
        <v>13</v>
      </c>
      <c r="D3113" s="18">
        <v>70786042</v>
      </c>
      <c r="E3113" s="19"/>
      <c r="F3113" s="15">
        <f t="shared" si="48"/>
        <v>-70786042</v>
      </c>
      <c r="H3113" s="10"/>
    </row>
    <row r="3114" spans="1:8" x14ac:dyDescent="0.2">
      <c r="A3114" s="91">
        <v>45552</v>
      </c>
      <c r="B3114" s="26"/>
      <c r="C3114" s="17" t="s">
        <v>13</v>
      </c>
      <c r="D3114" s="18">
        <v>15991341</v>
      </c>
      <c r="E3114" s="19"/>
      <c r="F3114" s="15">
        <f t="shared" si="48"/>
        <v>-15991341</v>
      </c>
      <c r="H3114" s="10"/>
    </row>
    <row r="3115" spans="1:8" x14ac:dyDescent="0.2">
      <c r="A3115" s="91">
        <v>45568</v>
      </c>
      <c r="B3115" s="45"/>
      <c r="C3115" s="17" t="s">
        <v>13</v>
      </c>
      <c r="D3115" s="18">
        <v>72246488</v>
      </c>
      <c r="E3115" s="19"/>
      <c r="F3115" s="15">
        <f t="shared" si="48"/>
        <v>-72246488</v>
      </c>
    </row>
    <row r="3116" spans="1:8" x14ac:dyDescent="0.2">
      <c r="A3116" s="91">
        <v>45583</v>
      </c>
      <c r="B3116" s="45"/>
      <c r="C3116" s="17" t="s">
        <v>13</v>
      </c>
      <c r="D3116" s="18">
        <v>18901200</v>
      </c>
      <c r="E3116" s="19"/>
      <c r="F3116" s="15">
        <f t="shared" si="48"/>
        <v>-18901200</v>
      </c>
    </row>
    <row r="3117" spans="1:8" x14ac:dyDescent="0.2">
      <c r="A3117" s="91">
        <v>45600</v>
      </c>
      <c r="B3117" s="45"/>
      <c r="C3117" s="17" t="s">
        <v>13</v>
      </c>
      <c r="D3117" s="18">
        <v>71510151</v>
      </c>
      <c r="E3117" s="19"/>
      <c r="F3117" s="15">
        <f t="shared" si="48"/>
        <v>-71510151</v>
      </c>
    </row>
    <row r="3118" spans="1:8" x14ac:dyDescent="0.2">
      <c r="A3118" s="91">
        <v>45611</v>
      </c>
      <c r="B3118" s="45"/>
      <c r="C3118" s="17" t="s">
        <v>13</v>
      </c>
      <c r="D3118" s="18">
        <v>24655839</v>
      </c>
      <c r="E3118" s="19"/>
      <c r="F3118" s="15">
        <f t="shared" si="48"/>
        <v>-24655839</v>
      </c>
    </row>
    <row r="3119" spans="1:8" x14ac:dyDescent="0.2">
      <c r="A3119" s="91">
        <v>45611</v>
      </c>
      <c r="B3119" s="45"/>
      <c r="C3119" s="17" t="s">
        <v>13</v>
      </c>
      <c r="D3119" s="18">
        <v>3836718</v>
      </c>
      <c r="E3119" s="19"/>
      <c r="F3119" s="15">
        <f t="shared" si="48"/>
        <v>-3836718</v>
      </c>
    </row>
    <row r="3120" spans="1:8" x14ac:dyDescent="0.2">
      <c r="A3120" s="91">
        <v>45629</v>
      </c>
      <c r="B3120" s="45"/>
      <c r="C3120" s="17" t="s">
        <v>13</v>
      </c>
      <c r="D3120" s="18">
        <v>74812181</v>
      </c>
      <c r="E3120" s="19"/>
      <c r="F3120" s="15">
        <f t="shared" si="48"/>
        <v>-74812181</v>
      </c>
    </row>
    <row r="3121" spans="1:6" x14ac:dyDescent="0.2">
      <c r="A3121" s="91">
        <v>45639</v>
      </c>
      <c r="B3121" s="45"/>
      <c r="C3121" s="17" t="s">
        <v>13</v>
      </c>
      <c r="D3121" s="18">
        <v>19219947</v>
      </c>
      <c r="E3121" s="19"/>
      <c r="F3121" s="15">
        <f t="shared" si="48"/>
        <v>-19219947</v>
      </c>
    </row>
    <row r="3122" spans="1:6" x14ac:dyDescent="0.2">
      <c r="A3122" s="91">
        <v>45645</v>
      </c>
      <c r="B3122" s="45"/>
      <c r="C3122" s="17" t="s">
        <v>13</v>
      </c>
      <c r="D3122" s="18">
        <v>47730918</v>
      </c>
      <c r="E3122" s="19"/>
      <c r="F3122" s="15">
        <f t="shared" si="48"/>
        <v>-47730918</v>
      </c>
    </row>
    <row r="3123" spans="1:6" x14ac:dyDescent="0.2">
      <c r="A3123" s="91">
        <v>45660</v>
      </c>
      <c r="B3123" s="45"/>
      <c r="C3123" s="17" t="s">
        <v>13</v>
      </c>
      <c r="D3123" s="18">
        <v>76882476</v>
      </c>
      <c r="E3123" s="19"/>
      <c r="F3123" s="15">
        <f t="shared" si="48"/>
        <v>-76882476</v>
      </c>
    </row>
    <row r="3124" spans="1:6" x14ac:dyDescent="0.2">
      <c r="A3124" s="91">
        <v>45673</v>
      </c>
      <c r="B3124" s="45"/>
      <c r="C3124" s="17" t="s">
        <v>13</v>
      </c>
      <c r="D3124" s="18">
        <v>22214022</v>
      </c>
      <c r="E3124" s="19"/>
      <c r="F3124" s="15">
        <f t="shared" si="48"/>
        <v>-22214022</v>
      </c>
    </row>
    <row r="3125" spans="1:6" x14ac:dyDescent="0.2">
      <c r="A3125" s="91">
        <v>45692</v>
      </c>
      <c r="B3125" s="45"/>
      <c r="C3125" s="17" t="s">
        <v>13</v>
      </c>
      <c r="D3125" s="18">
        <v>71154858</v>
      </c>
      <c r="E3125" s="19"/>
      <c r="F3125" s="15">
        <f t="shared" si="48"/>
        <v>-71154858</v>
      </c>
    </row>
    <row r="3126" spans="1:6" x14ac:dyDescent="0.2">
      <c r="A3126" s="91">
        <v>45705</v>
      </c>
      <c r="B3126" s="45"/>
      <c r="C3126" s="17" t="s">
        <v>13</v>
      </c>
      <c r="D3126" s="18">
        <v>20043698.800000001</v>
      </c>
      <c r="E3126" s="19"/>
      <c r="F3126" s="15">
        <f t="shared" si="48"/>
        <v>-20043698.800000001</v>
      </c>
    </row>
    <row r="3127" spans="1:6" x14ac:dyDescent="0.2">
      <c r="A3127" s="91">
        <v>45721</v>
      </c>
      <c r="B3127" s="45"/>
      <c r="C3127" s="17" t="s">
        <v>13</v>
      </c>
      <c r="D3127" s="18">
        <v>71701984</v>
      </c>
      <c r="E3127" s="19"/>
      <c r="F3127" s="15">
        <f t="shared" si="48"/>
        <v>-71701984</v>
      </c>
    </row>
    <row r="3128" spans="1:6" x14ac:dyDescent="0.2">
      <c r="A3128" s="91">
        <v>45734</v>
      </c>
      <c r="B3128" s="45"/>
      <c r="C3128" s="17" t="s">
        <v>13</v>
      </c>
      <c r="D3128" s="18">
        <v>19351285</v>
      </c>
      <c r="E3128" s="19"/>
      <c r="F3128" s="15">
        <f t="shared" si="48"/>
        <v>-19351285</v>
      </c>
    </row>
    <row r="3129" spans="1:6" x14ac:dyDescent="0.2">
      <c r="A3129" s="91">
        <v>45750</v>
      </c>
      <c r="B3129" s="45"/>
      <c r="C3129" s="17" t="s">
        <v>13</v>
      </c>
      <c r="D3129" s="18">
        <v>74932050</v>
      </c>
      <c r="E3129" s="19"/>
      <c r="F3129" s="15">
        <f t="shared" si="48"/>
        <v>-74932050</v>
      </c>
    </row>
    <row r="3130" spans="1:6" x14ac:dyDescent="0.2">
      <c r="A3130" s="91">
        <v>45768</v>
      </c>
      <c r="B3130" s="45"/>
      <c r="C3130" s="17" t="s">
        <v>13</v>
      </c>
      <c r="D3130" s="18">
        <v>25887017</v>
      </c>
      <c r="E3130" s="19"/>
      <c r="F3130" s="15">
        <f t="shared" si="48"/>
        <v>-25887017</v>
      </c>
    </row>
    <row r="3131" spans="1:6" x14ac:dyDescent="0.2">
      <c r="A3131" s="91">
        <v>45782</v>
      </c>
      <c r="B3131" s="45"/>
      <c r="C3131" s="17" t="s">
        <v>13</v>
      </c>
      <c r="D3131" s="18">
        <v>70735114</v>
      </c>
      <c r="E3131" s="19"/>
      <c r="F3131" s="15">
        <f t="shared" si="48"/>
        <v>-70735114</v>
      </c>
    </row>
    <row r="3132" spans="1:6" x14ac:dyDescent="0.2">
      <c r="A3132" s="91">
        <v>45793</v>
      </c>
      <c r="B3132" s="45"/>
      <c r="C3132" s="17" t="s">
        <v>13</v>
      </c>
      <c r="D3132" s="18">
        <v>24459528</v>
      </c>
      <c r="E3132" s="19"/>
      <c r="F3132" s="15">
        <f t="shared" si="48"/>
        <v>-24459528</v>
      </c>
    </row>
    <row r="3133" spans="1:6" x14ac:dyDescent="0.2">
      <c r="A3133" s="91">
        <v>45811</v>
      </c>
      <c r="B3133" s="45"/>
      <c r="C3133" s="17" t="s">
        <v>13</v>
      </c>
      <c r="D3133" s="18">
        <v>70556427</v>
      </c>
      <c r="E3133" s="19"/>
      <c r="F3133" s="15">
        <f t="shared" si="48"/>
        <v>-70556427</v>
      </c>
    </row>
    <row r="3134" spans="1:6" x14ac:dyDescent="0.2">
      <c r="A3134" s="91">
        <v>45821</v>
      </c>
      <c r="B3134" s="51"/>
      <c r="C3134" s="47" t="s">
        <v>13</v>
      </c>
      <c r="D3134" s="48">
        <v>23853076</v>
      </c>
      <c r="E3134" s="49"/>
      <c r="F3134" s="15">
        <f t="shared" si="48"/>
        <v>-23853076</v>
      </c>
    </row>
    <row r="3135" spans="1:6" x14ac:dyDescent="0.2">
      <c r="A3135" s="91">
        <v>45832</v>
      </c>
      <c r="B3135" s="50"/>
      <c r="C3135" s="22" t="s">
        <v>13</v>
      </c>
      <c r="D3135" s="23">
        <v>48355248</v>
      </c>
      <c r="E3135" s="24"/>
      <c r="F3135" s="15">
        <f t="shared" si="48"/>
        <v>-48355248</v>
      </c>
    </row>
    <row r="3136" spans="1:6" x14ac:dyDescent="0.2">
      <c r="A3136" s="91">
        <v>45841</v>
      </c>
      <c r="B3136" s="45"/>
      <c r="C3136" s="17" t="s">
        <v>13</v>
      </c>
      <c r="D3136" s="18">
        <v>72039475</v>
      </c>
      <c r="E3136" s="19"/>
      <c r="F3136" s="15">
        <f t="shared" si="48"/>
        <v>-72039475</v>
      </c>
    </row>
    <row r="3137" spans="1:6" x14ac:dyDescent="0.2">
      <c r="A3137" s="91">
        <v>45855</v>
      </c>
      <c r="B3137" s="45"/>
      <c r="C3137" s="17" t="s">
        <v>13</v>
      </c>
      <c r="D3137" s="18">
        <v>24994267</v>
      </c>
      <c r="E3137" s="19"/>
      <c r="F3137" s="15">
        <f t="shared" si="48"/>
        <v>-24994267</v>
      </c>
    </row>
    <row r="3138" spans="1:6" x14ac:dyDescent="0.2">
      <c r="A3138" s="91">
        <v>45873</v>
      </c>
      <c r="B3138" s="45"/>
      <c r="C3138" s="17" t="s">
        <v>13</v>
      </c>
      <c r="D3138" s="18">
        <v>74071923</v>
      </c>
      <c r="E3138" s="19"/>
      <c r="F3138" s="15">
        <f t="shared" si="48"/>
        <v>-74071923</v>
      </c>
    </row>
    <row r="3139" spans="1:6" x14ac:dyDescent="0.2">
      <c r="A3139" s="91">
        <v>45889</v>
      </c>
      <c r="B3139" s="45"/>
      <c r="C3139" s="17" t="s">
        <v>13</v>
      </c>
      <c r="D3139" s="18">
        <v>27750727</v>
      </c>
      <c r="E3139" s="19"/>
      <c r="F3139" s="15">
        <f t="shared" ref="F3139:F3202" si="49">+E3139-D3139</f>
        <v>-27750727</v>
      </c>
    </row>
    <row r="3140" spans="1:6" x14ac:dyDescent="0.2">
      <c r="A3140" s="91">
        <v>45712</v>
      </c>
      <c r="B3140" s="43">
        <v>15922296</v>
      </c>
      <c r="C3140" s="20" t="s">
        <v>319</v>
      </c>
      <c r="D3140" s="18">
        <v>4990000</v>
      </c>
      <c r="E3140" s="19"/>
      <c r="F3140" s="15">
        <f t="shared" si="49"/>
        <v>-4990000</v>
      </c>
    </row>
    <row r="3141" spans="1:6" x14ac:dyDescent="0.2">
      <c r="A3141" s="91">
        <v>45712</v>
      </c>
      <c r="B3141" s="43">
        <v>15922297</v>
      </c>
      <c r="C3141" s="20" t="s">
        <v>319</v>
      </c>
      <c r="D3141" s="18">
        <v>76000</v>
      </c>
      <c r="E3141" s="19"/>
      <c r="F3141" s="15">
        <f t="shared" si="49"/>
        <v>-76000</v>
      </c>
    </row>
    <row r="3142" spans="1:6" x14ac:dyDescent="0.2">
      <c r="A3142" s="91">
        <v>45712</v>
      </c>
      <c r="B3142" s="43">
        <v>15922298</v>
      </c>
      <c r="C3142" s="20" t="s">
        <v>319</v>
      </c>
      <c r="D3142" s="18">
        <v>386290</v>
      </c>
      <c r="E3142" s="19"/>
      <c r="F3142" s="15">
        <f t="shared" si="49"/>
        <v>-386290</v>
      </c>
    </row>
    <row r="3143" spans="1:6" x14ac:dyDescent="0.2">
      <c r="A3143" s="91">
        <v>45712</v>
      </c>
      <c r="B3143" s="43">
        <v>15922299</v>
      </c>
      <c r="C3143" s="20" t="s">
        <v>319</v>
      </c>
      <c r="D3143" s="18">
        <v>967170</v>
      </c>
      <c r="E3143" s="19"/>
      <c r="F3143" s="15">
        <f t="shared" si="49"/>
        <v>-967170</v>
      </c>
    </row>
    <row r="3144" spans="1:6" x14ac:dyDescent="0.2">
      <c r="A3144" s="91">
        <v>45712</v>
      </c>
      <c r="B3144" s="43">
        <v>15922300</v>
      </c>
      <c r="C3144" s="20" t="s">
        <v>319</v>
      </c>
      <c r="D3144" s="18">
        <v>710400</v>
      </c>
      <c r="E3144" s="19"/>
      <c r="F3144" s="15">
        <f t="shared" si="49"/>
        <v>-710400</v>
      </c>
    </row>
    <row r="3145" spans="1:6" x14ac:dyDescent="0.2">
      <c r="A3145" s="91">
        <v>45712</v>
      </c>
      <c r="B3145" s="43">
        <v>15922301</v>
      </c>
      <c r="C3145" s="20" t="s">
        <v>319</v>
      </c>
      <c r="D3145" s="18">
        <v>617810</v>
      </c>
      <c r="E3145" s="19"/>
      <c r="F3145" s="15">
        <f t="shared" si="49"/>
        <v>-617810</v>
      </c>
    </row>
    <row r="3146" spans="1:6" x14ac:dyDescent="0.2">
      <c r="A3146" s="91">
        <v>45712</v>
      </c>
      <c r="B3146" s="43">
        <v>15922302</v>
      </c>
      <c r="C3146" s="20" t="s">
        <v>319</v>
      </c>
      <c r="D3146" s="18">
        <v>1081800</v>
      </c>
      <c r="E3146" s="19"/>
      <c r="F3146" s="15">
        <f t="shared" si="49"/>
        <v>-1081800</v>
      </c>
    </row>
    <row r="3147" spans="1:6" x14ac:dyDescent="0.2">
      <c r="A3147" s="91">
        <v>45712</v>
      </c>
      <c r="B3147" s="43">
        <v>15922303</v>
      </c>
      <c r="C3147" s="20" t="s">
        <v>319</v>
      </c>
      <c r="D3147" s="18">
        <v>200000</v>
      </c>
      <c r="E3147" s="19"/>
      <c r="F3147" s="15">
        <f t="shared" si="49"/>
        <v>-200000</v>
      </c>
    </row>
    <row r="3148" spans="1:6" x14ac:dyDescent="0.2">
      <c r="A3148" s="91">
        <v>45712</v>
      </c>
      <c r="B3148" s="43">
        <v>15922304</v>
      </c>
      <c r="C3148" s="20" t="s">
        <v>319</v>
      </c>
      <c r="D3148" s="18">
        <v>4861000</v>
      </c>
      <c r="E3148" s="19"/>
      <c r="F3148" s="15">
        <f t="shared" si="49"/>
        <v>-4861000</v>
      </c>
    </row>
    <row r="3149" spans="1:6" x14ac:dyDescent="0.2">
      <c r="A3149" s="91">
        <v>45712</v>
      </c>
      <c r="B3149" s="43">
        <v>15922305</v>
      </c>
      <c r="C3149" s="20" t="s">
        <v>319</v>
      </c>
      <c r="D3149" s="18">
        <v>222000</v>
      </c>
      <c r="E3149" s="19"/>
      <c r="F3149" s="15">
        <f t="shared" si="49"/>
        <v>-222000</v>
      </c>
    </row>
    <row r="3150" spans="1:6" x14ac:dyDescent="0.2">
      <c r="A3150" s="91">
        <v>45712</v>
      </c>
      <c r="B3150" s="43">
        <v>15922306</v>
      </c>
      <c r="C3150" s="20" t="s">
        <v>319</v>
      </c>
      <c r="D3150" s="18">
        <v>741000</v>
      </c>
      <c r="E3150" s="19"/>
      <c r="F3150" s="15">
        <f t="shared" si="49"/>
        <v>-741000</v>
      </c>
    </row>
    <row r="3151" spans="1:6" x14ac:dyDescent="0.2">
      <c r="A3151" s="91">
        <v>45712</v>
      </c>
      <c r="B3151" s="43">
        <v>15922307</v>
      </c>
      <c r="C3151" s="20" t="s">
        <v>319</v>
      </c>
      <c r="D3151" s="18">
        <v>2606325</v>
      </c>
      <c r="E3151" s="19"/>
      <c r="F3151" s="15">
        <f t="shared" si="49"/>
        <v>-2606325</v>
      </c>
    </row>
    <row r="3152" spans="1:6" x14ac:dyDescent="0.2">
      <c r="A3152" s="91">
        <v>45712</v>
      </c>
      <c r="B3152" s="43">
        <v>15922308</v>
      </c>
      <c r="C3152" s="20" t="s">
        <v>319</v>
      </c>
      <c r="D3152" s="18">
        <v>139650</v>
      </c>
      <c r="E3152" s="19"/>
      <c r="F3152" s="15">
        <f t="shared" si="49"/>
        <v>-139650</v>
      </c>
    </row>
    <row r="3153" spans="1:6" x14ac:dyDescent="0.2">
      <c r="A3153" s="91">
        <v>45712</v>
      </c>
      <c r="B3153" s="43">
        <v>15922309</v>
      </c>
      <c r="C3153" s="20" t="s">
        <v>319</v>
      </c>
      <c r="D3153" s="18">
        <v>2925000</v>
      </c>
      <c r="E3153" s="19"/>
      <c r="F3153" s="15">
        <f t="shared" si="49"/>
        <v>-2925000</v>
      </c>
    </row>
    <row r="3154" spans="1:6" x14ac:dyDescent="0.2">
      <c r="A3154" s="91">
        <v>45712</v>
      </c>
      <c r="B3154" s="43">
        <v>15922310</v>
      </c>
      <c r="C3154" s="20" t="s">
        <v>319</v>
      </c>
      <c r="D3154" s="18">
        <v>195000</v>
      </c>
      <c r="E3154" s="19"/>
      <c r="F3154" s="15">
        <f t="shared" si="49"/>
        <v>-195000</v>
      </c>
    </row>
    <row r="3155" spans="1:6" x14ac:dyDescent="0.2">
      <c r="A3155" s="91">
        <v>45712</v>
      </c>
      <c r="B3155" s="43">
        <v>15922311</v>
      </c>
      <c r="C3155" s="20" t="s">
        <v>319</v>
      </c>
      <c r="D3155" s="18">
        <v>305520</v>
      </c>
      <c r="E3155" s="19"/>
      <c r="F3155" s="15">
        <f t="shared" si="49"/>
        <v>-305520</v>
      </c>
    </row>
    <row r="3156" spans="1:6" x14ac:dyDescent="0.2">
      <c r="A3156" s="91">
        <v>45712</v>
      </c>
      <c r="B3156" s="43">
        <v>15922312</v>
      </c>
      <c r="C3156" s="20" t="s">
        <v>319</v>
      </c>
      <c r="D3156" s="18">
        <v>55100</v>
      </c>
      <c r="E3156" s="19"/>
      <c r="F3156" s="15">
        <f t="shared" si="49"/>
        <v>-55100</v>
      </c>
    </row>
    <row r="3157" spans="1:6" x14ac:dyDescent="0.2">
      <c r="A3157" s="91">
        <v>45712</v>
      </c>
      <c r="B3157" s="43">
        <v>15922313</v>
      </c>
      <c r="C3157" s="20" t="s">
        <v>319</v>
      </c>
      <c r="D3157" s="18">
        <v>895086</v>
      </c>
      <c r="E3157" s="19"/>
      <c r="F3157" s="15">
        <f t="shared" si="49"/>
        <v>-895086</v>
      </c>
    </row>
    <row r="3158" spans="1:6" x14ac:dyDescent="0.2">
      <c r="A3158" s="91">
        <v>45712</v>
      </c>
      <c r="B3158" s="43">
        <v>15922314</v>
      </c>
      <c r="C3158" s="20" t="s">
        <v>319</v>
      </c>
      <c r="D3158" s="18">
        <v>1458820</v>
      </c>
      <c r="E3158" s="19"/>
      <c r="F3158" s="15">
        <f t="shared" si="49"/>
        <v>-1458820</v>
      </c>
    </row>
    <row r="3159" spans="1:6" x14ac:dyDescent="0.2">
      <c r="A3159" s="91">
        <v>45712</v>
      </c>
      <c r="B3159" s="43">
        <v>15922315</v>
      </c>
      <c r="C3159" s="20" t="s">
        <v>319</v>
      </c>
      <c r="D3159" s="18">
        <v>491100</v>
      </c>
      <c r="E3159" s="19"/>
      <c r="F3159" s="15">
        <f t="shared" si="49"/>
        <v>-491100</v>
      </c>
    </row>
    <row r="3160" spans="1:6" x14ac:dyDescent="0.2">
      <c r="A3160" s="91">
        <v>45712</v>
      </c>
      <c r="B3160" s="43">
        <v>15922316</v>
      </c>
      <c r="C3160" s="20" t="s">
        <v>319</v>
      </c>
      <c r="D3160" s="18">
        <v>450000</v>
      </c>
      <c r="E3160" s="19"/>
      <c r="F3160" s="15">
        <f t="shared" si="49"/>
        <v>-450000</v>
      </c>
    </row>
    <row r="3161" spans="1:6" x14ac:dyDescent="0.2">
      <c r="A3161" s="91">
        <v>45712</v>
      </c>
      <c r="B3161" s="43">
        <v>15922317</v>
      </c>
      <c r="C3161" s="20" t="s">
        <v>319</v>
      </c>
      <c r="D3161" s="18">
        <v>180600</v>
      </c>
      <c r="E3161" s="19"/>
      <c r="F3161" s="15">
        <f t="shared" si="49"/>
        <v>-180600</v>
      </c>
    </row>
    <row r="3162" spans="1:6" x14ac:dyDescent="0.2">
      <c r="A3162" s="91">
        <v>45712</v>
      </c>
      <c r="B3162" s="43">
        <v>15922318</v>
      </c>
      <c r="C3162" s="20" t="s">
        <v>319</v>
      </c>
      <c r="D3162" s="18">
        <v>592000</v>
      </c>
      <c r="E3162" s="19"/>
      <c r="F3162" s="15">
        <f t="shared" si="49"/>
        <v>-592000</v>
      </c>
    </row>
    <row r="3163" spans="1:6" x14ac:dyDescent="0.2">
      <c r="A3163" s="91">
        <v>45712</v>
      </c>
      <c r="B3163" s="43">
        <v>15922319</v>
      </c>
      <c r="C3163" s="20" t="s">
        <v>319</v>
      </c>
      <c r="D3163" s="18">
        <v>736500</v>
      </c>
      <c r="E3163" s="19"/>
      <c r="F3163" s="15">
        <f t="shared" si="49"/>
        <v>-736500</v>
      </c>
    </row>
    <row r="3164" spans="1:6" x14ac:dyDescent="0.2">
      <c r="A3164" s="91">
        <v>45712</v>
      </c>
      <c r="B3164" s="46">
        <v>15922320</v>
      </c>
      <c r="C3164" s="9" t="s">
        <v>319</v>
      </c>
      <c r="D3164" s="48">
        <v>1426425</v>
      </c>
      <c r="E3164" s="49"/>
      <c r="F3164" s="15">
        <f t="shared" si="49"/>
        <v>-1426425</v>
      </c>
    </row>
    <row r="3165" spans="1:6" x14ac:dyDescent="0.2">
      <c r="A3165" s="91">
        <v>45712</v>
      </c>
      <c r="B3165" s="44">
        <v>15922321</v>
      </c>
      <c r="C3165" s="28" t="s">
        <v>319</v>
      </c>
      <c r="D3165" s="23">
        <v>72200</v>
      </c>
      <c r="E3165" s="24"/>
      <c r="F3165" s="15">
        <f t="shared" si="49"/>
        <v>-72200</v>
      </c>
    </row>
    <row r="3166" spans="1:6" x14ac:dyDescent="0.2">
      <c r="A3166" s="91">
        <v>45712</v>
      </c>
      <c r="B3166" s="43">
        <v>15922322</v>
      </c>
      <c r="C3166" s="20" t="s">
        <v>319</v>
      </c>
      <c r="D3166" s="18">
        <v>262500</v>
      </c>
      <c r="E3166" s="19"/>
      <c r="F3166" s="15">
        <f t="shared" si="49"/>
        <v>-262500</v>
      </c>
    </row>
    <row r="3167" spans="1:6" x14ac:dyDescent="0.2">
      <c r="A3167" s="91">
        <v>45712</v>
      </c>
      <c r="B3167" s="43">
        <v>15922323</v>
      </c>
      <c r="C3167" s="20" t="s">
        <v>319</v>
      </c>
      <c r="D3167" s="18">
        <v>956900</v>
      </c>
      <c r="E3167" s="19"/>
      <c r="F3167" s="15">
        <f t="shared" si="49"/>
        <v>-956900</v>
      </c>
    </row>
    <row r="3168" spans="1:6" x14ac:dyDescent="0.2">
      <c r="A3168" s="91">
        <v>45712</v>
      </c>
      <c r="B3168" s="43">
        <v>15922324</v>
      </c>
      <c r="C3168" s="20" t="s">
        <v>319</v>
      </c>
      <c r="D3168" s="18">
        <v>304800</v>
      </c>
      <c r="E3168" s="19"/>
      <c r="F3168" s="15">
        <f t="shared" si="49"/>
        <v>-304800</v>
      </c>
    </row>
    <row r="3169" spans="1:6" x14ac:dyDescent="0.2">
      <c r="A3169" s="91">
        <v>45712</v>
      </c>
      <c r="B3169" s="43">
        <v>15922325</v>
      </c>
      <c r="C3169" s="20" t="s">
        <v>319</v>
      </c>
      <c r="D3169" s="18">
        <v>1236800</v>
      </c>
      <c r="E3169" s="19"/>
      <c r="F3169" s="15">
        <f t="shared" si="49"/>
        <v>-1236800</v>
      </c>
    </row>
    <row r="3170" spans="1:6" x14ac:dyDescent="0.2">
      <c r="A3170" s="91">
        <v>45712</v>
      </c>
      <c r="B3170" s="43">
        <v>15922326</v>
      </c>
      <c r="C3170" s="20" t="s">
        <v>319</v>
      </c>
      <c r="D3170" s="18">
        <v>600000</v>
      </c>
      <c r="E3170" s="19"/>
      <c r="F3170" s="15">
        <f t="shared" si="49"/>
        <v>-600000</v>
      </c>
    </row>
    <row r="3171" spans="1:6" x14ac:dyDescent="0.2">
      <c r="A3171" s="91">
        <v>45712</v>
      </c>
      <c r="B3171" s="43">
        <v>15922327</v>
      </c>
      <c r="C3171" s="20" t="s">
        <v>319</v>
      </c>
      <c r="D3171" s="18">
        <v>2440000</v>
      </c>
      <c r="E3171" s="19"/>
      <c r="F3171" s="15">
        <f t="shared" si="49"/>
        <v>-2440000</v>
      </c>
    </row>
    <row r="3172" spans="1:6" x14ac:dyDescent="0.2">
      <c r="A3172" s="91">
        <v>45712</v>
      </c>
      <c r="B3172" s="43">
        <v>15922328</v>
      </c>
      <c r="C3172" s="20" t="s">
        <v>319</v>
      </c>
      <c r="D3172" s="18">
        <v>300000</v>
      </c>
      <c r="E3172" s="19"/>
      <c r="F3172" s="15">
        <f t="shared" si="49"/>
        <v>-300000</v>
      </c>
    </row>
    <row r="3173" spans="1:6" x14ac:dyDescent="0.2">
      <c r="A3173" s="91">
        <v>45712</v>
      </c>
      <c r="B3173" s="43">
        <v>15922329</v>
      </c>
      <c r="C3173" s="20" t="s">
        <v>319</v>
      </c>
      <c r="D3173" s="18">
        <v>1217090</v>
      </c>
      <c r="E3173" s="19"/>
      <c r="F3173" s="15">
        <f t="shared" si="49"/>
        <v>-1217090</v>
      </c>
    </row>
    <row r="3174" spans="1:6" x14ac:dyDescent="0.2">
      <c r="A3174" s="91">
        <v>45712</v>
      </c>
      <c r="B3174" s="43">
        <v>15922330</v>
      </c>
      <c r="C3174" s="20" t="s">
        <v>319</v>
      </c>
      <c r="D3174" s="18">
        <v>522000</v>
      </c>
      <c r="E3174" s="19"/>
      <c r="F3174" s="15">
        <f t="shared" si="49"/>
        <v>-522000</v>
      </c>
    </row>
    <row r="3175" spans="1:6" x14ac:dyDescent="0.2">
      <c r="A3175" s="91">
        <v>45712</v>
      </c>
      <c r="B3175" s="43">
        <v>15922331</v>
      </c>
      <c r="C3175" s="20" t="s">
        <v>319</v>
      </c>
      <c r="D3175" s="18">
        <v>2496800</v>
      </c>
      <c r="E3175" s="19"/>
      <c r="F3175" s="15">
        <f t="shared" si="49"/>
        <v>-2496800</v>
      </c>
    </row>
    <row r="3176" spans="1:6" x14ac:dyDescent="0.2">
      <c r="A3176" s="91">
        <v>45712</v>
      </c>
      <c r="B3176" s="43">
        <v>15922332</v>
      </c>
      <c r="C3176" s="20" t="s">
        <v>319</v>
      </c>
      <c r="D3176" s="18">
        <v>1353500</v>
      </c>
      <c r="E3176" s="19"/>
      <c r="F3176" s="15">
        <f t="shared" si="49"/>
        <v>-1353500</v>
      </c>
    </row>
    <row r="3177" spans="1:6" x14ac:dyDescent="0.2">
      <c r="A3177" s="91">
        <v>45712</v>
      </c>
      <c r="B3177" s="43">
        <v>15922333</v>
      </c>
      <c r="C3177" s="20" t="s">
        <v>319</v>
      </c>
      <c r="D3177" s="18">
        <v>2852850</v>
      </c>
      <c r="E3177" s="19"/>
      <c r="F3177" s="15">
        <f t="shared" si="49"/>
        <v>-2852850</v>
      </c>
    </row>
    <row r="3178" spans="1:6" x14ac:dyDescent="0.2">
      <c r="A3178" s="91">
        <v>45712</v>
      </c>
      <c r="B3178" s="43">
        <v>15922334</v>
      </c>
      <c r="C3178" s="20" t="s">
        <v>319</v>
      </c>
      <c r="D3178" s="18">
        <v>800000</v>
      </c>
      <c r="E3178" s="19"/>
      <c r="F3178" s="15">
        <f t="shared" si="49"/>
        <v>-800000</v>
      </c>
    </row>
    <row r="3179" spans="1:6" x14ac:dyDescent="0.2">
      <c r="A3179" s="91">
        <v>45712</v>
      </c>
      <c r="B3179" s="43">
        <v>15922335</v>
      </c>
      <c r="C3179" s="20" t="s">
        <v>319</v>
      </c>
      <c r="D3179" s="18">
        <v>691590</v>
      </c>
      <c r="E3179" s="19"/>
      <c r="F3179" s="15">
        <f t="shared" si="49"/>
        <v>-691590</v>
      </c>
    </row>
    <row r="3180" spans="1:6" x14ac:dyDescent="0.2">
      <c r="A3180" s="91">
        <v>45712</v>
      </c>
      <c r="B3180" s="66">
        <v>15922336</v>
      </c>
      <c r="C3180" s="83" t="s">
        <v>319</v>
      </c>
      <c r="D3180" s="64">
        <v>105700</v>
      </c>
      <c r="E3180" s="35"/>
      <c r="F3180" s="15">
        <f t="shared" si="49"/>
        <v>-105700</v>
      </c>
    </row>
    <row r="3181" spans="1:6" x14ac:dyDescent="0.2">
      <c r="A3181" s="92">
        <v>45712</v>
      </c>
      <c r="B3181" s="70">
        <v>15922337</v>
      </c>
      <c r="C3181" s="9" t="s">
        <v>319</v>
      </c>
      <c r="D3181" s="63">
        <v>61750</v>
      </c>
      <c r="E3181" s="49"/>
      <c r="F3181" s="15">
        <f t="shared" si="49"/>
        <v>-61750</v>
      </c>
    </row>
    <row r="3182" spans="1:6" x14ac:dyDescent="0.2">
      <c r="A3182" s="92">
        <v>45712</v>
      </c>
      <c r="B3182" s="70">
        <v>15922338</v>
      </c>
      <c r="C3182" s="9" t="s">
        <v>319</v>
      </c>
      <c r="D3182" s="63">
        <v>2837000</v>
      </c>
      <c r="E3182" s="49"/>
      <c r="F3182" s="15">
        <f t="shared" si="49"/>
        <v>-2837000</v>
      </c>
    </row>
    <row r="3183" spans="1:6" x14ac:dyDescent="0.2">
      <c r="A3183" s="92">
        <v>45712</v>
      </c>
      <c r="B3183" s="70">
        <v>15922339</v>
      </c>
      <c r="C3183" s="9" t="s">
        <v>319</v>
      </c>
      <c r="D3183" s="63">
        <v>300000</v>
      </c>
      <c r="E3183" s="49"/>
      <c r="F3183" s="15">
        <f t="shared" si="49"/>
        <v>-300000</v>
      </c>
    </row>
    <row r="3184" spans="1:6" x14ac:dyDescent="0.2">
      <c r="A3184" s="91">
        <v>45712</v>
      </c>
      <c r="B3184" s="72">
        <v>15922340</v>
      </c>
      <c r="C3184" s="65" t="s">
        <v>319</v>
      </c>
      <c r="D3184" s="8">
        <v>1078250</v>
      </c>
      <c r="E3184" s="7"/>
      <c r="F3184" s="15">
        <f t="shared" si="49"/>
        <v>-1078250</v>
      </c>
    </row>
    <row r="3185" spans="1:6" x14ac:dyDescent="0.2">
      <c r="A3185" s="91">
        <v>45712</v>
      </c>
      <c r="B3185" s="60">
        <v>15922341</v>
      </c>
      <c r="C3185" s="12" t="s">
        <v>319</v>
      </c>
      <c r="D3185" s="13">
        <v>79800</v>
      </c>
      <c r="E3185" s="14"/>
      <c r="F3185" s="15">
        <f t="shared" si="49"/>
        <v>-79800</v>
      </c>
    </row>
    <row r="3186" spans="1:6" x14ac:dyDescent="0.2">
      <c r="A3186" s="91">
        <v>45712</v>
      </c>
      <c r="B3186" s="43">
        <v>15922342</v>
      </c>
      <c r="C3186" s="20" t="s">
        <v>319</v>
      </c>
      <c r="D3186" s="18">
        <v>242000</v>
      </c>
      <c r="E3186" s="19"/>
      <c r="F3186" s="15">
        <f t="shared" si="49"/>
        <v>-242000</v>
      </c>
    </row>
    <row r="3187" spans="1:6" x14ac:dyDescent="0.2">
      <c r="A3187" s="91">
        <v>45712</v>
      </c>
      <c r="B3187" s="43">
        <v>15922343</v>
      </c>
      <c r="C3187" s="20" t="s">
        <v>319</v>
      </c>
      <c r="D3187" s="18">
        <v>1290100</v>
      </c>
      <c r="E3187" s="19"/>
      <c r="F3187" s="15">
        <f t="shared" si="49"/>
        <v>-1290100</v>
      </c>
    </row>
    <row r="3188" spans="1:6" x14ac:dyDescent="0.2">
      <c r="A3188" s="91">
        <v>45712</v>
      </c>
      <c r="B3188" s="43">
        <v>15922344</v>
      </c>
      <c r="C3188" s="20" t="s">
        <v>319</v>
      </c>
      <c r="D3188" s="18">
        <v>185000</v>
      </c>
      <c r="E3188" s="19"/>
      <c r="F3188" s="15">
        <f t="shared" si="49"/>
        <v>-185000</v>
      </c>
    </row>
    <row r="3189" spans="1:6" x14ac:dyDescent="0.2">
      <c r="A3189" s="91">
        <v>45712</v>
      </c>
      <c r="B3189" s="43">
        <v>15922345</v>
      </c>
      <c r="C3189" s="20" t="s">
        <v>319</v>
      </c>
      <c r="D3189" s="18">
        <v>1048800</v>
      </c>
      <c r="E3189" s="19"/>
      <c r="F3189" s="15">
        <f t="shared" si="49"/>
        <v>-1048800</v>
      </c>
    </row>
    <row r="3190" spans="1:6" x14ac:dyDescent="0.2">
      <c r="A3190" s="91">
        <v>45712</v>
      </c>
      <c r="B3190" s="43">
        <v>15922346</v>
      </c>
      <c r="C3190" s="20" t="s">
        <v>319</v>
      </c>
      <c r="D3190" s="18">
        <v>180000</v>
      </c>
      <c r="E3190" s="19"/>
      <c r="F3190" s="15">
        <f t="shared" si="49"/>
        <v>-180000</v>
      </c>
    </row>
    <row r="3191" spans="1:6" x14ac:dyDescent="0.2">
      <c r="A3191" s="91">
        <v>45712</v>
      </c>
      <c r="B3191" s="43">
        <v>15922347</v>
      </c>
      <c r="C3191" s="20" t="s">
        <v>319</v>
      </c>
      <c r="D3191" s="18">
        <v>1100000</v>
      </c>
      <c r="E3191" s="19"/>
      <c r="F3191" s="15">
        <f t="shared" si="49"/>
        <v>-1100000</v>
      </c>
    </row>
    <row r="3192" spans="1:6" x14ac:dyDescent="0.2">
      <c r="A3192" s="91">
        <v>45712</v>
      </c>
      <c r="B3192" s="43">
        <v>15922348</v>
      </c>
      <c r="C3192" s="20" t="s">
        <v>319</v>
      </c>
      <c r="D3192" s="18">
        <v>364800</v>
      </c>
      <c r="E3192" s="19"/>
      <c r="F3192" s="15">
        <f t="shared" si="49"/>
        <v>-364800</v>
      </c>
    </row>
    <row r="3193" spans="1:6" x14ac:dyDescent="0.2">
      <c r="A3193" s="91">
        <v>45712</v>
      </c>
      <c r="B3193" s="43">
        <v>15922349</v>
      </c>
      <c r="C3193" s="20" t="s">
        <v>319</v>
      </c>
      <c r="D3193" s="18">
        <v>400000</v>
      </c>
      <c r="E3193" s="19"/>
      <c r="F3193" s="15">
        <f t="shared" si="49"/>
        <v>-400000</v>
      </c>
    </row>
    <row r="3194" spans="1:6" x14ac:dyDescent="0.2">
      <c r="A3194" s="91">
        <v>45712</v>
      </c>
      <c r="B3194" s="43">
        <v>15922350</v>
      </c>
      <c r="C3194" s="20" t="s">
        <v>319</v>
      </c>
      <c r="D3194" s="18">
        <v>774400</v>
      </c>
      <c r="E3194" s="19"/>
      <c r="F3194" s="15">
        <f t="shared" si="49"/>
        <v>-774400</v>
      </c>
    </row>
    <row r="3195" spans="1:6" x14ac:dyDescent="0.2">
      <c r="A3195" s="91">
        <v>45712</v>
      </c>
      <c r="B3195" s="43">
        <v>15922351</v>
      </c>
      <c r="C3195" s="20" t="s">
        <v>319</v>
      </c>
      <c r="D3195" s="18">
        <v>392000</v>
      </c>
      <c r="E3195" s="19"/>
      <c r="F3195" s="15">
        <f t="shared" si="49"/>
        <v>-392000</v>
      </c>
    </row>
    <row r="3196" spans="1:6" x14ac:dyDescent="0.2">
      <c r="A3196" s="91">
        <v>45712</v>
      </c>
      <c r="B3196" s="43">
        <v>15922352</v>
      </c>
      <c r="C3196" s="20" t="s">
        <v>319</v>
      </c>
      <c r="D3196" s="18">
        <v>665000</v>
      </c>
      <c r="E3196" s="19"/>
      <c r="F3196" s="15">
        <f t="shared" si="49"/>
        <v>-665000</v>
      </c>
    </row>
    <row r="3197" spans="1:6" x14ac:dyDescent="0.2">
      <c r="A3197" s="91">
        <v>45742</v>
      </c>
      <c r="B3197" s="43">
        <v>16525589</v>
      </c>
      <c r="C3197" s="20" t="s">
        <v>319</v>
      </c>
      <c r="D3197" s="18">
        <v>4750000</v>
      </c>
      <c r="E3197" s="19"/>
      <c r="F3197" s="15">
        <f t="shared" si="49"/>
        <v>-4750000</v>
      </c>
    </row>
    <row r="3198" spans="1:6" x14ac:dyDescent="0.2">
      <c r="A3198" s="91">
        <v>45742</v>
      </c>
      <c r="B3198" s="43">
        <v>16525590</v>
      </c>
      <c r="C3198" s="20" t="s">
        <v>319</v>
      </c>
      <c r="D3198" s="18">
        <v>76000</v>
      </c>
      <c r="E3198" s="19"/>
      <c r="F3198" s="15">
        <f t="shared" si="49"/>
        <v>-76000</v>
      </c>
    </row>
    <row r="3199" spans="1:6" x14ac:dyDescent="0.2">
      <c r="A3199" s="91">
        <v>45742</v>
      </c>
      <c r="B3199" s="43">
        <v>16525591</v>
      </c>
      <c r="C3199" s="20" t="s">
        <v>319</v>
      </c>
      <c r="D3199" s="18">
        <v>593710</v>
      </c>
      <c r="E3199" s="19"/>
      <c r="F3199" s="15">
        <f t="shared" si="49"/>
        <v>-593710</v>
      </c>
    </row>
    <row r="3200" spans="1:6" x14ac:dyDescent="0.2">
      <c r="A3200" s="91">
        <v>45742</v>
      </c>
      <c r="B3200" s="43">
        <v>16525592</v>
      </c>
      <c r="C3200" s="20" t="s">
        <v>319</v>
      </c>
      <c r="D3200" s="18">
        <v>1946178</v>
      </c>
      <c r="E3200" s="19"/>
      <c r="F3200" s="15">
        <f t="shared" si="49"/>
        <v>-1946178</v>
      </c>
    </row>
    <row r="3201" spans="1:6" x14ac:dyDescent="0.2">
      <c r="A3201" s="91">
        <v>45742</v>
      </c>
      <c r="B3201" s="43">
        <v>16525593</v>
      </c>
      <c r="C3201" s="20" t="s">
        <v>319</v>
      </c>
      <c r="D3201" s="18">
        <v>913600</v>
      </c>
      <c r="E3201" s="19"/>
      <c r="F3201" s="15">
        <f t="shared" si="49"/>
        <v>-913600</v>
      </c>
    </row>
    <row r="3202" spans="1:6" x14ac:dyDescent="0.2">
      <c r="A3202" s="91">
        <v>45742</v>
      </c>
      <c r="B3202" s="43">
        <v>16525594</v>
      </c>
      <c r="C3202" s="20" t="s">
        <v>319</v>
      </c>
      <c r="D3202" s="18">
        <v>607610</v>
      </c>
      <c r="E3202" s="19"/>
      <c r="F3202" s="15">
        <f t="shared" si="49"/>
        <v>-607610</v>
      </c>
    </row>
    <row r="3203" spans="1:6" x14ac:dyDescent="0.2">
      <c r="A3203" s="91">
        <v>45742</v>
      </c>
      <c r="B3203" s="43">
        <v>16525595</v>
      </c>
      <c r="C3203" s="20" t="s">
        <v>319</v>
      </c>
      <c r="D3203" s="18">
        <v>1065600</v>
      </c>
      <c r="E3203" s="19"/>
      <c r="F3203" s="15">
        <f t="shared" ref="F3203:F3266" si="50">+E3203-D3203</f>
        <v>-1065600</v>
      </c>
    </row>
    <row r="3204" spans="1:6" x14ac:dyDescent="0.2">
      <c r="A3204" s="91">
        <v>45742</v>
      </c>
      <c r="B3204" s="46">
        <v>16525596</v>
      </c>
      <c r="C3204" s="56" t="s">
        <v>319</v>
      </c>
      <c r="D3204" s="48">
        <v>200000</v>
      </c>
      <c r="E3204" s="49"/>
      <c r="F3204" s="15">
        <f t="shared" si="50"/>
        <v>-200000</v>
      </c>
    </row>
    <row r="3205" spans="1:6" x14ac:dyDescent="0.2">
      <c r="A3205" s="91">
        <v>45742</v>
      </c>
      <c r="B3205" s="44">
        <v>16525597</v>
      </c>
      <c r="C3205" s="57" t="s">
        <v>319</v>
      </c>
      <c r="D3205" s="23">
        <v>4512150</v>
      </c>
      <c r="E3205" s="24"/>
      <c r="F3205" s="15">
        <f t="shared" si="50"/>
        <v>-4512150</v>
      </c>
    </row>
    <row r="3206" spans="1:6" x14ac:dyDescent="0.2">
      <c r="A3206" s="91">
        <v>45742</v>
      </c>
      <c r="B3206" s="43">
        <v>16525598</v>
      </c>
      <c r="C3206" s="20" t="s">
        <v>319</v>
      </c>
      <c r="D3206" s="18">
        <v>222000</v>
      </c>
      <c r="E3206" s="19"/>
      <c r="F3206" s="15">
        <f t="shared" si="50"/>
        <v>-222000</v>
      </c>
    </row>
    <row r="3207" spans="1:6" x14ac:dyDescent="0.2">
      <c r="A3207" s="91">
        <v>45742</v>
      </c>
      <c r="B3207" s="43">
        <v>16525599</v>
      </c>
      <c r="C3207" s="20" t="s">
        <v>319</v>
      </c>
      <c r="D3207" s="18">
        <v>741000</v>
      </c>
      <c r="E3207" s="19"/>
      <c r="F3207" s="15">
        <f t="shared" si="50"/>
        <v>-741000</v>
      </c>
    </row>
    <row r="3208" spans="1:6" x14ac:dyDescent="0.2">
      <c r="A3208" s="91">
        <v>45742</v>
      </c>
      <c r="B3208" s="43">
        <v>16525600</v>
      </c>
      <c r="C3208" s="20" t="s">
        <v>319</v>
      </c>
      <c r="D3208" s="18">
        <v>1482475</v>
      </c>
      <c r="E3208" s="19"/>
      <c r="F3208" s="15">
        <f t="shared" si="50"/>
        <v>-1482475</v>
      </c>
    </row>
    <row r="3209" spans="1:6" x14ac:dyDescent="0.2">
      <c r="A3209" s="91">
        <v>45742</v>
      </c>
      <c r="B3209" s="43">
        <v>16525601</v>
      </c>
      <c r="C3209" s="20" t="s">
        <v>319</v>
      </c>
      <c r="D3209" s="18">
        <v>835430</v>
      </c>
      <c r="E3209" s="19"/>
      <c r="F3209" s="15">
        <f t="shared" si="50"/>
        <v>-835430</v>
      </c>
    </row>
    <row r="3210" spans="1:6" x14ac:dyDescent="0.2">
      <c r="A3210" s="91">
        <v>45742</v>
      </c>
      <c r="B3210" s="43">
        <v>16525602</v>
      </c>
      <c r="C3210" s="20" t="s">
        <v>319</v>
      </c>
      <c r="D3210" s="18">
        <v>2280000</v>
      </c>
      <c r="E3210" s="19"/>
      <c r="F3210" s="15">
        <f t="shared" si="50"/>
        <v>-2280000</v>
      </c>
    </row>
    <row r="3211" spans="1:6" x14ac:dyDescent="0.2">
      <c r="A3211" s="91">
        <v>45742</v>
      </c>
      <c r="B3211" s="43">
        <v>16525603</v>
      </c>
      <c r="C3211" s="20" t="s">
        <v>319</v>
      </c>
      <c r="D3211" s="18">
        <v>195000</v>
      </c>
      <c r="E3211" s="19"/>
      <c r="F3211" s="15">
        <f t="shared" si="50"/>
        <v>-195000</v>
      </c>
    </row>
    <row r="3212" spans="1:6" x14ac:dyDescent="0.2">
      <c r="A3212" s="91">
        <v>45742</v>
      </c>
      <c r="B3212" s="43">
        <v>16525604</v>
      </c>
      <c r="C3212" s="20" t="s">
        <v>319</v>
      </c>
      <c r="D3212" s="18">
        <v>558220</v>
      </c>
      <c r="E3212" s="19"/>
      <c r="F3212" s="15">
        <f t="shared" si="50"/>
        <v>-558220</v>
      </c>
    </row>
    <row r="3213" spans="1:6" x14ac:dyDescent="0.2">
      <c r="A3213" s="91">
        <v>45742</v>
      </c>
      <c r="B3213" s="43">
        <v>16525605</v>
      </c>
      <c r="C3213" s="20" t="s">
        <v>319</v>
      </c>
      <c r="D3213" s="18">
        <v>91200</v>
      </c>
      <c r="E3213" s="19"/>
      <c r="F3213" s="15">
        <f t="shared" si="50"/>
        <v>-91200</v>
      </c>
    </row>
    <row r="3214" spans="1:6" x14ac:dyDescent="0.2">
      <c r="A3214" s="91">
        <v>45742</v>
      </c>
      <c r="B3214" s="43">
        <v>16525606</v>
      </c>
      <c r="C3214" s="20" t="s">
        <v>319</v>
      </c>
      <c r="D3214" s="18">
        <v>643974</v>
      </c>
      <c r="E3214" s="19"/>
      <c r="F3214" s="15">
        <f t="shared" si="50"/>
        <v>-643974</v>
      </c>
    </row>
    <row r="3215" spans="1:6" x14ac:dyDescent="0.2">
      <c r="A3215" s="91">
        <v>45742</v>
      </c>
      <c r="B3215" s="43">
        <v>16525607</v>
      </c>
      <c r="C3215" s="20" t="s">
        <v>319</v>
      </c>
      <c r="D3215" s="18">
        <v>1381680</v>
      </c>
      <c r="E3215" s="19"/>
      <c r="F3215" s="15">
        <f t="shared" si="50"/>
        <v>-1381680</v>
      </c>
    </row>
    <row r="3216" spans="1:6" x14ac:dyDescent="0.2">
      <c r="A3216" s="91">
        <v>45742</v>
      </c>
      <c r="B3216" s="43">
        <v>16525608</v>
      </c>
      <c r="C3216" s="20" t="s">
        <v>319</v>
      </c>
      <c r="D3216" s="18">
        <v>498220</v>
      </c>
      <c r="E3216" s="19"/>
      <c r="F3216" s="15">
        <f t="shared" si="50"/>
        <v>-498220</v>
      </c>
    </row>
    <row r="3217" spans="1:6" x14ac:dyDescent="0.2">
      <c r="A3217" s="91">
        <v>45742</v>
      </c>
      <c r="B3217" s="43">
        <v>16525609</v>
      </c>
      <c r="C3217" s="20" t="s">
        <v>319</v>
      </c>
      <c r="D3217" s="18">
        <v>444000</v>
      </c>
      <c r="E3217" s="19"/>
      <c r="F3217" s="15">
        <f t="shared" si="50"/>
        <v>-444000</v>
      </c>
    </row>
    <row r="3218" spans="1:6" x14ac:dyDescent="0.2">
      <c r="A3218" s="91">
        <v>45742</v>
      </c>
      <c r="B3218" s="43">
        <v>16525610</v>
      </c>
      <c r="C3218" s="20" t="s">
        <v>319</v>
      </c>
      <c r="D3218" s="18">
        <v>710400</v>
      </c>
      <c r="E3218" s="19"/>
      <c r="F3218" s="15">
        <f t="shared" si="50"/>
        <v>-710400</v>
      </c>
    </row>
    <row r="3219" spans="1:6" x14ac:dyDescent="0.2">
      <c r="A3219" s="91">
        <v>45742</v>
      </c>
      <c r="B3219" s="44">
        <v>16525611</v>
      </c>
      <c r="C3219" s="57" t="s">
        <v>319</v>
      </c>
      <c r="D3219" s="23">
        <v>750500</v>
      </c>
      <c r="E3219" s="24"/>
      <c r="F3219" s="15">
        <f t="shared" si="50"/>
        <v>-750500</v>
      </c>
    </row>
    <row r="3220" spans="1:6" x14ac:dyDescent="0.2">
      <c r="A3220" s="91">
        <v>45742</v>
      </c>
      <c r="B3220" s="43">
        <v>16525612</v>
      </c>
      <c r="C3220" s="20" t="s">
        <v>319</v>
      </c>
      <c r="D3220" s="18">
        <v>230850</v>
      </c>
      <c r="E3220" s="19"/>
      <c r="F3220" s="15">
        <f t="shared" si="50"/>
        <v>-230850</v>
      </c>
    </row>
    <row r="3221" spans="1:6" x14ac:dyDescent="0.2">
      <c r="A3221" s="91">
        <v>45742</v>
      </c>
      <c r="B3221" s="43">
        <v>16525613</v>
      </c>
      <c r="C3221" s="20" t="s">
        <v>319</v>
      </c>
      <c r="D3221" s="18">
        <v>355500</v>
      </c>
      <c r="E3221" s="19"/>
      <c r="F3221" s="15">
        <f t="shared" si="50"/>
        <v>-355500</v>
      </c>
    </row>
    <row r="3222" spans="1:6" x14ac:dyDescent="0.2">
      <c r="A3222" s="91">
        <v>45742</v>
      </c>
      <c r="B3222" s="43">
        <v>16525614</v>
      </c>
      <c r="C3222" s="20" t="s">
        <v>319</v>
      </c>
      <c r="D3222" s="18">
        <v>345600</v>
      </c>
      <c r="E3222" s="19"/>
      <c r="F3222" s="15">
        <f t="shared" si="50"/>
        <v>-345600</v>
      </c>
    </row>
    <row r="3223" spans="1:6" x14ac:dyDescent="0.2">
      <c r="A3223" s="91">
        <v>45742</v>
      </c>
      <c r="B3223" s="43">
        <v>16525615</v>
      </c>
      <c r="C3223" s="20" t="s">
        <v>319</v>
      </c>
      <c r="D3223" s="18">
        <v>1532800</v>
      </c>
      <c r="E3223" s="19"/>
      <c r="F3223" s="15">
        <f t="shared" si="50"/>
        <v>-1532800</v>
      </c>
    </row>
    <row r="3224" spans="1:6" x14ac:dyDescent="0.2">
      <c r="A3224" s="91">
        <v>45742</v>
      </c>
      <c r="B3224" s="43">
        <v>16525616</v>
      </c>
      <c r="C3224" s="20" t="s">
        <v>319</v>
      </c>
      <c r="D3224" s="18">
        <v>800000</v>
      </c>
      <c r="E3224" s="19"/>
      <c r="F3224" s="15">
        <f t="shared" si="50"/>
        <v>-800000</v>
      </c>
    </row>
    <row r="3225" spans="1:6" x14ac:dyDescent="0.2">
      <c r="A3225" s="91">
        <v>45742</v>
      </c>
      <c r="B3225" s="43">
        <v>16525617</v>
      </c>
      <c r="C3225" s="20" t="s">
        <v>319</v>
      </c>
      <c r="D3225" s="18">
        <v>1020000</v>
      </c>
      <c r="E3225" s="19"/>
      <c r="F3225" s="15">
        <f t="shared" si="50"/>
        <v>-1020000</v>
      </c>
    </row>
    <row r="3226" spans="1:6" x14ac:dyDescent="0.2">
      <c r="A3226" s="91">
        <v>45742</v>
      </c>
      <c r="B3226" s="43">
        <v>16525618</v>
      </c>
      <c r="C3226" s="20" t="s">
        <v>319</v>
      </c>
      <c r="D3226" s="18">
        <v>500000</v>
      </c>
      <c r="E3226" s="19"/>
      <c r="F3226" s="15">
        <f t="shared" si="50"/>
        <v>-500000</v>
      </c>
    </row>
    <row r="3227" spans="1:6" x14ac:dyDescent="0.2">
      <c r="A3227" s="91">
        <v>45742</v>
      </c>
      <c r="B3227" s="43">
        <v>16525619</v>
      </c>
      <c r="C3227" s="20" t="s">
        <v>319</v>
      </c>
      <c r="D3227" s="18">
        <v>1956290</v>
      </c>
      <c r="E3227" s="19"/>
      <c r="F3227" s="15">
        <f t="shared" si="50"/>
        <v>-1956290</v>
      </c>
    </row>
    <row r="3228" spans="1:6" x14ac:dyDescent="0.2">
      <c r="A3228" s="91">
        <v>45742</v>
      </c>
      <c r="B3228" s="43">
        <v>16525620</v>
      </c>
      <c r="C3228" s="20" t="s">
        <v>319</v>
      </c>
      <c r="D3228" s="18">
        <v>390000</v>
      </c>
      <c r="E3228" s="19"/>
      <c r="F3228" s="15">
        <f t="shared" si="50"/>
        <v>-390000</v>
      </c>
    </row>
    <row r="3229" spans="1:6" x14ac:dyDescent="0.2">
      <c r="A3229" s="91">
        <v>45742</v>
      </c>
      <c r="B3229" s="43">
        <v>16525621</v>
      </c>
      <c r="C3229" s="20" t="s">
        <v>319</v>
      </c>
      <c r="D3229" s="18">
        <v>2914800</v>
      </c>
      <c r="E3229" s="19"/>
      <c r="F3229" s="15">
        <f t="shared" si="50"/>
        <v>-2914800</v>
      </c>
    </row>
    <row r="3230" spans="1:6" x14ac:dyDescent="0.2">
      <c r="A3230" s="91">
        <v>45742</v>
      </c>
      <c r="B3230" s="43">
        <v>16525622</v>
      </c>
      <c r="C3230" s="20" t="s">
        <v>319</v>
      </c>
      <c r="D3230" s="18">
        <v>1975200</v>
      </c>
      <c r="E3230" s="19"/>
      <c r="F3230" s="15">
        <f t="shared" si="50"/>
        <v>-1975200</v>
      </c>
    </row>
    <row r="3231" spans="1:6" x14ac:dyDescent="0.2">
      <c r="A3231" s="91">
        <v>45742</v>
      </c>
      <c r="B3231" s="43">
        <v>16525623</v>
      </c>
      <c r="C3231" s="20" t="s">
        <v>319</v>
      </c>
      <c r="D3231" s="18">
        <v>2924575</v>
      </c>
      <c r="E3231" s="19"/>
      <c r="F3231" s="15">
        <f t="shared" si="50"/>
        <v>-2924575</v>
      </c>
    </row>
    <row r="3232" spans="1:6" x14ac:dyDescent="0.2">
      <c r="A3232" s="91">
        <v>45742</v>
      </c>
      <c r="B3232" s="43">
        <v>16525624</v>
      </c>
      <c r="C3232" s="20" t="s">
        <v>319</v>
      </c>
      <c r="D3232" s="18">
        <v>800000</v>
      </c>
      <c r="E3232" s="19"/>
      <c r="F3232" s="15">
        <f t="shared" si="50"/>
        <v>-800000</v>
      </c>
    </row>
    <row r="3233" spans="1:6" x14ac:dyDescent="0.2">
      <c r="A3233" s="91">
        <v>45742</v>
      </c>
      <c r="B3233" s="43">
        <v>16525625</v>
      </c>
      <c r="C3233" s="20" t="s">
        <v>319</v>
      </c>
      <c r="D3233" s="18">
        <v>625970</v>
      </c>
      <c r="E3233" s="19"/>
      <c r="F3233" s="15">
        <f t="shared" si="50"/>
        <v>-625970</v>
      </c>
    </row>
    <row r="3234" spans="1:6" x14ac:dyDescent="0.2">
      <c r="A3234" s="91">
        <v>45742</v>
      </c>
      <c r="B3234" s="43">
        <v>16525626</v>
      </c>
      <c r="C3234" s="20" t="s">
        <v>319</v>
      </c>
      <c r="D3234" s="18">
        <v>449100</v>
      </c>
      <c r="E3234" s="19"/>
      <c r="F3234" s="15">
        <f t="shared" si="50"/>
        <v>-449100</v>
      </c>
    </row>
    <row r="3235" spans="1:6" x14ac:dyDescent="0.2">
      <c r="A3235" s="91">
        <v>45742</v>
      </c>
      <c r="B3235" s="43">
        <v>16525627</v>
      </c>
      <c r="C3235" s="20" t="s">
        <v>319</v>
      </c>
      <c r="D3235" s="18">
        <v>168150</v>
      </c>
      <c r="E3235" s="19"/>
      <c r="F3235" s="15">
        <f t="shared" si="50"/>
        <v>-168150</v>
      </c>
    </row>
    <row r="3236" spans="1:6" x14ac:dyDescent="0.2">
      <c r="A3236" s="91">
        <v>45742</v>
      </c>
      <c r="B3236" s="43">
        <v>16525628</v>
      </c>
      <c r="C3236" s="20" t="s">
        <v>319</v>
      </c>
      <c r="D3236" s="18">
        <v>2082000</v>
      </c>
      <c r="E3236" s="19"/>
      <c r="F3236" s="15">
        <f t="shared" si="50"/>
        <v>-2082000</v>
      </c>
    </row>
    <row r="3237" spans="1:6" x14ac:dyDescent="0.2">
      <c r="A3237" s="91">
        <v>45742</v>
      </c>
      <c r="B3237" s="43">
        <v>16525629</v>
      </c>
      <c r="C3237" s="20" t="s">
        <v>319</v>
      </c>
      <c r="D3237" s="18">
        <v>300000</v>
      </c>
      <c r="E3237" s="19"/>
      <c r="F3237" s="15">
        <f t="shared" si="50"/>
        <v>-300000</v>
      </c>
    </row>
    <row r="3238" spans="1:6" x14ac:dyDescent="0.2">
      <c r="A3238" s="91">
        <v>45742</v>
      </c>
      <c r="B3238" s="43">
        <v>16525630</v>
      </c>
      <c r="C3238" s="20" t="s">
        <v>319</v>
      </c>
      <c r="D3238" s="18">
        <v>370500</v>
      </c>
      <c r="E3238" s="19"/>
      <c r="F3238" s="15">
        <f t="shared" si="50"/>
        <v>-370500</v>
      </c>
    </row>
    <row r="3239" spans="1:6" x14ac:dyDescent="0.2">
      <c r="A3239" s="91">
        <v>45742</v>
      </c>
      <c r="B3239" s="43">
        <v>16525631</v>
      </c>
      <c r="C3239" s="20" t="s">
        <v>319</v>
      </c>
      <c r="D3239" s="18">
        <v>74100</v>
      </c>
      <c r="E3239" s="19"/>
      <c r="F3239" s="15">
        <f t="shared" si="50"/>
        <v>-74100</v>
      </c>
    </row>
    <row r="3240" spans="1:6" x14ac:dyDescent="0.2">
      <c r="A3240" s="91">
        <v>45742</v>
      </c>
      <c r="B3240" s="43">
        <v>16525632</v>
      </c>
      <c r="C3240" s="20" t="s">
        <v>319</v>
      </c>
      <c r="D3240" s="18">
        <v>242000</v>
      </c>
      <c r="E3240" s="19"/>
      <c r="F3240" s="15">
        <f t="shared" si="50"/>
        <v>-242000</v>
      </c>
    </row>
    <row r="3241" spans="1:6" x14ac:dyDescent="0.2">
      <c r="A3241" s="91">
        <v>45742</v>
      </c>
      <c r="B3241" s="43">
        <v>16525633</v>
      </c>
      <c r="C3241" s="20" t="s">
        <v>319</v>
      </c>
      <c r="D3241" s="18">
        <v>1127650</v>
      </c>
      <c r="E3241" s="19"/>
      <c r="F3241" s="15">
        <f t="shared" si="50"/>
        <v>-1127650</v>
      </c>
    </row>
    <row r="3242" spans="1:6" x14ac:dyDescent="0.2">
      <c r="A3242" s="91">
        <v>45742</v>
      </c>
      <c r="B3242" s="43">
        <v>16525634</v>
      </c>
      <c r="C3242" s="20" t="s">
        <v>319</v>
      </c>
      <c r="D3242" s="18">
        <v>481000</v>
      </c>
      <c r="E3242" s="19"/>
      <c r="F3242" s="15">
        <f t="shared" si="50"/>
        <v>-481000</v>
      </c>
    </row>
    <row r="3243" spans="1:6" x14ac:dyDescent="0.2">
      <c r="A3243" s="91">
        <v>45742</v>
      </c>
      <c r="B3243" s="43">
        <v>16525635</v>
      </c>
      <c r="C3243" s="20" t="s">
        <v>319</v>
      </c>
      <c r="D3243" s="18">
        <v>632700</v>
      </c>
      <c r="E3243" s="19"/>
      <c r="F3243" s="15">
        <f t="shared" si="50"/>
        <v>-632700</v>
      </c>
    </row>
    <row r="3244" spans="1:6" x14ac:dyDescent="0.2">
      <c r="A3244" s="91">
        <v>45742</v>
      </c>
      <c r="B3244" s="43">
        <v>16525636</v>
      </c>
      <c r="C3244" s="20" t="s">
        <v>319</v>
      </c>
      <c r="D3244" s="18">
        <v>180000</v>
      </c>
      <c r="E3244" s="19"/>
      <c r="F3244" s="15">
        <f t="shared" si="50"/>
        <v>-180000</v>
      </c>
    </row>
    <row r="3245" spans="1:6" x14ac:dyDescent="0.2">
      <c r="A3245" s="91">
        <v>45742</v>
      </c>
      <c r="B3245" s="43">
        <v>16525637</v>
      </c>
      <c r="C3245" s="20" t="s">
        <v>319</v>
      </c>
      <c r="D3245" s="18">
        <v>1100000</v>
      </c>
      <c r="E3245" s="19"/>
      <c r="F3245" s="15">
        <f t="shared" si="50"/>
        <v>-1100000</v>
      </c>
    </row>
    <row r="3246" spans="1:6" x14ac:dyDescent="0.2">
      <c r="A3246" s="91">
        <v>45742</v>
      </c>
      <c r="B3246" s="46">
        <v>16525638</v>
      </c>
      <c r="C3246" s="56" t="s">
        <v>319</v>
      </c>
      <c r="D3246" s="48">
        <v>1495300</v>
      </c>
      <c r="E3246" s="49"/>
      <c r="F3246" s="15">
        <f t="shared" si="50"/>
        <v>-1495300</v>
      </c>
    </row>
    <row r="3247" spans="1:6" x14ac:dyDescent="0.2">
      <c r="A3247" s="91">
        <v>45742</v>
      </c>
      <c r="B3247" s="44">
        <v>16525639</v>
      </c>
      <c r="C3247" s="57" t="s">
        <v>319</v>
      </c>
      <c r="D3247" s="23">
        <v>404000</v>
      </c>
      <c r="E3247" s="24"/>
      <c r="F3247" s="15">
        <f t="shared" si="50"/>
        <v>-404000</v>
      </c>
    </row>
    <row r="3248" spans="1:6" x14ac:dyDescent="0.2">
      <c r="A3248" s="91">
        <v>45742</v>
      </c>
      <c r="B3248" s="43">
        <v>16525640</v>
      </c>
      <c r="C3248" s="20" t="s">
        <v>319</v>
      </c>
      <c r="D3248" s="18">
        <v>1473600</v>
      </c>
      <c r="E3248" s="19"/>
      <c r="F3248" s="15">
        <f t="shared" si="50"/>
        <v>-1473600</v>
      </c>
    </row>
    <row r="3249" spans="1:6" x14ac:dyDescent="0.2">
      <c r="A3249" s="91">
        <v>45742</v>
      </c>
      <c r="B3249" s="43">
        <v>16525641</v>
      </c>
      <c r="C3249" s="20" t="s">
        <v>319</v>
      </c>
      <c r="D3249" s="18">
        <v>274000</v>
      </c>
      <c r="E3249" s="19"/>
      <c r="F3249" s="15">
        <f t="shared" si="50"/>
        <v>-274000</v>
      </c>
    </row>
    <row r="3250" spans="1:6" x14ac:dyDescent="0.2">
      <c r="A3250" s="91">
        <v>45742</v>
      </c>
      <c r="B3250" s="43">
        <v>16525642</v>
      </c>
      <c r="C3250" s="20" t="s">
        <v>319</v>
      </c>
      <c r="D3250" s="18">
        <v>665000</v>
      </c>
      <c r="E3250" s="19"/>
      <c r="F3250" s="15">
        <f t="shared" si="50"/>
        <v>-665000</v>
      </c>
    </row>
    <row r="3251" spans="1:6" x14ac:dyDescent="0.2">
      <c r="A3251" s="91">
        <v>45742</v>
      </c>
      <c r="B3251" s="43">
        <v>16525643</v>
      </c>
      <c r="C3251" s="20" t="s">
        <v>319</v>
      </c>
      <c r="D3251" s="18">
        <v>1640000</v>
      </c>
      <c r="E3251" s="19"/>
      <c r="F3251" s="15">
        <f t="shared" si="50"/>
        <v>-1640000</v>
      </c>
    </row>
    <row r="3252" spans="1:6" x14ac:dyDescent="0.2">
      <c r="A3252" s="91">
        <v>45742</v>
      </c>
      <c r="B3252" s="43">
        <v>16525644</v>
      </c>
      <c r="C3252" s="20" t="s">
        <v>319</v>
      </c>
      <c r="D3252" s="18">
        <v>200000</v>
      </c>
      <c r="E3252" s="19"/>
      <c r="F3252" s="15">
        <f t="shared" si="50"/>
        <v>-200000</v>
      </c>
    </row>
    <row r="3253" spans="1:6" x14ac:dyDescent="0.2">
      <c r="A3253" s="91">
        <v>45742</v>
      </c>
      <c r="B3253" s="43">
        <v>16525645</v>
      </c>
      <c r="C3253" s="20" t="s">
        <v>319</v>
      </c>
      <c r="D3253" s="18">
        <v>83000</v>
      </c>
      <c r="E3253" s="19"/>
      <c r="F3253" s="15">
        <f t="shared" si="50"/>
        <v>-83000</v>
      </c>
    </row>
    <row r="3254" spans="1:6" x14ac:dyDescent="0.2">
      <c r="A3254" s="91">
        <v>45742</v>
      </c>
      <c r="B3254" s="43">
        <v>16525646</v>
      </c>
      <c r="C3254" s="20" t="s">
        <v>319</v>
      </c>
      <c r="D3254" s="18">
        <v>75000</v>
      </c>
      <c r="E3254" s="19"/>
      <c r="F3254" s="15">
        <f t="shared" si="50"/>
        <v>-75000</v>
      </c>
    </row>
    <row r="3255" spans="1:6" x14ac:dyDescent="0.2">
      <c r="A3255" s="91">
        <v>45742</v>
      </c>
      <c r="B3255" s="43">
        <v>16525647</v>
      </c>
      <c r="C3255" s="20" t="s">
        <v>319</v>
      </c>
      <c r="D3255" s="18">
        <v>481935</v>
      </c>
      <c r="E3255" s="19"/>
      <c r="F3255" s="15">
        <f t="shared" si="50"/>
        <v>-481935</v>
      </c>
    </row>
    <row r="3256" spans="1:6" x14ac:dyDescent="0.2">
      <c r="A3256" s="91">
        <v>45742</v>
      </c>
      <c r="B3256" s="43">
        <v>16525648</v>
      </c>
      <c r="C3256" s="20" t="s">
        <v>319</v>
      </c>
      <c r="D3256" s="18">
        <v>180500</v>
      </c>
      <c r="E3256" s="19"/>
      <c r="F3256" s="15">
        <f t="shared" si="50"/>
        <v>-180500</v>
      </c>
    </row>
    <row r="3257" spans="1:6" x14ac:dyDescent="0.2">
      <c r="A3257" s="91">
        <v>45742</v>
      </c>
      <c r="B3257" s="43">
        <v>16525649</v>
      </c>
      <c r="C3257" s="20" t="s">
        <v>319</v>
      </c>
      <c r="D3257" s="18">
        <v>729000</v>
      </c>
      <c r="E3257" s="19"/>
      <c r="F3257" s="15">
        <f t="shared" si="50"/>
        <v>-729000</v>
      </c>
    </row>
    <row r="3258" spans="1:6" x14ac:dyDescent="0.2">
      <c r="A3258" s="91">
        <v>45775</v>
      </c>
      <c r="B3258" s="43">
        <v>17153059</v>
      </c>
      <c r="C3258" s="20" t="s">
        <v>319</v>
      </c>
      <c r="D3258" s="18">
        <v>4700000</v>
      </c>
      <c r="E3258" s="19"/>
      <c r="F3258" s="15">
        <f t="shared" si="50"/>
        <v>-4700000</v>
      </c>
    </row>
    <row r="3259" spans="1:6" x14ac:dyDescent="0.2">
      <c r="A3259" s="91">
        <v>45775</v>
      </c>
      <c r="B3259" s="43">
        <v>17153060</v>
      </c>
      <c r="C3259" s="20" t="s">
        <v>319</v>
      </c>
      <c r="D3259" s="18">
        <v>266000</v>
      </c>
      <c r="E3259" s="19"/>
      <c r="F3259" s="15">
        <f t="shared" si="50"/>
        <v>-266000</v>
      </c>
    </row>
    <row r="3260" spans="1:6" x14ac:dyDescent="0.2">
      <c r="A3260" s="91">
        <v>45775</v>
      </c>
      <c r="B3260" s="43">
        <v>17153061</v>
      </c>
      <c r="C3260" s="20" t="s">
        <v>319</v>
      </c>
      <c r="D3260" s="18">
        <v>367170</v>
      </c>
      <c r="E3260" s="19"/>
      <c r="F3260" s="15">
        <f t="shared" si="50"/>
        <v>-367170</v>
      </c>
    </row>
    <row r="3261" spans="1:6" x14ac:dyDescent="0.2">
      <c r="A3261" s="91">
        <v>45775</v>
      </c>
      <c r="B3261" s="43">
        <v>17153062</v>
      </c>
      <c r="C3261" s="20" t="s">
        <v>319</v>
      </c>
      <c r="D3261" s="18">
        <v>2261954</v>
      </c>
      <c r="E3261" s="19"/>
      <c r="F3261" s="15">
        <f t="shared" si="50"/>
        <v>-2261954</v>
      </c>
    </row>
    <row r="3262" spans="1:6" x14ac:dyDescent="0.2">
      <c r="A3262" s="91">
        <v>45775</v>
      </c>
      <c r="B3262" s="43">
        <v>17153063</v>
      </c>
      <c r="C3262" s="20" t="s">
        <v>319</v>
      </c>
      <c r="D3262" s="18">
        <v>1400000</v>
      </c>
      <c r="E3262" s="19"/>
      <c r="F3262" s="15">
        <f t="shared" si="50"/>
        <v>-1400000</v>
      </c>
    </row>
    <row r="3263" spans="1:6" x14ac:dyDescent="0.2">
      <c r="A3263" s="91">
        <v>45775</v>
      </c>
      <c r="B3263" s="43">
        <v>17153064</v>
      </c>
      <c r="C3263" s="20" t="s">
        <v>319</v>
      </c>
      <c r="D3263" s="18">
        <v>608290</v>
      </c>
      <c r="E3263" s="19"/>
      <c r="F3263" s="15">
        <f t="shared" si="50"/>
        <v>-608290</v>
      </c>
    </row>
    <row r="3264" spans="1:6" x14ac:dyDescent="0.2">
      <c r="A3264" s="91">
        <v>45775</v>
      </c>
      <c r="B3264" s="43">
        <v>17153065</v>
      </c>
      <c r="C3264" s="20" t="s">
        <v>319</v>
      </c>
      <c r="D3264" s="18">
        <v>880000</v>
      </c>
      <c r="E3264" s="19"/>
      <c r="F3264" s="15">
        <f t="shared" si="50"/>
        <v>-880000</v>
      </c>
    </row>
    <row r="3265" spans="1:6" x14ac:dyDescent="0.2">
      <c r="A3265" s="91">
        <v>45775</v>
      </c>
      <c r="B3265" s="43">
        <v>17153066</v>
      </c>
      <c r="C3265" s="20" t="s">
        <v>319</v>
      </c>
      <c r="D3265" s="18">
        <v>200000</v>
      </c>
      <c r="E3265" s="19"/>
      <c r="F3265" s="15">
        <f t="shared" si="50"/>
        <v>-200000</v>
      </c>
    </row>
    <row r="3266" spans="1:6" x14ac:dyDescent="0.2">
      <c r="A3266" s="91">
        <v>45775</v>
      </c>
      <c r="B3266" s="43">
        <v>17153067</v>
      </c>
      <c r="C3266" s="20" t="s">
        <v>319</v>
      </c>
      <c r="D3266" s="18">
        <v>222000</v>
      </c>
      <c r="E3266" s="19"/>
      <c r="F3266" s="15">
        <f t="shared" si="50"/>
        <v>-222000</v>
      </c>
    </row>
    <row r="3267" spans="1:6" x14ac:dyDescent="0.2">
      <c r="A3267" s="91">
        <v>45775</v>
      </c>
      <c r="B3267" s="43">
        <v>17153068</v>
      </c>
      <c r="C3267" s="20" t="s">
        <v>319</v>
      </c>
      <c r="D3267" s="18">
        <v>741000</v>
      </c>
      <c r="E3267" s="19"/>
      <c r="F3267" s="15">
        <f t="shared" ref="F3267:F3330" si="51">+E3267-D3267</f>
        <v>-741000</v>
      </c>
    </row>
    <row r="3268" spans="1:6" x14ac:dyDescent="0.2">
      <c r="A3268" s="91">
        <v>45775</v>
      </c>
      <c r="B3268" s="43">
        <v>17153069</v>
      </c>
      <c r="C3268" s="20" t="s">
        <v>319</v>
      </c>
      <c r="D3268" s="18">
        <v>793250</v>
      </c>
      <c r="E3268" s="19"/>
      <c r="F3268" s="15">
        <f t="shared" si="51"/>
        <v>-793250</v>
      </c>
    </row>
    <row r="3269" spans="1:6" x14ac:dyDescent="0.2">
      <c r="A3269" s="91">
        <v>45775</v>
      </c>
      <c r="B3269" s="43">
        <v>17153070</v>
      </c>
      <c r="C3269" s="20" t="s">
        <v>319</v>
      </c>
      <c r="D3269" s="18">
        <v>507300</v>
      </c>
      <c r="E3269" s="19"/>
      <c r="F3269" s="15">
        <f t="shared" si="51"/>
        <v>-507300</v>
      </c>
    </row>
    <row r="3270" spans="1:6" x14ac:dyDescent="0.2">
      <c r="A3270" s="91">
        <v>45775</v>
      </c>
      <c r="B3270" s="43">
        <v>17153071</v>
      </c>
      <c r="C3270" s="20" t="s">
        <v>319</v>
      </c>
      <c r="D3270" s="18">
        <v>2782500</v>
      </c>
      <c r="E3270" s="19"/>
      <c r="F3270" s="15">
        <f t="shared" si="51"/>
        <v>-2782500</v>
      </c>
    </row>
    <row r="3271" spans="1:6" x14ac:dyDescent="0.2">
      <c r="A3271" s="91">
        <v>45775</v>
      </c>
      <c r="B3271" s="43">
        <v>17153072</v>
      </c>
      <c r="C3271" s="20" t="s">
        <v>319</v>
      </c>
      <c r="D3271" s="18">
        <v>195000</v>
      </c>
      <c r="E3271" s="19"/>
      <c r="F3271" s="15">
        <f t="shared" si="51"/>
        <v>-195000</v>
      </c>
    </row>
    <row r="3272" spans="1:6" x14ac:dyDescent="0.2">
      <c r="A3272" s="91">
        <v>45775</v>
      </c>
      <c r="B3272" s="43">
        <v>17153073</v>
      </c>
      <c r="C3272" s="20" t="s">
        <v>319</v>
      </c>
      <c r="D3272" s="18">
        <v>406600</v>
      </c>
      <c r="E3272" s="19"/>
      <c r="F3272" s="15">
        <f t="shared" si="51"/>
        <v>-406600</v>
      </c>
    </row>
    <row r="3273" spans="1:6" x14ac:dyDescent="0.2">
      <c r="A3273" s="91">
        <v>45775</v>
      </c>
      <c r="B3273" s="46">
        <v>17153074</v>
      </c>
      <c r="C3273" s="56" t="s">
        <v>319</v>
      </c>
      <c r="D3273" s="48">
        <v>150100</v>
      </c>
      <c r="E3273" s="49"/>
      <c r="F3273" s="15">
        <f t="shared" si="51"/>
        <v>-150100</v>
      </c>
    </row>
    <row r="3274" spans="1:6" x14ac:dyDescent="0.2">
      <c r="A3274" s="91">
        <v>45775</v>
      </c>
      <c r="B3274" s="44">
        <v>17153075</v>
      </c>
      <c r="C3274" s="57" t="s">
        <v>319</v>
      </c>
      <c r="D3274" s="23">
        <v>903382</v>
      </c>
      <c r="E3274" s="24"/>
      <c r="F3274" s="15">
        <f t="shared" si="51"/>
        <v>-903382</v>
      </c>
    </row>
    <row r="3275" spans="1:6" x14ac:dyDescent="0.2">
      <c r="A3275" s="91">
        <v>45775</v>
      </c>
      <c r="B3275" s="43">
        <v>17153076</v>
      </c>
      <c r="C3275" s="20" t="s">
        <v>319</v>
      </c>
      <c r="D3275" s="18">
        <v>1193200</v>
      </c>
      <c r="E3275" s="19"/>
      <c r="F3275" s="15">
        <f t="shared" si="51"/>
        <v>-1193200</v>
      </c>
    </row>
    <row r="3276" spans="1:6" x14ac:dyDescent="0.2">
      <c r="A3276" s="91">
        <v>45775</v>
      </c>
      <c r="B3276" s="43">
        <v>17153077</v>
      </c>
      <c r="C3276" s="20" t="s">
        <v>319</v>
      </c>
      <c r="D3276" s="18">
        <v>552600</v>
      </c>
      <c r="E3276" s="19"/>
      <c r="F3276" s="15">
        <f t="shared" si="51"/>
        <v>-552600</v>
      </c>
    </row>
    <row r="3277" spans="1:6" x14ac:dyDescent="0.2">
      <c r="A3277" s="91">
        <v>45775</v>
      </c>
      <c r="B3277" s="43">
        <v>17153078</v>
      </c>
      <c r="C3277" s="20" t="s">
        <v>319</v>
      </c>
      <c r="D3277" s="18">
        <v>396000</v>
      </c>
      <c r="E3277" s="19"/>
      <c r="F3277" s="15">
        <f t="shared" si="51"/>
        <v>-396000</v>
      </c>
    </row>
    <row r="3278" spans="1:6" x14ac:dyDescent="0.2">
      <c r="A3278" s="91">
        <v>45775</v>
      </c>
      <c r="B3278" s="43">
        <v>17153079</v>
      </c>
      <c r="C3278" s="20" t="s">
        <v>319</v>
      </c>
      <c r="D3278" s="18">
        <v>180800</v>
      </c>
      <c r="E3278" s="19"/>
      <c r="F3278" s="15">
        <f t="shared" si="51"/>
        <v>-180800</v>
      </c>
    </row>
    <row r="3279" spans="1:6" x14ac:dyDescent="0.2">
      <c r="A3279" s="91">
        <v>45775</v>
      </c>
      <c r="B3279" s="43">
        <v>17153080</v>
      </c>
      <c r="C3279" s="20" t="s">
        <v>319</v>
      </c>
      <c r="D3279" s="18">
        <v>800000</v>
      </c>
      <c r="E3279" s="19"/>
      <c r="F3279" s="15">
        <f t="shared" si="51"/>
        <v>-800000</v>
      </c>
    </row>
    <row r="3280" spans="1:6" x14ac:dyDescent="0.2">
      <c r="A3280" s="91">
        <v>45775</v>
      </c>
      <c r="B3280" s="43">
        <v>17153081</v>
      </c>
      <c r="C3280" s="20" t="s">
        <v>319</v>
      </c>
      <c r="D3280" s="18">
        <v>777510</v>
      </c>
      <c r="E3280" s="19"/>
      <c r="F3280" s="15">
        <f t="shared" si="51"/>
        <v>-777510</v>
      </c>
    </row>
    <row r="3281" spans="1:6" x14ac:dyDescent="0.2">
      <c r="A3281" s="91">
        <v>45775</v>
      </c>
      <c r="B3281" s="43">
        <v>17153082</v>
      </c>
      <c r="C3281" s="20" t="s">
        <v>319</v>
      </c>
      <c r="D3281" s="18">
        <v>733875</v>
      </c>
      <c r="E3281" s="19"/>
      <c r="F3281" s="15">
        <f t="shared" si="51"/>
        <v>-733875</v>
      </c>
    </row>
    <row r="3282" spans="1:6" x14ac:dyDescent="0.2">
      <c r="A3282" s="91">
        <v>45775</v>
      </c>
      <c r="B3282" s="43">
        <v>17153083</v>
      </c>
      <c r="C3282" s="20" t="s">
        <v>319</v>
      </c>
      <c r="D3282" s="18">
        <v>36100</v>
      </c>
      <c r="E3282" s="19"/>
      <c r="F3282" s="15">
        <f t="shared" si="51"/>
        <v>-36100</v>
      </c>
    </row>
    <row r="3283" spans="1:6" x14ac:dyDescent="0.2">
      <c r="A3283" s="91">
        <v>45775</v>
      </c>
      <c r="B3283" s="43">
        <v>17153084</v>
      </c>
      <c r="C3283" s="20" t="s">
        <v>319</v>
      </c>
      <c r="D3283" s="18">
        <v>288000</v>
      </c>
      <c r="E3283" s="19"/>
      <c r="F3283" s="15">
        <f t="shared" si="51"/>
        <v>-288000</v>
      </c>
    </row>
    <row r="3284" spans="1:6" x14ac:dyDescent="0.2">
      <c r="A3284" s="91">
        <v>45775</v>
      </c>
      <c r="B3284" s="43">
        <v>17153085</v>
      </c>
      <c r="C3284" s="20" t="s">
        <v>319</v>
      </c>
      <c r="D3284" s="18">
        <v>210000</v>
      </c>
      <c r="E3284" s="19"/>
      <c r="F3284" s="15">
        <f t="shared" si="51"/>
        <v>-210000</v>
      </c>
    </row>
    <row r="3285" spans="1:6" x14ac:dyDescent="0.2">
      <c r="A3285" s="91">
        <v>45775</v>
      </c>
      <c r="B3285" s="43">
        <v>17153086</v>
      </c>
      <c r="C3285" s="20" t="s">
        <v>319</v>
      </c>
      <c r="D3285" s="18">
        <v>2266500</v>
      </c>
      <c r="E3285" s="19"/>
      <c r="F3285" s="15">
        <f t="shared" si="51"/>
        <v>-2266500</v>
      </c>
    </row>
    <row r="3286" spans="1:6" x14ac:dyDescent="0.2">
      <c r="A3286" s="91">
        <v>45775</v>
      </c>
      <c r="B3286" s="43">
        <v>17153087</v>
      </c>
      <c r="C3286" s="20" t="s">
        <v>319</v>
      </c>
      <c r="D3286" s="18">
        <v>860000</v>
      </c>
      <c r="E3286" s="19"/>
      <c r="F3286" s="15">
        <f t="shared" si="51"/>
        <v>-860000</v>
      </c>
    </row>
    <row r="3287" spans="1:6" x14ac:dyDescent="0.2">
      <c r="A3287" s="91">
        <v>45775</v>
      </c>
      <c r="B3287" s="43">
        <v>17153088</v>
      </c>
      <c r="C3287" s="20" t="s">
        <v>319</v>
      </c>
      <c r="D3287" s="18">
        <v>3045000</v>
      </c>
      <c r="E3287" s="19"/>
      <c r="F3287" s="15">
        <f t="shared" si="51"/>
        <v>-3045000</v>
      </c>
    </row>
    <row r="3288" spans="1:6" x14ac:dyDescent="0.2">
      <c r="A3288" s="91">
        <v>45775</v>
      </c>
      <c r="B3288" s="43">
        <v>17153089</v>
      </c>
      <c r="C3288" s="20" t="s">
        <v>319</v>
      </c>
      <c r="D3288" s="18">
        <v>500000</v>
      </c>
      <c r="E3288" s="19"/>
      <c r="F3288" s="15">
        <f t="shared" si="51"/>
        <v>-500000</v>
      </c>
    </row>
    <row r="3289" spans="1:6" x14ac:dyDescent="0.2">
      <c r="A3289" s="91">
        <v>45775</v>
      </c>
      <c r="B3289" s="43">
        <v>17153090</v>
      </c>
      <c r="C3289" s="20" t="s">
        <v>319</v>
      </c>
      <c r="D3289" s="18">
        <v>1914690</v>
      </c>
      <c r="E3289" s="19"/>
      <c r="F3289" s="15">
        <f t="shared" si="51"/>
        <v>-1914690</v>
      </c>
    </row>
    <row r="3290" spans="1:6" x14ac:dyDescent="0.2">
      <c r="A3290" s="91">
        <v>45775</v>
      </c>
      <c r="B3290" s="43">
        <v>17153091</v>
      </c>
      <c r="C3290" s="20" t="s">
        <v>319</v>
      </c>
      <c r="D3290" s="18">
        <v>494000</v>
      </c>
      <c r="E3290" s="19"/>
      <c r="F3290" s="15">
        <f t="shared" si="51"/>
        <v>-494000</v>
      </c>
    </row>
    <row r="3291" spans="1:6" x14ac:dyDescent="0.2">
      <c r="A3291" s="91">
        <v>45775</v>
      </c>
      <c r="B3291" s="43">
        <v>17153092</v>
      </c>
      <c r="C3291" s="20" t="s">
        <v>319</v>
      </c>
      <c r="D3291" s="18">
        <v>2671600</v>
      </c>
      <c r="E3291" s="19"/>
      <c r="F3291" s="15">
        <f t="shared" si="51"/>
        <v>-2671600</v>
      </c>
    </row>
    <row r="3292" spans="1:6" x14ac:dyDescent="0.2">
      <c r="A3292" s="91">
        <v>45775</v>
      </c>
      <c r="B3292" s="43">
        <v>17153093</v>
      </c>
      <c r="C3292" s="20" t="s">
        <v>319</v>
      </c>
      <c r="D3292" s="18">
        <v>2544400</v>
      </c>
      <c r="E3292" s="19"/>
      <c r="F3292" s="15">
        <f t="shared" si="51"/>
        <v>-2544400</v>
      </c>
    </row>
    <row r="3293" spans="1:6" x14ac:dyDescent="0.2">
      <c r="A3293" s="91">
        <v>45775</v>
      </c>
      <c r="B3293" s="43">
        <v>17153094</v>
      </c>
      <c r="C3293" s="20" t="s">
        <v>319</v>
      </c>
      <c r="D3293" s="18">
        <v>338200</v>
      </c>
      <c r="E3293" s="19"/>
      <c r="F3293" s="15">
        <f t="shared" si="51"/>
        <v>-338200</v>
      </c>
    </row>
    <row r="3294" spans="1:6" x14ac:dyDescent="0.2">
      <c r="A3294" s="91">
        <v>45775</v>
      </c>
      <c r="B3294" s="43">
        <v>17153095</v>
      </c>
      <c r="C3294" s="20" t="s">
        <v>319</v>
      </c>
      <c r="D3294" s="18">
        <v>1000000</v>
      </c>
      <c r="E3294" s="19"/>
      <c r="F3294" s="15">
        <f t="shared" si="51"/>
        <v>-1000000</v>
      </c>
    </row>
    <row r="3295" spans="1:6" x14ac:dyDescent="0.2">
      <c r="A3295" s="91">
        <v>45775</v>
      </c>
      <c r="B3295" s="43">
        <v>17153096</v>
      </c>
      <c r="C3295" s="20" t="s">
        <v>319</v>
      </c>
      <c r="D3295" s="18">
        <v>682750</v>
      </c>
      <c r="E3295" s="19"/>
      <c r="F3295" s="15">
        <f t="shared" si="51"/>
        <v>-682750</v>
      </c>
    </row>
    <row r="3296" spans="1:6" x14ac:dyDescent="0.2">
      <c r="A3296" s="91">
        <v>45775</v>
      </c>
      <c r="B3296" s="43">
        <v>17153097</v>
      </c>
      <c r="C3296" s="20" t="s">
        <v>319</v>
      </c>
      <c r="D3296" s="18">
        <v>98200</v>
      </c>
      <c r="E3296" s="19"/>
      <c r="F3296" s="15">
        <f t="shared" si="51"/>
        <v>-98200</v>
      </c>
    </row>
    <row r="3297" spans="1:6" x14ac:dyDescent="0.2">
      <c r="A3297" s="91">
        <v>45775</v>
      </c>
      <c r="B3297" s="43">
        <v>17153098</v>
      </c>
      <c r="C3297" s="20" t="s">
        <v>319</v>
      </c>
      <c r="D3297" s="18">
        <v>369550</v>
      </c>
      <c r="E3297" s="19"/>
      <c r="F3297" s="15">
        <f t="shared" si="51"/>
        <v>-369550</v>
      </c>
    </row>
    <row r="3298" spans="1:6" x14ac:dyDescent="0.2">
      <c r="A3298" s="91">
        <v>45775</v>
      </c>
      <c r="B3298" s="43">
        <v>17153099</v>
      </c>
      <c r="C3298" s="20" t="s">
        <v>319</v>
      </c>
      <c r="D3298" s="18">
        <v>2719500</v>
      </c>
      <c r="E3298" s="19"/>
      <c r="F3298" s="15">
        <f t="shared" si="51"/>
        <v>-2719500</v>
      </c>
    </row>
    <row r="3299" spans="1:6" x14ac:dyDescent="0.2">
      <c r="A3299" s="91">
        <v>45775</v>
      </c>
      <c r="B3299" s="43">
        <v>17153100</v>
      </c>
      <c r="C3299" s="20" t="s">
        <v>319</v>
      </c>
      <c r="D3299" s="18">
        <v>300000</v>
      </c>
      <c r="E3299" s="19"/>
      <c r="F3299" s="15">
        <f t="shared" si="51"/>
        <v>-300000</v>
      </c>
    </row>
    <row r="3300" spans="1:6" x14ac:dyDescent="0.2">
      <c r="A3300" s="91">
        <v>45775</v>
      </c>
      <c r="B3300" s="46">
        <v>17153101</v>
      </c>
      <c r="C3300" s="56" t="s">
        <v>319</v>
      </c>
      <c r="D3300" s="48">
        <v>826500</v>
      </c>
      <c r="E3300" s="49"/>
      <c r="F3300" s="15">
        <f t="shared" si="51"/>
        <v>-826500</v>
      </c>
    </row>
    <row r="3301" spans="1:6" x14ac:dyDescent="0.2">
      <c r="A3301" s="91">
        <v>45775</v>
      </c>
      <c r="B3301" s="44">
        <v>17153102</v>
      </c>
      <c r="C3301" s="57" t="s">
        <v>319</v>
      </c>
      <c r="D3301" s="23">
        <v>79800</v>
      </c>
      <c r="E3301" s="24"/>
      <c r="F3301" s="15">
        <f t="shared" si="51"/>
        <v>-79800</v>
      </c>
    </row>
    <row r="3302" spans="1:6" x14ac:dyDescent="0.2">
      <c r="A3302" s="91">
        <v>45775</v>
      </c>
      <c r="B3302" s="43">
        <v>17153103</v>
      </c>
      <c r="C3302" s="20" t="s">
        <v>319</v>
      </c>
      <c r="D3302" s="18">
        <v>242000</v>
      </c>
      <c r="E3302" s="19"/>
      <c r="F3302" s="15">
        <f t="shared" si="51"/>
        <v>-242000</v>
      </c>
    </row>
    <row r="3303" spans="1:6" x14ac:dyDescent="0.2">
      <c r="A3303" s="91">
        <v>45775</v>
      </c>
      <c r="B3303" s="43">
        <v>17153104</v>
      </c>
      <c r="C3303" s="20" t="s">
        <v>319</v>
      </c>
      <c r="D3303" s="18">
        <v>485450</v>
      </c>
      <c r="E3303" s="19"/>
      <c r="F3303" s="15">
        <f t="shared" si="51"/>
        <v>-485450</v>
      </c>
    </row>
    <row r="3304" spans="1:6" x14ac:dyDescent="0.2">
      <c r="A3304" s="91">
        <v>45775</v>
      </c>
      <c r="B3304" s="43">
        <v>17153105</v>
      </c>
      <c r="C3304" s="20" t="s">
        <v>319</v>
      </c>
      <c r="D3304" s="18">
        <v>440000</v>
      </c>
      <c r="E3304" s="19"/>
      <c r="F3304" s="15">
        <f t="shared" si="51"/>
        <v>-440000</v>
      </c>
    </row>
    <row r="3305" spans="1:6" x14ac:dyDescent="0.2">
      <c r="A3305" s="91">
        <v>45775</v>
      </c>
      <c r="B3305" s="43">
        <v>17153106</v>
      </c>
      <c r="C3305" s="20" t="s">
        <v>319</v>
      </c>
      <c r="D3305" s="18">
        <v>1105800</v>
      </c>
      <c r="E3305" s="19"/>
      <c r="F3305" s="15">
        <f t="shared" si="51"/>
        <v>-1105800</v>
      </c>
    </row>
    <row r="3306" spans="1:6" x14ac:dyDescent="0.2">
      <c r="A3306" s="91">
        <v>45775</v>
      </c>
      <c r="B3306" s="43">
        <v>17153107</v>
      </c>
      <c r="C3306" s="20" t="s">
        <v>319</v>
      </c>
      <c r="D3306" s="18">
        <v>180000</v>
      </c>
      <c r="E3306" s="19"/>
      <c r="F3306" s="15">
        <f t="shared" si="51"/>
        <v>-180000</v>
      </c>
    </row>
    <row r="3307" spans="1:6" x14ac:dyDescent="0.2">
      <c r="A3307" s="91">
        <v>45775</v>
      </c>
      <c r="B3307" s="43">
        <v>17153108</v>
      </c>
      <c r="C3307" s="20" t="s">
        <v>319</v>
      </c>
      <c r="D3307" s="18">
        <v>1100000</v>
      </c>
      <c r="E3307" s="19"/>
      <c r="F3307" s="15">
        <f t="shared" si="51"/>
        <v>-1100000</v>
      </c>
    </row>
    <row r="3308" spans="1:6" x14ac:dyDescent="0.2">
      <c r="A3308" s="91">
        <v>45775</v>
      </c>
      <c r="B3308" s="43">
        <v>17153109</v>
      </c>
      <c r="C3308" s="20" t="s">
        <v>319</v>
      </c>
      <c r="D3308" s="18">
        <v>428000</v>
      </c>
      <c r="E3308" s="19"/>
      <c r="F3308" s="15">
        <f t="shared" si="51"/>
        <v>-428000</v>
      </c>
    </row>
    <row r="3309" spans="1:6" x14ac:dyDescent="0.2">
      <c r="A3309" s="91">
        <v>45775</v>
      </c>
      <c r="B3309" s="43">
        <v>17153110</v>
      </c>
      <c r="C3309" s="20" t="s">
        <v>319</v>
      </c>
      <c r="D3309" s="18">
        <v>1600000</v>
      </c>
      <c r="E3309" s="19"/>
      <c r="F3309" s="15">
        <f t="shared" si="51"/>
        <v>-1600000</v>
      </c>
    </row>
    <row r="3310" spans="1:6" x14ac:dyDescent="0.2">
      <c r="A3310" s="91">
        <v>45775</v>
      </c>
      <c r="B3310" s="43">
        <v>17153111</v>
      </c>
      <c r="C3310" s="20" t="s">
        <v>319</v>
      </c>
      <c r="D3310" s="18">
        <v>312000</v>
      </c>
      <c r="E3310" s="19"/>
      <c r="F3310" s="15">
        <f t="shared" si="51"/>
        <v>-312000</v>
      </c>
    </row>
    <row r="3311" spans="1:6" x14ac:dyDescent="0.2">
      <c r="A3311" s="91">
        <v>45775</v>
      </c>
      <c r="B3311" s="43">
        <v>17153112</v>
      </c>
      <c r="C3311" s="20" t="s">
        <v>319</v>
      </c>
      <c r="D3311" s="18">
        <v>665000</v>
      </c>
      <c r="E3311" s="19"/>
      <c r="F3311" s="15">
        <f t="shared" si="51"/>
        <v>-665000</v>
      </c>
    </row>
    <row r="3312" spans="1:6" x14ac:dyDescent="0.2">
      <c r="A3312" s="91">
        <v>45775</v>
      </c>
      <c r="B3312" s="43">
        <v>17153113</v>
      </c>
      <c r="C3312" s="20" t="s">
        <v>319</v>
      </c>
      <c r="D3312" s="18">
        <v>1392000</v>
      </c>
      <c r="E3312" s="19"/>
      <c r="F3312" s="15">
        <f t="shared" si="51"/>
        <v>-1392000</v>
      </c>
    </row>
    <row r="3313" spans="1:6" x14ac:dyDescent="0.2">
      <c r="A3313" s="91">
        <v>45775</v>
      </c>
      <c r="B3313" s="43">
        <v>17153114</v>
      </c>
      <c r="C3313" s="20" t="s">
        <v>319</v>
      </c>
      <c r="D3313" s="18">
        <v>75000</v>
      </c>
      <c r="E3313" s="19"/>
      <c r="F3313" s="15">
        <f t="shared" si="51"/>
        <v>-75000</v>
      </c>
    </row>
    <row r="3314" spans="1:6" x14ac:dyDescent="0.2">
      <c r="A3314" s="91">
        <v>45775</v>
      </c>
      <c r="B3314" s="43">
        <v>17153115</v>
      </c>
      <c r="C3314" s="20" t="s">
        <v>319</v>
      </c>
      <c r="D3314" s="18">
        <v>451500</v>
      </c>
      <c r="E3314" s="19"/>
      <c r="F3314" s="15">
        <f t="shared" si="51"/>
        <v>-451500</v>
      </c>
    </row>
    <row r="3315" spans="1:6" x14ac:dyDescent="0.2">
      <c r="A3315" s="91">
        <v>45800</v>
      </c>
      <c r="B3315" s="43">
        <v>17773799</v>
      </c>
      <c r="C3315" s="20" t="s">
        <v>319</v>
      </c>
      <c r="D3315" s="18">
        <v>2928800</v>
      </c>
      <c r="E3315" s="19"/>
      <c r="F3315" s="15">
        <f t="shared" si="51"/>
        <v>-2928800</v>
      </c>
    </row>
    <row r="3316" spans="1:6" x14ac:dyDescent="0.2">
      <c r="A3316" s="91">
        <v>45800</v>
      </c>
      <c r="B3316" s="43">
        <v>17773800</v>
      </c>
      <c r="C3316" s="20" t="s">
        <v>319</v>
      </c>
      <c r="D3316" s="18">
        <v>275240</v>
      </c>
      <c r="E3316" s="19"/>
      <c r="F3316" s="15">
        <f t="shared" si="51"/>
        <v>-275240</v>
      </c>
    </row>
    <row r="3317" spans="1:6" x14ac:dyDescent="0.2">
      <c r="A3317" s="91">
        <v>45800</v>
      </c>
      <c r="B3317" s="43">
        <v>17773801</v>
      </c>
      <c r="C3317" s="20" t="s">
        <v>319</v>
      </c>
      <c r="D3317" s="18">
        <v>1280000</v>
      </c>
      <c r="E3317" s="19"/>
      <c r="F3317" s="15">
        <f t="shared" si="51"/>
        <v>-1280000</v>
      </c>
    </row>
    <row r="3318" spans="1:6" x14ac:dyDescent="0.2">
      <c r="A3318" s="91">
        <v>45800</v>
      </c>
      <c r="B3318" s="43">
        <v>17773802</v>
      </c>
      <c r="C3318" s="20" t="s">
        <v>319</v>
      </c>
      <c r="D3318" s="18">
        <v>1401154</v>
      </c>
      <c r="E3318" s="19"/>
      <c r="F3318" s="15">
        <f t="shared" si="51"/>
        <v>-1401154</v>
      </c>
    </row>
    <row r="3319" spans="1:6" x14ac:dyDescent="0.2">
      <c r="A3319" s="91">
        <v>45800</v>
      </c>
      <c r="B3319" s="43">
        <v>17773803</v>
      </c>
      <c r="C3319" s="20" t="s">
        <v>319</v>
      </c>
      <c r="D3319" s="18">
        <v>968000</v>
      </c>
      <c r="E3319" s="19"/>
      <c r="F3319" s="15">
        <f t="shared" si="51"/>
        <v>-968000</v>
      </c>
    </row>
    <row r="3320" spans="1:6" x14ac:dyDescent="0.2">
      <c r="A3320" s="91">
        <v>45800</v>
      </c>
      <c r="B3320" s="43">
        <v>17773804</v>
      </c>
      <c r="C3320" s="20" t="s">
        <v>319</v>
      </c>
      <c r="D3320" s="18">
        <v>630050</v>
      </c>
      <c r="E3320" s="19"/>
      <c r="F3320" s="15">
        <f t="shared" si="51"/>
        <v>-630050</v>
      </c>
    </row>
    <row r="3321" spans="1:6" x14ac:dyDescent="0.2">
      <c r="A3321" s="91">
        <v>45800</v>
      </c>
      <c r="B3321" s="43">
        <v>17773805</v>
      </c>
      <c r="C3321" s="20" t="s">
        <v>319</v>
      </c>
      <c r="D3321" s="18">
        <v>200000</v>
      </c>
      <c r="E3321" s="19"/>
      <c r="F3321" s="15">
        <f t="shared" si="51"/>
        <v>-200000</v>
      </c>
    </row>
    <row r="3322" spans="1:6" x14ac:dyDescent="0.2">
      <c r="A3322" s="91">
        <v>45800</v>
      </c>
      <c r="B3322" s="43">
        <v>17773806</v>
      </c>
      <c r="C3322" s="20" t="s">
        <v>319</v>
      </c>
      <c r="D3322" s="18">
        <v>222000</v>
      </c>
      <c r="E3322" s="19"/>
      <c r="F3322" s="15">
        <f t="shared" si="51"/>
        <v>-222000</v>
      </c>
    </row>
    <row r="3323" spans="1:6" x14ac:dyDescent="0.2">
      <c r="A3323" s="91">
        <v>45800</v>
      </c>
      <c r="B3323" s="43">
        <v>17773807</v>
      </c>
      <c r="C3323" s="20" t="s">
        <v>319</v>
      </c>
      <c r="D3323" s="18">
        <v>741000</v>
      </c>
      <c r="E3323" s="19"/>
      <c r="F3323" s="15">
        <f t="shared" si="51"/>
        <v>-741000</v>
      </c>
    </row>
    <row r="3324" spans="1:6" x14ac:dyDescent="0.2">
      <c r="A3324" s="91">
        <v>45800</v>
      </c>
      <c r="B3324" s="46">
        <v>17773808</v>
      </c>
      <c r="C3324" s="56" t="s">
        <v>319</v>
      </c>
      <c r="D3324" s="48">
        <v>1345200</v>
      </c>
      <c r="E3324" s="49"/>
      <c r="F3324" s="15">
        <f t="shared" si="51"/>
        <v>-1345200</v>
      </c>
    </row>
    <row r="3325" spans="1:6" x14ac:dyDescent="0.2">
      <c r="A3325" s="91">
        <v>45800</v>
      </c>
      <c r="B3325" s="44">
        <v>17773809</v>
      </c>
      <c r="C3325" s="57" t="s">
        <v>319</v>
      </c>
      <c r="D3325" s="23">
        <v>364800</v>
      </c>
      <c r="E3325" s="24"/>
      <c r="F3325" s="15">
        <f t="shared" si="51"/>
        <v>-364800</v>
      </c>
    </row>
    <row r="3326" spans="1:6" x14ac:dyDescent="0.2">
      <c r="A3326" s="91">
        <v>45800</v>
      </c>
      <c r="B3326" s="43">
        <v>17773810</v>
      </c>
      <c r="C3326" s="20" t="s">
        <v>319</v>
      </c>
      <c r="D3326" s="18">
        <v>2782500</v>
      </c>
      <c r="E3326" s="19"/>
      <c r="F3326" s="15">
        <f t="shared" si="51"/>
        <v>-2782500</v>
      </c>
    </row>
    <row r="3327" spans="1:6" x14ac:dyDescent="0.2">
      <c r="A3327" s="91">
        <v>45800</v>
      </c>
      <c r="B3327" s="43">
        <v>17773811</v>
      </c>
      <c r="C3327" s="20" t="s">
        <v>319</v>
      </c>
      <c r="D3327" s="18">
        <v>380000</v>
      </c>
      <c r="E3327" s="19"/>
      <c r="F3327" s="15">
        <f t="shared" si="51"/>
        <v>-380000</v>
      </c>
    </row>
    <row r="3328" spans="1:6" x14ac:dyDescent="0.2">
      <c r="A3328" s="91">
        <v>45800</v>
      </c>
      <c r="B3328" s="43">
        <v>17773812</v>
      </c>
      <c r="C3328" s="20" t="s">
        <v>319</v>
      </c>
      <c r="D3328" s="18">
        <v>465310</v>
      </c>
      <c r="E3328" s="19"/>
      <c r="F3328" s="15">
        <f t="shared" si="51"/>
        <v>-465310</v>
      </c>
    </row>
    <row r="3329" spans="1:6" x14ac:dyDescent="0.2">
      <c r="A3329" s="91">
        <v>45800</v>
      </c>
      <c r="B3329" s="43">
        <v>17773813</v>
      </c>
      <c r="C3329" s="20" t="s">
        <v>319</v>
      </c>
      <c r="D3329" s="18">
        <v>134900</v>
      </c>
      <c r="E3329" s="19"/>
      <c r="F3329" s="15">
        <f t="shared" si="51"/>
        <v>-134900</v>
      </c>
    </row>
    <row r="3330" spans="1:6" x14ac:dyDescent="0.2">
      <c r="A3330" s="91">
        <v>45800</v>
      </c>
      <c r="B3330" s="43">
        <v>17773814</v>
      </c>
      <c r="C3330" s="20" t="s">
        <v>319</v>
      </c>
      <c r="D3330" s="18">
        <v>915690</v>
      </c>
      <c r="E3330" s="19"/>
      <c r="F3330" s="15">
        <f t="shared" si="51"/>
        <v>-915690</v>
      </c>
    </row>
    <row r="3331" spans="1:6" x14ac:dyDescent="0.2">
      <c r="A3331" s="91">
        <v>45800</v>
      </c>
      <c r="B3331" s="43">
        <v>17773815</v>
      </c>
      <c r="C3331" s="20" t="s">
        <v>319</v>
      </c>
      <c r="D3331" s="18">
        <v>851960</v>
      </c>
      <c r="E3331" s="19"/>
      <c r="F3331" s="15">
        <f t="shared" ref="F3331:F3394" si="52">+E3331-D3331</f>
        <v>-851960</v>
      </c>
    </row>
    <row r="3332" spans="1:6" x14ac:dyDescent="0.2">
      <c r="A3332" s="91">
        <v>45800</v>
      </c>
      <c r="B3332" s="43">
        <v>17773816</v>
      </c>
      <c r="C3332" s="20" t="s">
        <v>319</v>
      </c>
      <c r="D3332" s="18">
        <v>495080</v>
      </c>
      <c r="E3332" s="19"/>
      <c r="F3332" s="15">
        <f t="shared" si="52"/>
        <v>-495080</v>
      </c>
    </row>
    <row r="3333" spans="1:6" x14ac:dyDescent="0.2">
      <c r="A3333" s="91">
        <v>45800</v>
      </c>
      <c r="B3333" s="43">
        <v>17773817</v>
      </c>
      <c r="C3333" s="20" t="s">
        <v>319</v>
      </c>
      <c r="D3333" s="18">
        <v>469000</v>
      </c>
      <c r="E3333" s="19"/>
      <c r="F3333" s="15">
        <f t="shared" si="52"/>
        <v>-469000</v>
      </c>
    </row>
    <row r="3334" spans="1:6" x14ac:dyDescent="0.2">
      <c r="A3334" s="91">
        <v>45800</v>
      </c>
      <c r="B3334" s="43">
        <v>17773818</v>
      </c>
      <c r="C3334" s="20" t="s">
        <v>319</v>
      </c>
      <c r="D3334" s="18">
        <v>789710</v>
      </c>
      <c r="E3334" s="19"/>
      <c r="F3334" s="15">
        <f t="shared" si="52"/>
        <v>-789710</v>
      </c>
    </row>
    <row r="3335" spans="1:6" x14ac:dyDescent="0.2">
      <c r="A3335" s="91">
        <v>45800</v>
      </c>
      <c r="B3335" s="43">
        <v>17773819</v>
      </c>
      <c r="C3335" s="20" t="s">
        <v>319</v>
      </c>
      <c r="D3335" s="18">
        <v>1709525</v>
      </c>
      <c r="E3335" s="19"/>
      <c r="F3335" s="15">
        <f t="shared" si="52"/>
        <v>-1709525</v>
      </c>
    </row>
    <row r="3336" spans="1:6" x14ac:dyDescent="0.2">
      <c r="A3336" s="91">
        <v>45800</v>
      </c>
      <c r="B3336" s="43">
        <v>17773820</v>
      </c>
      <c r="C3336" s="20" t="s">
        <v>319</v>
      </c>
      <c r="D3336" s="18">
        <v>231000</v>
      </c>
      <c r="E3336" s="19"/>
      <c r="F3336" s="15">
        <f t="shared" si="52"/>
        <v>-231000</v>
      </c>
    </row>
    <row r="3337" spans="1:6" x14ac:dyDescent="0.2">
      <c r="A3337" s="91">
        <v>45800</v>
      </c>
      <c r="B3337" s="43">
        <v>17773821</v>
      </c>
      <c r="C3337" s="20" t="s">
        <v>319</v>
      </c>
      <c r="D3337" s="18">
        <v>400800</v>
      </c>
      <c r="E3337" s="19"/>
      <c r="F3337" s="15">
        <f t="shared" si="52"/>
        <v>-400800</v>
      </c>
    </row>
    <row r="3338" spans="1:6" x14ac:dyDescent="0.2">
      <c r="A3338" s="91">
        <v>45800</v>
      </c>
      <c r="B3338" s="43">
        <v>17773822</v>
      </c>
      <c r="C3338" s="20" t="s">
        <v>319</v>
      </c>
      <c r="D3338" s="18">
        <v>1684000</v>
      </c>
      <c r="E3338" s="19"/>
      <c r="F3338" s="15">
        <f t="shared" si="52"/>
        <v>-1684000</v>
      </c>
    </row>
    <row r="3339" spans="1:6" x14ac:dyDescent="0.2">
      <c r="A3339" s="91">
        <v>45800</v>
      </c>
      <c r="B3339" s="43">
        <v>17773823</v>
      </c>
      <c r="C3339" s="20" t="s">
        <v>319</v>
      </c>
      <c r="D3339" s="18">
        <v>1075000</v>
      </c>
      <c r="E3339" s="19"/>
      <c r="F3339" s="15">
        <f t="shared" si="52"/>
        <v>-1075000</v>
      </c>
    </row>
    <row r="3340" spans="1:6" x14ac:dyDescent="0.2">
      <c r="A3340" s="91">
        <v>45800</v>
      </c>
      <c r="B3340" s="43">
        <v>17773824</v>
      </c>
      <c r="C3340" s="20" t="s">
        <v>319</v>
      </c>
      <c r="D3340" s="18">
        <v>2820000</v>
      </c>
      <c r="E3340" s="19"/>
      <c r="F3340" s="15">
        <f t="shared" si="52"/>
        <v>-2820000</v>
      </c>
    </row>
    <row r="3341" spans="1:6" x14ac:dyDescent="0.2">
      <c r="A3341" s="91">
        <v>45800</v>
      </c>
      <c r="B3341" s="43">
        <v>17773825</v>
      </c>
      <c r="C3341" s="20" t="s">
        <v>319</v>
      </c>
      <c r="D3341" s="18">
        <v>500000</v>
      </c>
      <c r="E3341" s="19"/>
      <c r="F3341" s="15">
        <f t="shared" si="52"/>
        <v>-500000</v>
      </c>
    </row>
    <row r="3342" spans="1:6" x14ac:dyDescent="0.2">
      <c r="A3342" s="91">
        <v>45800</v>
      </c>
      <c r="B3342" s="43">
        <v>17773826</v>
      </c>
      <c r="C3342" s="20" t="s">
        <v>319</v>
      </c>
      <c r="D3342" s="18">
        <v>1466690</v>
      </c>
      <c r="E3342" s="19"/>
      <c r="F3342" s="15">
        <f t="shared" si="52"/>
        <v>-1466690</v>
      </c>
    </row>
    <row r="3343" spans="1:6" x14ac:dyDescent="0.2">
      <c r="A3343" s="91">
        <v>45800</v>
      </c>
      <c r="B3343" s="43">
        <v>17773827</v>
      </c>
      <c r="C3343" s="20" t="s">
        <v>319</v>
      </c>
      <c r="D3343" s="18">
        <v>755000</v>
      </c>
      <c r="E3343" s="19"/>
      <c r="F3343" s="15">
        <f t="shared" si="52"/>
        <v>-755000</v>
      </c>
    </row>
    <row r="3344" spans="1:6" x14ac:dyDescent="0.2">
      <c r="A3344" s="91">
        <v>45800</v>
      </c>
      <c r="B3344" s="43">
        <v>17773828</v>
      </c>
      <c r="C3344" s="20" t="s">
        <v>319</v>
      </c>
      <c r="D3344" s="18">
        <v>2876800</v>
      </c>
      <c r="E3344" s="19"/>
      <c r="F3344" s="15">
        <f t="shared" si="52"/>
        <v>-2876800</v>
      </c>
    </row>
    <row r="3345" spans="1:6" x14ac:dyDescent="0.2">
      <c r="A3345" s="91">
        <v>45800</v>
      </c>
      <c r="B3345" s="43">
        <v>17773829</v>
      </c>
      <c r="C3345" s="20" t="s">
        <v>319</v>
      </c>
      <c r="D3345" s="18">
        <v>1826500</v>
      </c>
      <c r="E3345" s="19"/>
      <c r="F3345" s="15">
        <f t="shared" si="52"/>
        <v>-1826500</v>
      </c>
    </row>
    <row r="3346" spans="1:6" x14ac:dyDescent="0.2">
      <c r="A3346" s="91">
        <v>45800</v>
      </c>
      <c r="B3346" s="43">
        <v>17773830</v>
      </c>
      <c r="C3346" s="20" t="s">
        <v>319</v>
      </c>
      <c r="D3346" s="18">
        <v>2423925</v>
      </c>
      <c r="E3346" s="19"/>
      <c r="F3346" s="15">
        <f t="shared" si="52"/>
        <v>-2423925</v>
      </c>
    </row>
    <row r="3347" spans="1:6" x14ac:dyDescent="0.2">
      <c r="A3347" s="91">
        <v>45800</v>
      </c>
      <c r="B3347" s="43">
        <v>17773831</v>
      </c>
      <c r="C3347" s="20" t="s">
        <v>319</v>
      </c>
      <c r="D3347" s="18">
        <v>1000000</v>
      </c>
      <c r="E3347" s="19"/>
      <c r="F3347" s="15">
        <f t="shared" si="52"/>
        <v>-1000000</v>
      </c>
    </row>
    <row r="3348" spans="1:6" x14ac:dyDescent="0.2">
      <c r="A3348" s="91">
        <v>45800</v>
      </c>
      <c r="B3348" s="43">
        <v>17773832</v>
      </c>
      <c r="C3348" s="20" t="s">
        <v>319</v>
      </c>
      <c r="D3348" s="18">
        <v>592410</v>
      </c>
      <c r="E3348" s="19"/>
      <c r="F3348" s="15">
        <f t="shared" si="52"/>
        <v>-592410</v>
      </c>
    </row>
    <row r="3349" spans="1:6" x14ac:dyDescent="0.2">
      <c r="A3349" s="91">
        <v>45800</v>
      </c>
      <c r="B3349" s="46">
        <v>17773833</v>
      </c>
      <c r="C3349" s="56" t="s">
        <v>319</v>
      </c>
      <c r="D3349" s="48">
        <v>1088800</v>
      </c>
      <c r="E3349" s="49"/>
      <c r="F3349" s="15">
        <f t="shared" si="52"/>
        <v>-1088800</v>
      </c>
    </row>
    <row r="3350" spans="1:6" x14ac:dyDescent="0.2">
      <c r="A3350" s="91">
        <v>45800</v>
      </c>
      <c r="B3350" s="44">
        <v>17773834</v>
      </c>
      <c r="C3350" s="57" t="s">
        <v>319</v>
      </c>
      <c r="D3350" s="23">
        <v>765700</v>
      </c>
      <c r="E3350" s="24"/>
      <c r="F3350" s="15">
        <f t="shared" si="52"/>
        <v>-765700</v>
      </c>
    </row>
    <row r="3351" spans="1:6" x14ac:dyDescent="0.2">
      <c r="A3351" s="91">
        <v>45800</v>
      </c>
      <c r="B3351" s="43">
        <v>17773835</v>
      </c>
      <c r="C3351" s="20" t="s">
        <v>319</v>
      </c>
      <c r="D3351" s="18">
        <v>2172000</v>
      </c>
      <c r="E3351" s="19"/>
      <c r="F3351" s="15">
        <f t="shared" si="52"/>
        <v>-2172000</v>
      </c>
    </row>
    <row r="3352" spans="1:6" x14ac:dyDescent="0.2">
      <c r="A3352" s="91">
        <v>45800</v>
      </c>
      <c r="B3352" s="43">
        <v>17773836</v>
      </c>
      <c r="C3352" s="20" t="s">
        <v>319</v>
      </c>
      <c r="D3352" s="18">
        <v>300000</v>
      </c>
      <c r="E3352" s="19"/>
      <c r="F3352" s="15">
        <f t="shared" si="52"/>
        <v>-300000</v>
      </c>
    </row>
    <row r="3353" spans="1:6" x14ac:dyDescent="0.2">
      <c r="A3353" s="91">
        <v>45800</v>
      </c>
      <c r="B3353" s="43">
        <v>17773837</v>
      </c>
      <c r="C3353" s="20" t="s">
        <v>319</v>
      </c>
      <c r="D3353" s="18">
        <v>2349500</v>
      </c>
      <c r="E3353" s="19"/>
      <c r="F3353" s="15">
        <f t="shared" si="52"/>
        <v>-2349500</v>
      </c>
    </row>
    <row r="3354" spans="1:6" x14ac:dyDescent="0.2">
      <c r="A3354" s="91">
        <v>45800</v>
      </c>
      <c r="B3354" s="43">
        <v>17773838</v>
      </c>
      <c r="C3354" s="20" t="s">
        <v>319</v>
      </c>
      <c r="D3354" s="18">
        <v>1078250</v>
      </c>
      <c r="E3354" s="19"/>
      <c r="F3354" s="15">
        <f t="shared" si="52"/>
        <v>-1078250</v>
      </c>
    </row>
    <row r="3355" spans="1:6" x14ac:dyDescent="0.2">
      <c r="A3355" s="91">
        <v>45800</v>
      </c>
      <c r="B3355" s="43">
        <v>17773839</v>
      </c>
      <c r="C3355" s="20" t="s">
        <v>319</v>
      </c>
      <c r="D3355" s="18">
        <v>85500</v>
      </c>
      <c r="E3355" s="19"/>
      <c r="F3355" s="15">
        <f t="shared" si="52"/>
        <v>-85500</v>
      </c>
    </row>
    <row r="3356" spans="1:6" x14ac:dyDescent="0.2">
      <c r="A3356" s="91">
        <v>45800</v>
      </c>
      <c r="B3356" s="43">
        <v>17773840</v>
      </c>
      <c r="C3356" s="20" t="s">
        <v>319</v>
      </c>
      <c r="D3356" s="18">
        <v>242000</v>
      </c>
      <c r="E3356" s="19"/>
      <c r="F3356" s="15">
        <f t="shared" si="52"/>
        <v>-242000</v>
      </c>
    </row>
    <row r="3357" spans="1:6" x14ac:dyDescent="0.2">
      <c r="A3357" s="91">
        <v>45800</v>
      </c>
      <c r="B3357" s="43">
        <v>17773841</v>
      </c>
      <c r="C3357" s="20" t="s">
        <v>319</v>
      </c>
      <c r="D3357" s="18">
        <v>910100</v>
      </c>
      <c r="E3357" s="19"/>
      <c r="F3357" s="15">
        <f t="shared" si="52"/>
        <v>-910100</v>
      </c>
    </row>
    <row r="3358" spans="1:6" x14ac:dyDescent="0.2">
      <c r="A3358" s="91">
        <v>45800</v>
      </c>
      <c r="B3358" s="43">
        <v>17773842</v>
      </c>
      <c r="C3358" s="20" t="s">
        <v>319</v>
      </c>
      <c r="D3358" s="18">
        <v>440000</v>
      </c>
      <c r="E3358" s="19"/>
      <c r="F3358" s="15">
        <f t="shared" si="52"/>
        <v>-440000</v>
      </c>
    </row>
    <row r="3359" spans="1:6" x14ac:dyDescent="0.2">
      <c r="A3359" s="91">
        <v>45800</v>
      </c>
      <c r="B3359" s="43">
        <v>17773843</v>
      </c>
      <c r="C3359" s="20" t="s">
        <v>319</v>
      </c>
      <c r="D3359" s="18">
        <v>180000</v>
      </c>
      <c r="E3359" s="19"/>
      <c r="F3359" s="15">
        <f t="shared" si="52"/>
        <v>-180000</v>
      </c>
    </row>
    <row r="3360" spans="1:6" x14ac:dyDescent="0.2">
      <c r="A3360" s="91">
        <v>45800</v>
      </c>
      <c r="B3360" s="43">
        <v>17773844</v>
      </c>
      <c r="C3360" s="20" t="s">
        <v>319</v>
      </c>
      <c r="D3360" s="18">
        <v>1100000</v>
      </c>
      <c r="E3360" s="19"/>
      <c r="F3360" s="15">
        <f t="shared" si="52"/>
        <v>-1100000</v>
      </c>
    </row>
    <row r="3361" spans="1:6" x14ac:dyDescent="0.2">
      <c r="A3361" s="91">
        <v>45800</v>
      </c>
      <c r="B3361" s="43">
        <v>17773845</v>
      </c>
      <c r="C3361" s="20" t="s">
        <v>319</v>
      </c>
      <c r="D3361" s="18">
        <v>558125</v>
      </c>
      <c r="E3361" s="19"/>
      <c r="F3361" s="15">
        <f t="shared" si="52"/>
        <v>-558125</v>
      </c>
    </row>
    <row r="3362" spans="1:6" x14ac:dyDescent="0.2">
      <c r="A3362" s="91">
        <v>45800</v>
      </c>
      <c r="B3362" s="43">
        <v>17773846</v>
      </c>
      <c r="C3362" s="20" t="s">
        <v>319</v>
      </c>
      <c r="D3362" s="18">
        <v>408000</v>
      </c>
      <c r="E3362" s="19"/>
      <c r="F3362" s="15">
        <f t="shared" si="52"/>
        <v>-408000</v>
      </c>
    </row>
    <row r="3363" spans="1:6" x14ac:dyDescent="0.2">
      <c r="A3363" s="91">
        <v>45800</v>
      </c>
      <c r="B3363" s="43">
        <v>17773847</v>
      </c>
      <c r="C3363" s="20" t="s">
        <v>319</v>
      </c>
      <c r="D3363" s="18">
        <v>1312000</v>
      </c>
      <c r="E3363" s="19"/>
      <c r="F3363" s="15">
        <f t="shared" si="52"/>
        <v>-1312000</v>
      </c>
    </row>
    <row r="3364" spans="1:6" x14ac:dyDescent="0.2">
      <c r="A3364" s="91">
        <v>45800</v>
      </c>
      <c r="B3364" s="43">
        <v>17773848</v>
      </c>
      <c r="C3364" s="20" t="s">
        <v>319</v>
      </c>
      <c r="D3364" s="18">
        <v>1120000</v>
      </c>
      <c r="E3364" s="19"/>
      <c r="F3364" s="15">
        <f t="shared" si="52"/>
        <v>-1120000</v>
      </c>
    </row>
    <row r="3365" spans="1:6" x14ac:dyDescent="0.2">
      <c r="A3365" s="91">
        <v>45800</v>
      </c>
      <c r="B3365" s="43">
        <v>17773849</v>
      </c>
      <c r="C3365" s="20" t="s">
        <v>319</v>
      </c>
      <c r="D3365" s="18">
        <v>366000</v>
      </c>
      <c r="E3365" s="19"/>
      <c r="F3365" s="15">
        <f t="shared" si="52"/>
        <v>-366000</v>
      </c>
    </row>
    <row r="3366" spans="1:6" x14ac:dyDescent="0.2">
      <c r="A3366" s="91">
        <v>45800</v>
      </c>
      <c r="B3366" s="43">
        <v>17773850</v>
      </c>
      <c r="C3366" s="20" t="s">
        <v>319</v>
      </c>
      <c r="D3366" s="18">
        <v>665000</v>
      </c>
      <c r="E3366" s="19"/>
      <c r="F3366" s="15">
        <f t="shared" si="52"/>
        <v>-665000</v>
      </c>
    </row>
    <row r="3367" spans="1:6" x14ac:dyDescent="0.2">
      <c r="A3367" s="91">
        <v>45800</v>
      </c>
      <c r="B3367" s="43">
        <v>17773851</v>
      </c>
      <c r="C3367" s="20" t="s">
        <v>319</v>
      </c>
      <c r="D3367" s="18">
        <v>2485800</v>
      </c>
      <c r="E3367" s="19"/>
      <c r="F3367" s="15">
        <f t="shared" si="52"/>
        <v>-2485800</v>
      </c>
    </row>
    <row r="3368" spans="1:6" x14ac:dyDescent="0.2">
      <c r="A3368" s="91">
        <v>45800</v>
      </c>
      <c r="B3368" s="43">
        <v>17773852</v>
      </c>
      <c r="C3368" s="20" t="s">
        <v>319</v>
      </c>
      <c r="D3368" s="18">
        <v>243000</v>
      </c>
      <c r="E3368" s="19"/>
      <c r="F3368" s="15">
        <f t="shared" si="52"/>
        <v>-243000</v>
      </c>
    </row>
    <row r="3369" spans="1:6" x14ac:dyDescent="0.2">
      <c r="A3369" s="91">
        <v>45800</v>
      </c>
      <c r="B3369" s="43">
        <v>17773853</v>
      </c>
      <c r="C3369" s="20" t="s">
        <v>319</v>
      </c>
      <c r="D3369" s="18">
        <v>97850</v>
      </c>
      <c r="E3369" s="19"/>
      <c r="F3369" s="15">
        <f t="shared" si="52"/>
        <v>-97850</v>
      </c>
    </row>
    <row r="3370" spans="1:6" x14ac:dyDescent="0.2">
      <c r="A3370" s="91">
        <v>45800</v>
      </c>
      <c r="B3370" s="43">
        <v>17773854</v>
      </c>
      <c r="C3370" s="20" t="s">
        <v>319</v>
      </c>
      <c r="D3370" s="18">
        <v>1290000</v>
      </c>
      <c r="E3370" s="19"/>
      <c r="F3370" s="15">
        <f t="shared" si="52"/>
        <v>-1290000</v>
      </c>
    </row>
    <row r="3371" spans="1:6" x14ac:dyDescent="0.2">
      <c r="A3371" s="91">
        <v>45800</v>
      </c>
      <c r="B3371" s="43">
        <v>17773855</v>
      </c>
      <c r="C3371" s="20" t="s">
        <v>319</v>
      </c>
      <c r="D3371" s="18">
        <v>1280000</v>
      </c>
      <c r="E3371" s="19"/>
      <c r="F3371" s="15">
        <f t="shared" si="52"/>
        <v>-1280000</v>
      </c>
    </row>
    <row r="3372" spans="1:6" x14ac:dyDescent="0.2">
      <c r="A3372" s="91">
        <v>45834</v>
      </c>
      <c r="B3372" s="43">
        <v>18500756</v>
      </c>
      <c r="C3372" s="20" t="s">
        <v>319</v>
      </c>
      <c r="D3372" s="18">
        <v>4900000</v>
      </c>
      <c r="E3372" s="19"/>
      <c r="F3372" s="15">
        <f t="shared" si="52"/>
        <v>-4900000</v>
      </c>
    </row>
    <row r="3373" spans="1:6" x14ac:dyDescent="0.2">
      <c r="A3373" s="91">
        <v>45834</v>
      </c>
      <c r="B3373" s="46">
        <v>18500757</v>
      </c>
      <c r="C3373" s="56" t="s">
        <v>319</v>
      </c>
      <c r="D3373" s="48">
        <v>285011</v>
      </c>
      <c r="E3373" s="49"/>
      <c r="F3373" s="15">
        <f t="shared" si="52"/>
        <v>-285011</v>
      </c>
    </row>
    <row r="3374" spans="1:6" x14ac:dyDescent="0.2">
      <c r="A3374" s="91">
        <v>45834</v>
      </c>
      <c r="B3374" s="44">
        <v>18500758</v>
      </c>
      <c r="C3374" s="57" t="s">
        <v>319</v>
      </c>
      <c r="D3374" s="23">
        <v>976000</v>
      </c>
      <c r="E3374" s="24"/>
      <c r="F3374" s="15">
        <f t="shared" si="52"/>
        <v>-976000</v>
      </c>
    </row>
    <row r="3375" spans="1:6" x14ac:dyDescent="0.2">
      <c r="A3375" s="91">
        <v>45834</v>
      </c>
      <c r="B3375" s="43">
        <v>18500759</v>
      </c>
      <c r="C3375" s="20" t="s">
        <v>319</v>
      </c>
      <c r="D3375" s="18">
        <v>907010</v>
      </c>
      <c r="E3375" s="19"/>
      <c r="F3375" s="15">
        <f t="shared" si="52"/>
        <v>-907010</v>
      </c>
    </row>
    <row r="3376" spans="1:6" x14ac:dyDescent="0.2">
      <c r="A3376" s="91">
        <v>45834</v>
      </c>
      <c r="B3376" s="43">
        <v>18500760</v>
      </c>
      <c r="C3376" s="20" t="s">
        <v>319</v>
      </c>
      <c r="D3376" s="18">
        <v>688000</v>
      </c>
      <c r="E3376" s="19"/>
      <c r="F3376" s="15">
        <f t="shared" si="52"/>
        <v>-688000</v>
      </c>
    </row>
    <row r="3377" spans="1:6" x14ac:dyDescent="0.2">
      <c r="A3377" s="91">
        <v>45834</v>
      </c>
      <c r="B3377" s="43">
        <v>18500761</v>
      </c>
      <c r="C3377" s="20" t="s">
        <v>319</v>
      </c>
      <c r="D3377" s="18">
        <v>551100</v>
      </c>
      <c r="E3377" s="19"/>
      <c r="F3377" s="15">
        <f t="shared" si="52"/>
        <v>-551100</v>
      </c>
    </row>
    <row r="3378" spans="1:6" x14ac:dyDescent="0.2">
      <c r="A3378" s="91">
        <v>45834</v>
      </c>
      <c r="B3378" s="43">
        <v>18500762</v>
      </c>
      <c r="C3378" s="20" t="s">
        <v>319</v>
      </c>
      <c r="D3378" s="18">
        <v>200000</v>
      </c>
      <c r="E3378" s="19"/>
      <c r="F3378" s="15">
        <f t="shared" si="52"/>
        <v>-200000</v>
      </c>
    </row>
    <row r="3379" spans="1:6" x14ac:dyDescent="0.2">
      <c r="A3379" s="91">
        <v>45834</v>
      </c>
      <c r="B3379" s="43">
        <v>18500763</v>
      </c>
      <c r="C3379" s="20" t="s">
        <v>319</v>
      </c>
      <c r="D3379" s="18">
        <v>5232200</v>
      </c>
      <c r="E3379" s="19"/>
      <c r="F3379" s="15">
        <f t="shared" si="52"/>
        <v>-5232200</v>
      </c>
    </row>
    <row r="3380" spans="1:6" x14ac:dyDescent="0.2">
      <c r="A3380" s="91">
        <v>45834</v>
      </c>
      <c r="B3380" s="43">
        <v>18500764</v>
      </c>
      <c r="C3380" s="20" t="s">
        <v>319</v>
      </c>
      <c r="D3380" s="18">
        <v>222000</v>
      </c>
      <c r="E3380" s="19"/>
      <c r="F3380" s="15">
        <f t="shared" si="52"/>
        <v>-222000</v>
      </c>
    </row>
    <row r="3381" spans="1:6" x14ac:dyDescent="0.2">
      <c r="A3381" s="91">
        <v>45834</v>
      </c>
      <c r="B3381" s="43">
        <v>18500765</v>
      </c>
      <c r="C3381" s="20" t="s">
        <v>319</v>
      </c>
      <c r="D3381" s="18">
        <v>741000</v>
      </c>
      <c r="E3381" s="19"/>
      <c r="F3381" s="15">
        <f t="shared" si="52"/>
        <v>-741000</v>
      </c>
    </row>
    <row r="3382" spans="1:6" x14ac:dyDescent="0.2">
      <c r="A3382" s="91">
        <v>45834</v>
      </c>
      <c r="B3382" s="43">
        <v>18500766</v>
      </c>
      <c r="C3382" s="20" t="s">
        <v>319</v>
      </c>
      <c r="D3382" s="18">
        <v>3166350</v>
      </c>
      <c r="E3382" s="19"/>
      <c r="F3382" s="15">
        <f t="shared" si="52"/>
        <v>-3166350</v>
      </c>
    </row>
    <row r="3383" spans="1:6" x14ac:dyDescent="0.2">
      <c r="A3383" s="91">
        <v>45834</v>
      </c>
      <c r="B3383" s="43">
        <v>18500767</v>
      </c>
      <c r="C3383" s="20" t="s">
        <v>319</v>
      </c>
      <c r="D3383" s="18">
        <v>1042150</v>
      </c>
      <c r="E3383" s="19"/>
      <c r="F3383" s="15">
        <f t="shared" si="52"/>
        <v>-1042150</v>
      </c>
    </row>
    <row r="3384" spans="1:6" x14ac:dyDescent="0.2">
      <c r="A3384" s="91">
        <v>45834</v>
      </c>
      <c r="B3384" s="43">
        <v>18500768</v>
      </c>
      <c r="C3384" s="20" t="s">
        <v>319</v>
      </c>
      <c r="D3384" s="18">
        <v>2782500</v>
      </c>
      <c r="E3384" s="19"/>
      <c r="F3384" s="15">
        <f t="shared" si="52"/>
        <v>-2782500</v>
      </c>
    </row>
    <row r="3385" spans="1:6" x14ac:dyDescent="0.2">
      <c r="A3385" s="91">
        <v>45834</v>
      </c>
      <c r="B3385" s="43">
        <v>18500769</v>
      </c>
      <c r="C3385" s="20" t="s">
        <v>319</v>
      </c>
      <c r="D3385" s="18">
        <v>1955000</v>
      </c>
      <c r="E3385" s="19"/>
      <c r="F3385" s="15">
        <f t="shared" si="52"/>
        <v>-1955000</v>
      </c>
    </row>
    <row r="3386" spans="1:6" x14ac:dyDescent="0.2">
      <c r="A3386" s="91">
        <v>45834</v>
      </c>
      <c r="B3386" s="43">
        <v>18500770</v>
      </c>
      <c r="C3386" s="20" t="s">
        <v>319</v>
      </c>
      <c r="D3386" s="18">
        <v>760000</v>
      </c>
      <c r="E3386" s="19"/>
      <c r="F3386" s="15">
        <f t="shared" si="52"/>
        <v>-760000</v>
      </c>
    </row>
    <row r="3387" spans="1:6" x14ac:dyDescent="0.2">
      <c r="A3387" s="91">
        <v>45834</v>
      </c>
      <c r="B3387" s="43">
        <v>18500771</v>
      </c>
      <c r="C3387" s="20" t="s">
        <v>319</v>
      </c>
      <c r="D3387" s="18">
        <v>503310</v>
      </c>
      <c r="E3387" s="19"/>
      <c r="F3387" s="15">
        <f t="shared" si="52"/>
        <v>-503310</v>
      </c>
    </row>
    <row r="3388" spans="1:6" x14ac:dyDescent="0.2">
      <c r="A3388" s="91">
        <v>45834</v>
      </c>
      <c r="B3388" s="43">
        <v>18500772</v>
      </c>
      <c r="C3388" s="20" t="s">
        <v>319</v>
      </c>
      <c r="D3388" s="18">
        <v>114000</v>
      </c>
      <c r="E3388" s="19"/>
      <c r="F3388" s="15">
        <f t="shared" si="52"/>
        <v>-114000</v>
      </c>
    </row>
    <row r="3389" spans="1:6" x14ac:dyDescent="0.2">
      <c r="A3389" s="91">
        <v>45834</v>
      </c>
      <c r="B3389" s="43">
        <v>18500773</v>
      </c>
      <c r="C3389" s="20" t="s">
        <v>319</v>
      </c>
      <c r="D3389" s="18">
        <v>776720</v>
      </c>
      <c r="E3389" s="19"/>
      <c r="F3389" s="15">
        <f t="shared" si="52"/>
        <v>-776720</v>
      </c>
    </row>
    <row r="3390" spans="1:6" x14ac:dyDescent="0.2">
      <c r="A3390" s="91">
        <v>45834</v>
      </c>
      <c r="B3390" s="43">
        <v>18500774</v>
      </c>
      <c r="C3390" s="20" t="s">
        <v>319</v>
      </c>
      <c r="D3390" s="18">
        <v>1196240</v>
      </c>
      <c r="E3390" s="19"/>
      <c r="F3390" s="15">
        <f t="shared" si="52"/>
        <v>-1196240</v>
      </c>
    </row>
    <row r="3391" spans="1:6" x14ac:dyDescent="0.2">
      <c r="A3391" s="91">
        <v>45834</v>
      </c>
      <c r="B3391" s="43">
        <v>18500775</v>
      </c>
      <c r="C3391" s="20" t="s">
        <v>319</v>
      </c>
      <c r="D3391" s="18">
        <v>596640</v>
      </c>
      <c r="E3391" s="19"/>
      <c r="F3391" s="15">
        <f t="shared" si="52"/>
        <v>-596640</v>
      </c>
    </row>
    <row r="3392" spans="1:6" x14ac:dyDescent="0.2">
      <c r="A3392" s="91">
        <v>45834</v>
      </c>
      <c r="B3392" s="43">
        <v>18500776</v>
      </c>
      <c r="C3392" s="20" t="s">
        <v>319</v>
      </c>
      <c r="D3392" s="18">
        <v>616000</v>
      </c>
      <c r="E3392" s="19"/>
      <c r="F3392" s="15">
        <f t="shared" si="52"/>
        <v>-616000</v>
      </c>
    </row>
    <row r="3393" spans="1:6" x14ac:dyDescent="0.2">
      <c r="A3393" s="91">
        <v>45834</v>
      </c>
      <c r="B3393" s="43">
        <v>18500777</v>
      </c>
      <c r="C3393" s="20" t="s">
        <v>319</v>
      </c>
      <c r="D3393" s="18">
        <v>789710</v>
      </c>
      <c r="E3393" s="19"/>
      <c r="F3393" s="15">
        <f t="shared" si="52"/>
        <v>-789710</v>
      </c>
    </row>
    <row r="3394" spans="1:6" x14ac:dyDescent="0.2">
      <c r="A3394" s="91">
        <v>45834</v>
      </c>
      <c r="B3394" s="43">
        <v>18500778</v>
      </c>
      <c r="C3394" s="20" t="s">
        <v>319</v>
      </c>
      <c r="D3394" s="18">
        <v>1615950</v>
      </c>
      <c r="E3394" s="19"/>
      <c r="F3394" s="15">
        <f t="shared" si="52"/>
        <v>-1615950</v>
      </c>
    </row>
    <row r="3395" spans="1:6" x14ac:dyDescent="0.2">
      <c r="A3395" s="91">
        <v>45834</v>
      </c>
      <c r="B3395" s="43">
        <v>18500779</v>
      </c>
      <c r="C3395" s="20" t="s">
        <v>319</v>
      </c>
      <c r="D3395" s="18">
        <v>300000</v>
      </c>
      <c r="E3395" s="19"/>
      <c r="F3395" s="15">
        <f t="shared" ref="F3395:F3458" si="53">+E3395-D3395</f>
        <v>-300000</v>
      </c>
    </row>
    <row r="3396" spans="1:6" x14ac:dyDescent="0.2">
      <c r="A3396" s="91">
        <v>45834</v>
      </c>
      <c r="B3396" s="43">
        <v>18500780</v>
      </c>
      <c r="C3396" s="20" t="s">
        <v>319</v>
      </c>
      <c r="D3396" s="18">
        <v>241200</v>
      </c>
      <c r="E3396" s="19"/>
      <c r="F3396" s="15">
        <f t="shared" si="53"/>
        <v>-241200</v>
      </c>
    </row>
    <row r="3397" spans="1:6" x14ac:dyDescent="0.2">
      <c r="A3397" s="91">
        <v>45834</v>
      </c>
      <c r="B3397" s="43">
        <v>18500781</v>
      </c>
      <c r="C3397" s="20" t="s">
        <v>319</v>
      </c>
      <c r="D3397" s="18">
        <v>860000</v>
      </c>
      <c r="E3397" s="19"/>
      <c r="F3397" s="15">
        <f t="shared" si="53"/>
        <v>-860000</v>
      </c>
    </row>
    <row r="3398" spans="1:6" x14ac:dyDescent="0.2">
      <c r="A3398" s="91">
        <v>45834</v>
      </c>
      <c r="B3398" s="43">
        <v>18500782</v>
      </c>
      <c r="C3398" s="20" t="s">
        <v>319</v>
      </c>
      <c r="D3398" s="18">
        <v>2820000</v>
      </c>
      <c r="E3398" s="19"/>
      <c r="F3398" s="15">
        <f t="shared" si="53"/>
        <v>-2820000</v>
      </c>
    </row>
    <row r="3399" spans="1:6" x14ac:dyDescent="0.2">
      <c r="A3399" s="91">
        <v>45834</v>
      </c>
      <c r="B3399" s="43">
        <v>18500783</v>
      </c>
      <c r="C3399" s="20" t="s">
        <v>319</v>
      </c>
      <c r="D3399" s="18">
        <v>500000</v>
      </c>
      <c r="E3399" s="19"/>
      <c r="F3399" s="15">
        <f t="shared" si="53"/>
        <v>-500000</v>
      </c>
    </row>
    <row r="3400" spans="1:6" x14ac:dyDescent="0.2">
      <c r="A3400" s="91">
        <v>45834</v>
      </c>
      <c r="B3400" s="46">
        <v>18500784</v>
      </c>
      <c r="C3400" s="56" t="s">
        <v>319</v>
      </c>
      <c r="D3400" s="48">
        <v>1818690</v>
      </c>
      <c r="E3400" s="49"/>
      <c r="F3400" s="15">
        <f t="shared" si="53"/>
        <v>-1818690</v>
      </c>
    </row>
    <row r="3401" spans="1:6" x14ac:dyDescent="0.2">
      <c r="A3401" s="91">
        <v>45834</v>
      </c>
      <c r="B3401" s="44">
        <v>18500785</v>
      </c>
      <c r="C3401" s="57" t="s">
        <v>319</v>
      </c>
      <c r="D3401" s="23">
        <v>660000</v>
      </c>
      <c r="E3401" s="24"/>
      <c r="F3401" s="15">
        <f t="shared" si="53"/>
        <v>-660000</v>
      </c>
    </row>
    <row r="3402" spans="1:6" x14ac:dyDescent="0.2">
      <c r="A3402" s="91">
        <v>45834</v>
      </c>
      <c r="B3402" s="43">
        <v>18500786</v>
      </c>
      <c r="C3402" s="20" t="s">
        <v>319</v>
      </c>
      <c r="D3402" s="18">
        <v>3390800</v>
      </c>
      <c r="E3402" s="19"/>
      <c r="F3402" s="15">
        <f t="shared" si="53"/>
        <v>-3390800</v>
      </c>
    </row>
    <row r="3403" spans="1:6" x14ac:dyDescent="0.2">
      <c r="A3403" s="91">
        <v>45834</v>
      </c>
      <c r="B3403" s="43">
        <v>18500787</v>
      </c>
      <c r="C3403" s="20" t="s">
        <v>319</v>
      </c>
      <c r="D3403" s="18">
        <v>370500</v>
      </c>
      <c r="E3403" s="19"/>
      <c r="F3403" s="15">
        <f t="shared" si="53"/>
        <v>-370500</v>
      </c>
    </row>
    <row r="3404" spans="1:6" x14ac:dyDescent="0.2">
      <c r="A3404" s="91">
        <v>45834</v>
      </c>
      <c r="B3404" s="43">
        <v>18500788</v>
      </c>
      <c r="C3404" s="20" t="s">
        <v>319</v>
      </c>
      <c r="D3404" s="18">
        <v>1664000</v>
      </c>
      <c r="E3404" s="19"/>
      <c r="F3404" s="15">
        <f t="shared" si="53"/>
        <v>-1664000</v>
      </c>
    </row>
    <row r="3405" spans="1:6" x14ac:dyDescent="0.2">
      <c r="A3405" s="91">
        <v>45834</v>
      </c>
      <c r="B3405" s="43">
        <v>18500789</v>
      </c>
      <c r="C3405" s="20" t="s">
        <v>319</v>
      </c>
      <c r="D3405" s="18">
        <v>4690530</v>
      </c>
      <c r="E3405" s="19"/>
      <c r="F3405" s="15">
        <f t="shared" si="53"/>
        <v>-4690530</v>
      </c>
    </row>
    <row r="3406" spans="1:6" x14ac:dyDescent="0.2">
      <c r="A3406" s="91">
        <v>45834</v>
      </c>
      <c r="B3406" s="43">
        <v>18500790</v>
      </c>
      <c r="C3406" s="20" t="s">
        <v>319</v>
      </c>
      <c r="D3406" s="18">
        <v>1958800</v>
      </c>
      <c r="E3406" s="19"/>
      <c r="F3406" s="15">
        <f t="shared" si="53"/>
        <v>-1958800</v>
      </c>
    </row>
    <row r="3407" spans="1:6" x14ac:dyDescent="0.2">
      <c r="A3407" s="91">
        <v>45834</v>
      </c>
      <c r="B3407" s="43">
        <v>18500791</v>
      </c>
      <c r="C3407" s="20" t="s">
        <v>319</v>
      </c>
      <c r="D3407" s="18">
        <v>1000000</v>
      </c>
      <c r="E3407" s="19"/>
      <c r="F3407" s="15">
        <f t="shared" si="53"/>
        <v>-1000000</v>
      </c>
    </row>
    <row r="3408" spans="1:6" x14ac:dyDescent="0.2">
      <c r="A3408" s="91">
        <v>45834</v>
      </c>
      <c r="B3408" s="43">
        <v>18500792</v>
      </c>
      <c r="C3408" s="20" t="s">
        <v>319</v>
      </c>
      <c r="D3408" s="18">
        <v>816450</v>
      </c>
      <c r="E3408" s="19"/>
      <c r="F3408" s="15">
        <f t="shared" si="53"/>
        <v>-816450</v>
      </c>
    </row>
    <row r="3409" spans="1:6" x14ac:dyDescent="0.2">
      <c r="A3409" s="91">
        <v>45834</v>
      </c>
      <c r="B3409" s="43">
        <v>18500793</v>
      </c>
      <c r="C3409" s="20" t="s">
        <v>319</v>
      </c>
      <c r="D3409" s="18">
        <v>1194200</v>
      </c>
      <c r="E3409" s="19"/>
      <c r="F3409" s="15">
        <f t="shared" si="53"/>
        <v>-1194200</v>
      </c>
    </row>
    <row r="3410" spans="1:6" x14ac:dyDescent="0.2">
      <c r="A3410" s="91">
        <v>45834</v>
      </c>
      <c r="B3410" s="43">
        <v>18500794</v>
      </c>
      <c r="C3410" s="20" t="s">
        <v>319</v>
      </c>
      <c r="D3410" s="18">
        <v>1584000</v>
      </c>
      <c r="E3410" s="19"/>
      <c r="F3410" s="15">
        <f t="shared" si="53"/>
        <v>-1584000</v>
      </c>
    </row>
    <row r="3411" spans="1:6" x14ac:dyDescent="0.2">
      <c r="A3411" s="91">
        <v>45834</v>
      </c>
      <c r="B3411" s="43">
        <v>18500795</v>
      </c>
      <c r="C3411" s="20" t="s">
        <v>319</v>
      </c>
      <c r="D3411" s="18">
        <v>722950</v>
      </c>
      <c r="E3411" s="19"/>
      <c r="F3411" s="15">
        <f t="shared" si="53"/>
        <v>-722950</v>
      </c>
    </row>
    <row r="3412" spans="1:6" x14ac:dyDescent="0.2">
      <c r="A3412" s="91">
        <v>45834</v>
      </c>
      <c r="B3412" s="43">
        <v>18500796</v>
      </c>
      <c r="C3412" s="20" t="s">
        <v>319</v>
      </c>
      <c r="D3412" s="18">
        <v>63000</v>
      </c>
      <c r="E3412" s="19"/>
      <c r="F3412" s="15">
        <f t="shared" si="53"/>
        <v>-63000</v>
      </c>
    </row>
    <row r="3413" spans="1:6" x14ac:dyDescent="0.2">
      <c r="A3413" s="91">
        <v>45834</v>
      </c>
      <c r="B3413" s="43">
        <v>18500797</v>
      </c>
      <c r="C3413" s="20" t="s">
        <v>319</v>
      </c>
      <c r="D3413" s="18">
        <v>500000</v>
      </c>
      <c r="E3413" s="19"/>
      <c r="F3413" s="15">
        <f t="shared" si="53"/>
        <v>-500000</v>
      </c>
    </row>
    <row r="3414" spans="1:6" x14ac:dyDescent="0.2">
      <c r="A3414" s="91">
        <v>45834</v>
      </c>
      <c r="B3414" s="43">
        <v>18500798</v>
      </c>
      <c r="C3414" s="20" t="s">
        <v>319</v>
      </c>
      <c r="D3414" s="18">
        <v>1643500</v>
      </c>
      <c r="E3414" s="19"/>
      <c r="F3414" s="15">
        <f t="shared" si="53"/>
        <v>-1643500</v>
      </c>
    </row>
    <row r="3415" spans="1:6" x14ac:dyDescent="0.2">
      <c r="A3415" s="91">
        <v>45834</v>
      </c>
      <c r="B3415" s="43">
        <v>18500799</v>
      </c>
      <c r="C3415" s="20" t="s">
        <v>319</v>
      </c>
      <c r="D3415" s="18">
        <v>1738500</v>
      </c>
      <c r="E3415" s="19"/>
      <c r="F3415" s="15">
        <f t="shared" si="53"/>
        <v>-1738500</v>
      </c>
    </row>
    <row r="3416" spans="1:6" x14ac:dyDescent="0.2">
      <c r="A3416" s="91">
        <v>45834</v>
      </c>
      <c r="B3416" s="43">
        <v>18500800</v>
      </c>
      <c r="C3416" s="20" t="s">
        <v>319</v>
      </c>
      <c r="D3416" s="18">
        <v>85500</v>
      </c>
      <c r="E3416" s="19"/>
      <c r="F3416" s="15">
        <f t="shared" si="53"/>
        <v>-85500</v>
      </c>
    </row>
    <row r="3417" spans="1:6" x14ac:dyDescent="0.2">
      <c r="A3417" s="91">
        <v>45834</v>
      </c>
      <c r="B3417" s="43">
        <v>18500801</v>
      </c>
      <c r="C3417" s="20" t="s">
        <v>319</v>
      </c>
      <c r="D3417" s="18">
        <v>242000</v>
      </c>
      <c r="E3417" s="19"/>
      <c r="F3417" s="15">
        <f t="shared" si="53"/>
        <v>-242000</v>
      </c>
    </row>
    <row r="3418" spans="1:6" x14ac:dyDescent="0.2">
      <c r="A3418" s="91">
        <v>45834</v>
      </c>
      <c r="B3418" s="43">
        <v>18500802</v>
      </c>
      <c r="C3418" s="20" t="s">
        <v>319</v>
      </c>
      <c r="D3418" s="18">
        <v>1201750</v>
      </c>
      <c r="E3418" s="19"/>
      <c r="F3418" s="15">
        <f t="shared" si="53"/>
        <v>-1201750</v>
      </c>
    </row>
    <row r="3419" spans="1:6" x14ac:dyDescent="0.2">
      <c r="A3419" s="91">
        <v>45834</v>
      </c>
      <c r="B3419" s="43">
        <v>18500803</v>
      </c>
      <c r="C3419" s="20" t="s">
        <v>319</v>
      </c>
      <c r="D3419" s="18">
        <v>520000</v>
      </c>
      <c r="E3419" s="19"/>
      <c r="F3419" s="15">
        <f t="shared" si="53"/>
        <v>-520000</v>
      </c>
    </row>
    <row r="3420" spans="1:6" x14ac:dyDescent="0.2">
      <c r="A3420" s="91">
        <v>45834</v>
      </c>
      <c r="B3420" s="43">
        <v>18500804</v>
      </c>
      <c r="C3420" s="20" t="s">
        <v>319</v>
      </c>
      <c r="D3420" s="18">
        <v>4435550</v>
      </c>
      <c r="E3420" s="19"/>
      <c r="F3420" s="15">
        <f t="shared" si="53"/>
        <v>-4435550</v>
      </c>
    </row>
    <row r="3421" spans="1:6" x14ac:dyDescent="0.2">
      <c r="A3421" s="91">
        <v>45834</v>
      </c>
      <c r="B3421" s="43">
        <v>18500805</v>
      </c>
      <c r="C3421" s="20" t="s">
        <v>319</v>
      </c>
      <c r="D3421" s="18">
        <v>180000</v>
      </c>
      <c r="E3421" s="19"/>
      <c r="F3421" s="15">
        <f t="shared" si="53"/>
        <v>-180000</v>
      </c>
    </row>
    <row r="3422" spans="1:6" x14ac:dyDescent="0.2">
      <c r="A3422" s="91">
        <v>45834</v>
      </c>
      <c r="B3422" s="43">
        <v>18500806</v>
      </c>
      <c r="C3422" s="20" t="s">
        <v>319</v>
      </c>
      <c r="D3422" s="18">
        <v>1100000</v>
      </c>
      <c r="E3422" s="19"/>
      <c r="F3422" s="15">
        <f t="shared" si="53"/>
        <v>-1100000</v>
      </c>
    </row>
    <row r="3423" spans="1:6" x14ac:dyDescent="0.2">
      <c r="A3423" s="91">
        <v>45834</v>
      </c>
      <c r="B3423" s="43">
        <v>18500807</v>
      </c>
      <c r="C3423" s="20" t="s">
        <v>319</v>
      </c>
      <c r="D3423" s="18">
        <v>1363250</v>
      </c>
      <c r="E3423" s="19"/>
      <c r="F3423" s="15">
        <f t="shared" si="53"/>
        <v>-1363250</v>
      </c>
    </row>
    <row r="3424" spans="1:6" x14ac:dyDescent="0.2">
      <c r="A3424" s="91">
        <v>45834</v>
      </c>
      <c r="B3424" s="43">
        <v>18500808</v>
      </c>
      <c r="C3424" s="20" t="s">
        <v>319</v>
      </c>
      <c r="D3424" s="18">
        <v>1482000</v>
      </c>
      <c r="E3424" s="19"/>
      <c r="F3424" s="15">
        <f t="shared" si="53"/>
        <v>-1482000</v>
      </c>
    </row>
    <row r="3425" spans="1:6" x14ac:dyDescent="0.2">
      <c r="A3425" s="91">
        <v>45834</v>
      </c>
      <c r="B3425" s="46">
        <v>18500809</v>
      </c>
      <c r="C3425" s="56" t="s">
        <v>319</v>
      </c>
      <c r="D3425" s="48">
        <v>600000</v>
      </c>
      <c r="E3425" s="49"/>
      <c r="F3425" s="15">
        <f t="shared" si="53"/>
        <v>-600000</v>
      </c>
    </row>
    <row r="3426" spans="1:6" x14ac:dyDescent="0.2">
      <c r="A3426" s="91">
        <v>45834</v>
      </c>
      <c r="B3426" s="44">
        <v>18500810</v>
      </c>
      <c r="C3426" s="57" t="s">
        <v>319</v>
      </c>
      <c r="D3426" s="23">
        <v>704000</v>
      </c>
      <c r="E3426" s="24"/>
      <c r="F3426" s="15">
        <f t="shared" si="53"/>
        <v>-704000</v>
      </c>
    </row>
    <row r="3427" spans="1:6" x14ac:dyDescent="0.2">
      <c r="A3427" s="91">
        <v>45834</v>
      </c>
      <c r="B3427" s="43">
        <v>18500811</v>
      </c>
      <c r="C3427" s="20" t="s">
        <v>319</v>
      </c>
      <c r="D3427" s="18">
        <v>162000</v>
      </c>
      <c r="E3427" s="19"/>
      <c r="F3427" s="15">
        <f t="shared" si="53"/>
        <v>-162000</v>
      </c>
    </row>
    <row r="3428" spans="1:6" x14ac:dyDescent="0.2">
      <c r="A3428" s="91">
        <v>45834</v>
      </c>
      <c r="B3428" s="43">
        <v>18500812</v>
      </c>
      <c r="C3428" s="20" t="s">
        <v>319</v>
      </c>
      <c r="D3428" s="18">
        <v>1391000</v>
      </c>
      <c r="E3428" s="19"/>
      <c r="F3428" s="15">
        <f t="shared" si="53"/>
        <v>-1391000</v>
      </c>
    </row>
    <row r="3429" spans="1:6" x14ac:dyDescent="0.2">
      <c r="A3429" s="91">
        <v>45834</v>
      </c>
      <c r="B3429" s="43">
        <v>18500813</v>
      </c>
      <c r="C3429" s="20" t="s">
        <v>319</v>
      </c>
      <c r="D3429" s="18">
        <v>75000</v>
      </c>
      <c r="E3429" s="19"/>
      <c r="F3429" s="15">
        <f t="shared" si="53"/>
        <v>-75000</v>
      </c>
    </row>
    <row r="3430" spans="1:6" x14ac:dyDescent="0.2">
      <c r="A3430" s="91">
        <v>45841</v>
      </c>
      <c r="B3430" s="43">
        <v>18785958</v>
      </c>
      <c r="C3430" s="20" t="s">
        <v>319</v>
      </c>
      <c r="D3430" s="18">
        <v>765477</v>
      </c>
      <c r="E3430" s="19"/>
      <c r="F3430" s="15">
        <f t="shared" si="53"/>
        <v>-765477</v>
      </c>
    </row>
    <row r="3431" spans="1:6" x14ac:dyDescent="0.2">
      <c r="A3431" s="91">
        <v>45841</v>
      </c>
      <c r="B3431" s="43">
        <v>18785959</v>
      </c>
      <c r="C3431" s="20" t="s">
        <v>319</v>
      </c>
      <c r="D3431" s="18">
        <v>785723</v>
      </c>
      <c r="E3431" s="19"/>
      <c r="F3431" s="15">
        <f t="shared" si="53"/>
        <v>-785723</v>
      </c>
    </row>
    <row r="3432" spans="1:6" x14ac:dyDescent="0.2">
      <c r="A3432" s="91">
        <v>45841</v>
      </c>
      <c r="B3432" s="43">
        <v>18785960</v>
      </c>
      <c r="C3432" s="20" t="s">
        <v>319</v>
      </c>
      <c r="D3432" s="18">
        <v>859850</v>
      </c>
      <c r="E3432" s="19"/>
      <c r="F3432" s="15">
        <f t="shared" si="53"/>
        <v>-859850</v>
      </c>
    </row>
    <row r="3433" spans="1:6" x14ac:dyDescent="0.2">
      <c r="A3433" s="91">
        <v>45841</v>
      </c>
      <c r="B3433" s="43">
        <v>18785961</v>
      </c>
      <c r="C3433" s="20" t="s">
        <v>319</v>
      </c>
      <c r="D3433" s="18">
        <v>542660</v>
      </c>
      <c r="E3433" s="19"/>
      <c r="F3433" s="15">
        <f t="shared" si="53"/>
        <v>-542660</v>
      </c>
    </row>
    <row r="3434" spans="1:6" x14ac:dyDescent="0.2">
      <c r="A3434" s="91">
        <v>45841</v>
      </c>
      <c r="B3434" s="43">
        <v>18785962</v>
      </c>
      <c r="C3434" s="20" t="s">
        <v>319</v>
      </c>
      <c r="D3434" s="18">
        <v>5399604</v>
      </c>
      <c r="E3434" s="19"/>
      <c r="F3434" s="15">
        <f t="shared" si="53"/>
        <v>-5399604</v>
      </c>
    </row>
    <row r="3435" spans="1:6" x14ac:dyDescent="0.2">
      <c r="A3435" s="91">
        <v>45841</v>
      </c>
      <c r="B3435" s="43">
        <v>18785963</v>
      </c>
      <c r="C3435" s="20" t="s">
        <v>319</v>
      </c>
      <c r="D3435" s="18">
        <v>688416</v>
      </c>
      <c r="E3435" s="19"/>
      <c r="F3435" s="15">
        <f t="shared" si="53"/>
        <v>-688416</v>
      </c>
    </row>
    <row r="3436" spans="1:6" x14ac:dyDescent="0.2">
      <c r="A3436" s="91">
        <v>45841</v>
      </c>
      <c r="B3436" s="43">
        <v>18785964</v>
      </c>
      <c r="C3436" s="20" t="s">
        <v>319</v>
      </c>
      <c r="D3436" s="18">
        <v>801438</v>
      </c>
      <c r="E3436" s="19"/>
      <c r="F3436" s="15">
        <f t="shared" si="53"/>
        <v>-801438</v>
      </c>
    </row>
    <row r="3437" spans="1:6" x14ac:dyDescent="0.2">
      <c r="A3437" s="91">
        <v>45841</v>
      </c>
      <c r="B3437" s="43">
        <v>18785965</v>
      </c>
      <c r="C3437" s="20" t="s">
        <v>319</v>
      </c>
      <c r="D3437" s="18">
        <v>801438</v>
      </c>
      <c r="E3437" s="19"/>
      <c r="F3437" s="15">
        <f t="shared" si="53"/>
        <v>-801438</v>
      </c>
    </row>
    <row r="3438" spans="1:6" x14ac:dyDescent="0.2">
      <c r="A3438" s="91">
        <v>45841</v>
      </c>
      <c r="B3438" s="43">
        <v>18785966</v>
      </c>
      <c r="C3438" s="20" t="s">
        <v>319</v>
      </c>
      <c r="D3438" s="18">
        <v>801438</v>
      </c>
      <c r="E3438" s="19"/>
      <c r="F3438" s="15">
        <f t="shared" si="53"/>
        <v>-801438</v>
      </c>
    </row>
    <row r="3439" spans="1:6" x14ac:dyDescent="0.2">
      <c r="A3439" s="91">
        <v>45863</v>
      </c>
      <c r="B3439" s="43">
        <v>19340351</v>
      </c>
      <c r="C3439" s="20" t="s">
        <v>319</v>
      </c>
      <c r="D3439" s="18">
        <v>4300000</v>
      </c>
      <c r="E3439" s="19"/>
      <c r="F3439" s="15">
        <f t="shared" si="53"/>
        <v>-4300000</v>
      </c>
    </row>
    <row r="3440" spans="1:6" x14ac:dyDescent="0.2">
      <c r="A3440" s="91">
        <v>45863</v>
      </c>
      <c r="B3440" s="43">
        <v>19340352</v>
      </c>
      <c r="C3440" s="20" t="s">
        <v>319</v>
      </c>
      <c r="D3440" s="18">
        <v>469754</v>
      </c>
      <c r="E3440" s="19"/>
      <c r="F3440" s="15">
        <f t="shared" si="53"/>
        <v>-469754</v>
      </c>
    </row>
    <row r="3441" spans="1:6" x14ac:dyDescent="0.2">
      <c r="A3441" s="91">
        <v>45863</v>
      </c>
      <c r="B3441" s="43">
        <v>19340353</v>
      </c>
      <c r="C3441" s="20" t="s">
        <v>319</v>
      </c>
      <c r="D3441" s="18">
        <v>961090</v>
      </c>
      <c r="E3441" s="19"/>
      <c r="F3441" s="15">
        <f t="shared" si="53"/>
        <v>-961090</v>
      </c>
    </row>
    <row r="3442" spans="1:6" x14ac:dyDescent="0.2">
      <c r="A3442" s="91">
        <v>45863</v>
      </c>
      <c r="B3442" s="43">
        <v>19340354</v>
      </c>
      <c r="C3442" s="20" t="s">
        <v>319</v>
      </c>
      <c r="D3442" s="18">
        <v>200000</v>
      </c>
      <c r="E3442" s="19"/>
      <c r="F3442" s="15">
        <f t="shared" si="53"/>
        <v>-200000</v>
      </c>
    </row>
    <row r="3443" spans="1:6" x14ac:dyDescent="0.2">
      <c r="A3443" s="91">
        <v>45863</v>
      </c>
      <c r="B3443" s="43">
        <v>19340355</v>
      </c>
      <c r="C3443" s="20" t="s">
        <v>319</v>
      </c>
      <c r="D3443" s="18">
        <v>4860800</v>
      </c>
      <c r="E3443" s="19"/>
      <c r="F3443" s="15">
        <f t="shared" si="53"/>
        <v>-4860800</v>
      </c>
    </row>
    <row r="3444" spans="1:6" x14ac:dyDescent="0.2">
      <c r="A3444" s="91">
        <v>45863</v>
      </c>
      <c r="B3444" s="43">
        <v>19340356</v>
      </c>
      <c r="C3444" s="20" t="s">
        <v>319</v>
      </c>
      <c r="D3444" s="18">
        <v>222000</v>
      </c>
      <c r="E3444" s="19"/>
      <c r="F3444" s="15">
        <f t="shared" si="53"/>
        <v>-222000</v>
      </c>
    </row>
    <row r="3445" spans="1:6" x14ac:dyDescent="0.2">
      <c r="A3445" s="91">
        <v>45863</v>
      </c>
      <c r="B3445" s="43">
        <v>19340357</v>
      </c>
      <c r="C3445" s="20" t="s">
        <v>319</v>
      </c>
      <c r="D3445" s="18">
        <v>741000</v>
      </c>
      <c r="E3445" s="19"/>
      <c r="F3445" s="15">
        <f t="shared" si="53"/>
        <v>-741000</v>
      </c>
    </row>
    <row r="3446" spans="1:6" x14ac:dyDescent="0.2">
      <c r="A3446" s="91">
        <v>45863</v>
      </c>
      <c r="B3446" s="43">
        <v>19340358</v>
      </c>
      <c r="C3446" s="20" t="s">
        <v>319</v>
      </c>
      <c r="D3446" s="18">
        <v>639825</v>
      </c>
      <c r="E3446" s="19"/>
      <c r="F3446" s="15">
        <f t="shared" si="53"/>
        <v>-639825</v>
      </c>
    </row>
    <row r="3447" spans="1:6" x14ac:dyDescent="0.2">
      <c r="A3447" s="91">
        <v>45863</v>
      </c>
      <c r="B3447" s="43">
        <v>19340359</v>
      </c>
      <c r="C3447" s="20" t="s">
        <v>319</v>
      </c>
      <c r="D3447" s="18">
        <v>310175</v>
      </c>
      <c r="E3447" s="19"/>
      <c r="F3447" s="15">
        <f t="shared" si="53"/>
        <v>-310175</v>
      </c>
    </row>
    <row r="3448" spans="1:6" x14ac:dyDescent="0.2">
      <c r="A3448" s="91">
        <v>45863</v>
      </c>
      <c r="B3448" s="43">
        <v>19340360</v>
      </c>
      <c r="C3448" s="20" t="s">
        <v>319</v>
      </c>
      <c r="D3448" s="18">
        <v>2265000</v>
      </c>
      <c r="E3448" s="19"/>
      <c r="F3448" s="15">
        <f t="shared" si="53"/>
        <v>-2265000</v>
      </c>
    </row>
    <row r="3449" spans="1:6" x14ac:dyDescent="0.2">
      <c r="A3449" s="91">
        <v>45863</v>
      </c>
      <c r="B3449" s="43">
        <v>19340361</v>
      </c>
      <c r="C3449" s="20" t="s">
        <v>319</v>
      </c>
      <c r="D3449" s="18">
        <v>1965000</v>
      </c>
      <c r="E3449" s="19"/>
      <c r="F3449" s="15">
        <f t="shared" si="53"/>
        <v>-1965000</v>
      </c>
    </row>
    <row r="3450" spans="1:6" x14ac:dyDescent="0.2">
      <c r="A3450" s="91">
        <v>45863</v>
      </c>
      <c r="B3450" s="46">
        <v>19340362</v>
      </c>
      <c r="C3450" s="56" t="s">
        <v>319</v>
      </c>
      <c r="D3450" s="48">
        <v>600000</v>
      </c>
      <c r="E3450" s="49"/>
      <c r="F3450" s="15">
        <f t="shared" si="53"/>
        <v>-600000</v>
      </c>
    </row>
    <row r="3451" spans="1:6" x14ac:dyDescent="0.2">
      <c r="A3451" s="91">
        <v>45863</v>
      </c>
      <c r="B3451" s="44">
        <v>19340363</v>
      </c>
      <c r="C3451" s="57" t="s">
        <v>319</v>
      </c>
      <c r="D3451" s="23">
        <v>704900</v>
      </c>
      <c r="E3451" s="24"/>
      <c r="F3451" s="15">
        <f t="shared" si="53"/>
        <v>-704900</v>
      </c>
    </row>
    <row r="3452" spans="1:6" x14ac:dyDescent="0.2">
      <c r="A3452" s="91">
        <v>45863</v>
      </c>
      <c r="B3452" s="43">
        <v>19340364</v>
      </c>
      <c r="C3452" s="20" t="s">
        <v>319</v>
      </c>
      <c r="D3452" s="18">
        <v>165300</v>
      </c>
      <c r="E3452" s="19"/>
      <c r="F3452" s="15">
        <f t="shared" si="53"/>
        <v>-165300</v>
      </c>
    </row>
    <row r="3453" spans="1:6" x14ac:dyDescent="0.2">
      <c r="A3453" s="91">
        <v>45863</v>
      </c>
      <c r="B3453" s="43">
        <v>19340365</v>
      </c>
      <c r="C3453" s="20" t="s">
        <v>319</v>
      </c>
      <c r="D3453" s="18">
        <v>812250</v>
      </c>
      <c r="E3453" s="19"/>
      <c r="F3453" s="15">
        <f t="shared" si="53"/>
        <v>-812250</v>
      </c>
    </row>
    <row r="3454" spans="1:6" x14ac:dyDescent="0.2">
      <c r="A3454" s="91">
        <v>45863</v>
      </c>
      <c r="B3454" s="43">
        <v>19340366</v>
      </c>
      <c r="C3454" s="20" t="s">
        <v>319</v>
      </c>
      <c r="D3454" s="18">
        <v>1543750</v>
      </c>
      <c r="E3454" s="19"/>
      <c r="F3454" s="15">
        <f t="shared" si="53"/>
        <v>-1543750</v>
      </c>
    </row>
    <row r="3455" spans="1:6" x14ac:dyDescent="0.2">
      <c r="A3455" s="91">
        <v>45863</v>
      </c>
      <c r="B3455" s="43">
        <v>19340367</v>
      </c>
      <c r="C3455" s="20" t="s">
        <v>319</v>
      </c>
      <c r="D3455" s="18">
        <v>789800</v>
      </c>
      <c r="E3455" s="19"/>
      <c r="F3455" s="15">
        <f t="shared" si="53"/>
        <v>-789800</v>
      </c>
    </row>
    <row r="3456" spans="1:6" x14ac:dyDescent="0.2">
      <c r="A3456" s="91">
        <v>45863</v>
      </c>
      <c r="B3456" s="43">
        <v>19340368</v>
      </c>
      <c r="C3456" s="20" t="s">
        <v>319</v>
      </c>
      <c r="D3456" s="18">
        <v>424000</v>
      </c>
      <c r="E3456" s="19"/>
      <c r="F3456" s="15">
        <f t="shared" si="53"/>
        <v>-424000</v>
      </c>
    </row>
    <row r="3457" spans="1:6" x14ac:dyDescent="0.2">
      <c r="A3457" s="91">
        <v>45863</v>
      </c>
      <c r="B3457" s="43">
        <v>19340369</v>
      </c>
      <c r="C3457" s="20" t="s">
        <v>319</v>
      </c>
      <c r="D3457" s="18">
        <v>789710</v>
      </c>
      <c r="E3457" s="19"/>
      <c r="F3457" s="15">
        <f t="shared" si="53"/>
        <v>-789710</v>
      </c>
    </row>
    <row r="3458" spans="1:6" x14ac:dyDescent="0.2">
      <c r="A3458" s="91">
        <v>45863</v>
      </c>
      <c r="B3458" s="43">
        <v>19340370</v>
      </c>
      <c r="C3458" s="20" t="s">
        <v>319</v>
      </c>
      <c r="D3458" s="18">
        <v>692550</v>
      </c>
      <c r="E3458" s="19"/>
      <c r="F3458" s="15">
        <f t="shared" si="53"/>
        <v>-692550</v>
      </c>
    </row>
    <row r="3459" spans="1:6" x14ac:dyDescent="0.2">
      <c r="A3459" s="91">
        <v>45863</v>
      </c>
      <c r="B3459" s="43">
        <v>19340371</v>
      </c>
      <c r="C3459" s="20" t="s">
        <v>319</v>
      </c>
      <c r="D3459" s="18">
        <v>490000</v>
      </c>
      <c r="E3459" s="19"/>
      <c r="F3459" s="15">
        <f t="shared" ref="F3459:F3522" si="54">+E3459-D3459</f>
        <v>-490000</v>
      </c>
    </row>
    <row r="3460" spans="1:6" x14ac:dyDescent="0.2">
      <c r="A3460" s="91">
        <v>45863</v>
      </c>
      <c r="B3460" s="43">
        <v>19340372</v>
      </c>
      <c r="C3460" s="20" t="s">
        <v>319</v>
      </c>
      <c r="D3460" s="18">
        <v>355200</v>
      </c>
      <c r="E3460" s="19"/>
      <c r="F3460" s="15">
        <f t="shared" si="54"/>
        <v>-355200</v>
      </c>
    </row>
    <row r="3461" spans="1:6" x14ac:dyDescent="0.2">
      <c r="A3461" s="91">
        <v>45863</v>
      </c>
      <c r="B3461" s="43">
        <v>19340373</v>
      </c>
      <c r="C3461" s="20" t="s">
        <v>319</v>
      </c>
      <c r="D3461" s="18">
        <v>860000</v>
      </c>
      <c r="E3461" s="19"/>
      <c r="F3461" s="15">
        <f t="shared" si="54"/>
        <v>-860000</v>
      </c>
    </row>
    <row r="3462" spans="1:6" x14ac:dyDescent="0.2">
      <c r="A3462" s="91">
        <v>45863</v>
      </c>
      <c r="B3462" s="43">
        <v>19340374</v>
      </c>
      <c r="C3462" s="20" t="s">
        <v>319</v>
      </c>
      <c r="D3462" s="18">
        <v>2815000</v>
      </c>
      <c r="E3462" s="19"/>
      <c r="F3462" s="15">
        <f t="shared" si="54"/>
        <v>-2815000</v>
      </c>
    </row>
    <row r="3463" spans="1:6" x14ac:dyDescent="0.2">
      <c r="A3463" s="91">
        <v>45863</v>
      </c>
      <c r="B3463" s="43">
        <v>19340375</v>
      </c>
      <c r="C3463" s="20" t="s">
        <v>319</v>
      </c>
      <c r="D3463" s="18">
        <v>500000</v>
      </c>
      <c r="E3463" s="19"/>
      <c r="F3463" s="15">
        <f t="shared" si="54"/>
        <v>-500000</v>
      </c>
    </row>
    <row r="3464" spans="1:6" x14ac:dyDescent="0.2">
      <c r="A3464" s="91">
        <v>45863</v>
      </c>
      <c r="B3464" s="43">
        <v>19340376</v>
      </c>
      <c r="C3464" s="20" t="s">
        <v>319</v>
      </c>
      <c r="D3464" s="18">
        <v>1530690</v>
      </c>
      <c r="E3464" s="19"/>
      <c r="F3464" s="15">
        <f t="shared" si="54"/>
        <v>-1530690</v>
      </c>
    </row>
    <row r="3465" spans="1:6" x14ac:dyDescent="0.2">
      <c r="A3465" s="91">
        <v>45863</v>
      </c>
      <c r="B3465" s="43">
        <v>19340377</v>
      </c>
      <c r="C3465" s="20" t="s">
        <v>319</v>
      </c>
      <c r="D3465" s="18">
        <v>645000</v>
      </c>
      <c r="E3465" s="19"/>
      <c r="F3465" s="15">
        <f t="shared" si="54"/>
        <v>-645000</v>
      </c>
    </row>
    <row r="3466" spans="1:6" x14ac:dyDescent="0.2">
      <c r="A3466" s="91">
        <v>45863</v>
      </c>
      <c r="B3466" s="43">
        <v>19340378</v>
      </c>
      <c r="C3466" s="20" t="s">
        <v>319</v>
      </c>
      <c r="D3466" s="18">
        <v>3162800</v>
      </c>
      <c r="E3466" s="19"/>
      <c r="F3466" s="15">
        <f t="shared" si="54"/>
        <v>-3162800</v>
      </c>
    </row>
    <row r="3467" spans="1:6" x14ac:dyDescent="0.2">
      <c r="A3467" s="91">
        <v>45863</v>
      </c>
      <c r="B3467" s="43">
        <v>19340379</v>
      </c>
      <c r="C3467" s="20" t="s">
        <v>319</v>
      </c>
      <c r="D3467" s="18">
        <v>370500</v>
      </c>
      <c r="E3467" s="19"/>
      <c r="F3467" s="15">
        <f t="shared" si="54"/>
        <v>-370500</v>
      </c>
    </row>
    <row r="3468" spans="1:6" x14ac:dyDescent="0.2">
      <c r="A3468" s="91">
        <v>45863</v>
      </c>
      <c r="B3468" s="43">
        <v>19340380</v>
      </c>
      <c r="C3468" s="20" t="s">
        <v>319</v>
      </c>
      <c r="D3468" s="18">
        <v>1637800</v>
      </c>
      <c r="E3468" s="19"/>
      <c r="F3468" s="15">
        <f t="shared" si="54"/>
        <v>-1637800</v>
      </c>
    </row>
    <row r="3469" spans="1:6" x14ac:dyDescent="0.2">
      <c r="A3469" s="91">
        <v>45863</v>
      </c>
      <c r="B3469" s="43">
        <v>19340381</v>
      </c>
      <c r="C3469" s="20" t="s">
        <v>319</v>
      </c>
      <c r="D3469" s="18">
        <v>5078700</v>
      </c>
      <c r="E3469" s="19"/>
      <c r="F3469" s="15">
        <f t="shared" si="54"/>
        <v>-5078700</v>
      </c>
    </row>
    <row r="3470" spans="1:6" x14ac:dyDescent="0.2">
      <c r="A3470" s="91">
        <v>45863</v>
      </c>
      <c r="B3470" s="43">
        <v>19340382</v>
      </c>
      <c r="C3470" s="20" t="s">
        <v>319</v>
      </c>
      <c r="D3470" s="18">
        <v>2980800</v>
      </c>
      <c r="E3470" s="19"/>
      <c r="F3470" s="15">
        <f t="shared" si="54"/>
        <v>-2980800</v>
      </c>
    </row>
    <row r="3471" spans="1:6" x14ac:dyDescent="0.2">
      <c r="A3471" s="91">
        <v>45863</v>
      </c>
      <c r="B3471" s="43">
        <v>19340383</v>
      </c>
      <c r="C3471" s="20" t="s">
        <v>319</v>
      </c>
      <c r="D3471" s="18">
        <v>1000000</v>
      </c>
      <c r="E3471" s="19"/>
      <c r="F3471" s="15">
        <f t="shared" si="54"/>
        <v>-1000000</v>
      </c>
    </row>
    <row r="3472" spans="1:6" x14ac:dyDescent="0.2">
      <c r="A3472" s="91">
        <v>45863</v>
      </c>
      <c r="B3472" s="43">
        <v>19340384</v>
      </c>
      <c r="C3472" s="20" t="s">
        <v>319</v>
      </c>
      <c r="D3472" s="18">
        <v>989570</v>
      </c>
      <c r="E3472" s="19"/>
      <c r="F3472" s="15">
        <f t="shared" si="54"/>
        <v>-989570</v>
      </c>
    </row>
    <row r="3473" spans="1:6" x14ac:dyDescent="0.2">
      <c r="A3473" s="91">
        <v>45863</v>
      </c>
      <c r="B3473" s="46">
        <v>19340385</v>
      </c>
      <c r="C3473" s="56" t="s">
        <v>319</v>
      </c>
      <c r="D3473" s="48">
        <v>1582000</v>
      </c>
      <c r="E3473" s="49"/>
      <c r="F3473" s="15">
        <f t="shared" si="54"/>
        <v>-1582000</v>
      </c>
    </row>
    <row r="3474" spans="1:6" x14ac:dyDescent="0.2">
      <c r="A3474" s="91">
        <v>45863</v>
      </c>
      <c r="B3474" s="44">
        <v>19340386</v>
      </c>
      <c r="C3474" s="57" t="s">
        <v>319</v>
      </c>
      <c r="D3474" s="23">
        <v>2152000</v>
      </c>
      <c r="E3474" s="24"/>
      <c r="F3474" s="15">
        <f t="shared" si="54"/>
        <v>-2152000</v>
      </c>
    </row>
    <row r="3475" spans="1:6" x14ac:dyDescent="0.2">
      <c r="A3475" s="91">
        <v>45863</v>
      </c>
      <c r="B3475" s="43">
        <v>19340387</v>
      </c>
      <c r="C3475" s="20" t="s">
        <v>319</v>
      </c>
      <c r="D3475" s="18">
        <v>905350</v>
      </c>
      <c r="E3475" s="19"/>
      <c r="F3475" s="15">
        <f t="shared" si="54"/>
        <v>-905350</v>
      </c>
    </row>
    <row r="3476" spans="1:6" x14ac:dyDescent="0.2">
      <c r="A3476" s="91">
        <v>45863</v>
      </c>
      <c r="B3476" s="43">
        <v>19340388</v>
      </c>
      <c r="C3476" s="20" t="s">
        <v>319</v>
      </c>
      <c r="D3476" s="18">
        <v>153000</v>
      </c>
      <c r="E3476" s="19"/>
      <c r="F3476" s="15">
        <f t="shared" si="54"/>
        <v>-153000</v>
      </c>
    </row>
    <row r="3477" spans="1:6" x14ac:dyDescent="0.2">
      <c r="A3477" s="91">
        <v>45863</v>
      </c>
      <c r="B3477" s="43">
        <v>19340389</v>
      </c>
      <c r="C3477" s="20" t="s">
        <v>319</v>
      </c>
      <c r="D3477" s="18">
        <v>2192000</v>
      </c>
      <c r="E3477" s="19"/>
      <c r="F3477" s="15">
        <f t="shared" si="54"/>
        <v>-2192000</v>
      </c>
    </row>
    <row r="3478" spans="1:6" x14ac:dyDescent="0.2">
      <c r="A3478" s="91">
        <v>45863</v>
      </c>
      <c r="B3478" s="43">
        <v>19340390</v>
      </c>
      <c r="C3478" s="20" t="s">
        <v>319</v>
      </c>
      <c r="D3478" s="18">
        <v>500000</v>
      </c>
      <c r="E3478" s="19"/>
      <c r="F3478" s="15">
        <f t="shared" si="54"/>
        <v>-500000</v>
      </c>
    </row>
    <row r="3479" spans="1:6" x14ac:dyDescent="0.2">
      <c r="A3479" s="91">
        <v>45863</v>
      </c>
      <c r="B3479" s="43">
        <v>19340391</v>
      </c>
      <c r="C3479" s="20" t="s">
        <v>319</v>
      </c>
      <c r="D3479" s="18">
        <v>2178000</v>
      </c>
      <c r="E3479" s="19"/>
      <c r="F3479" s="15">
        <f t="shared" si="54"/>
        <v>-2178000</v>
      </c>
    </row>
    <row r="3480" spans="1:6" x14ac:dyDescent="0.2">
      <c r="A3480" s="91">
        <v>45863</v>
      </c>
      <c r="B3480" s="43">
        <v>19340392</v>
      </c>
      <c r="C3480" s="20" t="s">
        <v>319</v>
      </c>
      <c r="D3480" s="18">
        <v>2085250</v>
      </c>
      <c r="E3480" s="19"/>
      <c r="F3480" s="15">
        <f t="shared" si="54"/>
        <v>-2085250</v>
      </c>
    </row>
    <row r="3481" spans="1:6" x14ac:dyDescent="0.2">
      <c r="A3481" s="91">
        <v>45863</v>
      </c>
      <c r="B3481" s="43">
        <v>19340393</v>
      </c>
      <c r="C3481" s="20" t="s">
        <v>319</v>
      </c>
      <c r="D3481" s="18">
        <v>106400</v>
      </c>
      <c r="E3481" s="19"/>
      <c r="F3481" s="15">
        <f t="shared" si="54"/>
        <v>-106400</v>
      </c>
    </row>
    <row r="3482" spans="1:6" x14ac:dyDescent="0.2">
      <c r="A3482" s="91">
        <v>45863</v>
      </c>
      <c r="B3482" s="43">
        <v>19340394</v>
      </c>
      <c r="C3482" s="20" t="s">
        <v>319</v>
      </c>
      <c r="D3482" s="18">
        <v>242000</v>
      </c>
      <c r="E3482" s="19"/>
      <c r="F3482" s="15">
        <f t="shared" si="54"/>
        <v>-242000</v>
      </c>
    </row>
    <row r="3483" spans="1:6" x14ac:dyDescent="0.2">
      <c r="A3483" s="91">
        <v>45863</v>
      </c>
      <c r="B3483" s="43">
        <v>19340395</v>
      </c>
      <c r="C3483" s="20" t="s">
        <v>319</v>
      </c>
      <c r="D3483" s="18">
        <v>722950</v>
      </c>
      <c r="E3483" s="19"/>
      <c r="F3483" s="15">
        <f t="shared" si="54"/>
        <v>-722950</v>
      </c>
    </row>
    <row r="3484" spans="1:6" x14ac:dyDescent="0.2">
      <c r="A3484" s="91">
        <v>45863</v>
      </c>
      <c r="B3484" s="43">
        <v>19340396</v>
      </c>
      <c r="C3484" s="20" t="s">
        <v>319</v>
      </c>
      <c r="D3484" s="18">
        <v>580000</v>
      </c>
      <c r="E3484" s="19"/>
      <c r="F3484" s="15">
        <f t="shared" si="54"/>
        <v>-580000</v>
      </c>
    </row>
    <row r="3485" spans="1:6" x14ac:dyDescent="0.2">
      <c r="A3485" s="91">
        <v>45863</v>
      </c>
      <c r="B3485" s="43">
        <v>19340397</v>
      </c>
      <c r="C3485" s="20" t="s">
        <v>319</v>
      </c>
      <c r="D3485" s="18">
        <v>1652050</v>
      </c>
      <c r="E3485" s="19"/>
      <c r="F3485" s="15">
        <f t="shared" si="54"/>
        <v>-1652050</v>
      </c>
    </row>
    <row r="3486" spans="1:6" x14ac:dyDescent="0.2">
      <c r="A3486" s="91">
        <v>45863</v>
      </c>
      <c r="B3486" s="43">
        <v>19340398</v>
      </c>
      <c r="C3486" s="20" t="s">
        <v>319</v>
      </c>
      <c r="D3486" s="18">
        <v>180000</v>
      </c>
      <c r="E3486" s="19"/>
      <c r="F3486" s="15">
        <f t="shared" si="54"/>
        <v>-180000</v>
      </c>
    </row>
    <row r="3487" spans="1:6" x14ac:dyDescent="0.2">
      <c r="A3487" s="91">
        <v>45863</v>
      </c>
      <c r="B3487" s="43">
        <v>19340399</v>
      </c>
      <c r="C3487" s="20" t="s">
        <v>319</v>
      </c>
      <c r="D3487" s="18">
        <v>1400000</v>
      </c>
      <c r="E3487" s="19"/>
      <c r="F3487" s="15">
        <f t="shared" si="54"/>
        <v>-1400000</v>
      </c>
    </row>
    <row r="3488" spans="1:6" x14ac:dyDescent="0.2">
      <c r="A3488" s="91">
        <v>45863</v>
      </c>
      <c r="B3488" s="43">
        <v>19340400</v>
      </c>
      <c r="C3488" s="20" t="s">
        <v>319</v>
      </c>
      <c r="D3488" s="18">
        <v>1626400</v>
      </c>
      <c r="E3488" s="19"/>
      <c r="F3488" s="15">
        <f t="shared" si="54"/>
        <v>-1626400</v>
      </c>
    </row>
    <row r="3489" spans="1:6" x14ac:dyDescent="0.2">
      <c r="A3489" s="91">
        <v>45863</v>
      </c>
      <c r="B3489" s="43">
        <v>19340401</v>
      </c>
      <c r="C3489" s="20" t="s">
        <v>319</v>
      </c>
      <c r="D3489" s="18">
        <v>2124500</v>
      </c>
      <c r="E3489" s="19"/>
      <c r="F3489" s="15">
        <f t="shared" si="54"/>
        <v>-2124500</v>
      </c>
    </row>
    <row r="3490" spans="1:6" x14ac:dyDescent="0.2">
      <c r="A3490" s="91">
        <v>45863</v>
      </c>
      <c r="B3490" s="43">
        <v>19340402</v>
      </c>
      <c r="C3490" s="20" t="s">
        <v>319</v>
      </c>
      <c r="D3490" s="18">
        <v>174000</v>
      </c>
      <c r="E3490" s="19"/>
      <c r="F3490" s="15">
        <f t="shared" si="54"/>
        <v>-174000</v>
      </c>
    </row>
    <row r="3491" spans="1:6" x14ac:dyDescent="0.2">
      <c r="A3491" s="91">
        <v>45863</v>
      </c>
      <c r="B3491" s="43">
        <v>19340403</v>
      </c>
      <c r="C3491" s="20" t="s">
        <v>319</v>
      </c>
      <c r="D3491" s="18">
        <v>1645500</v>
      </c>
      <c r="E3491" s="19"/>
      <c r="F3491" s="15">
        <f t="shared" si="54"/>
        <v>-1645500</v>
      </c>
    </row>
    <row r="3492" spans="1:6" x14ac:dyDescent="0.2">
      <c r="A3492" s="91">
        <v>45863</v>
      </c>
      <c r="B3492" s="43">
        <v>19340404</v>
      </c>
      <c r="C3492" s="20" t="s">
        <v>319</v>
      </c>
      <c r="D3492" s="18">
        <v>190000</v>
      </c>
      <c r="E3492" s="19"/>
      <c r="F3492" s="15">
        <f t="shared" si="54"/>
        <v>-190000</v>
      </c>
    </row>
    <row r="3493" spans="1:6" x14ac:dyDescent="0.2">
      <c r="A3493" s="91">
        <v>45863</v>
      </c>
      <c r="B3493" s="43">
        <v>19340405</v>
      </c>
      <c r="C3493" s="20" t="s">
        <v>319</v>
      </c>
      <c r="D3493" s="18">
        <v>855000</v>
      </c>
      <c r="E3493" s="19"/>
      <c r="F3493" s="15">
        <f t="shared" si="54"/>
        <v>-855000</v>
      </c>
    </row>
    <row r="3494" spans="1:6" x14ac:dyDescent="0.2">
      <c r="A3494" s="91">
        <v>45863</v>
      </c>
      <c r="B3494" s="43">
        <v>19340406</v>
      </c>
      <c r="C3494" s="20" t="s">
        <v>319</v>
      </c>
      <c r="D3494" s="18">
        <v>150000</v>
      </c>
      <c r="E3494" s="19"/>
      <c r="F3494" s="15">
        <f t="shared" si="54"/>
        <v>-150000</v>
      </c>
    </row>
    <row r="3495" spans="1:6" x14ac:dyDescent="0.2">
      <c r="A3495" s="91">
        <v>45863</v>
      </c>
      <c r="B3495" s="43">
        <v>19340407</v>
      </c>
      <c r="C3495" s="20" t="s">
        <v>319</v>
      </c>
      <c r="D3495" s="18">
        <v>1328000</v>
      </c>
      <c r="E3495" s="19"/>
      <c r="F3495" s="15">
        <f t="shared" si="54"/>
        <v>-1328000</v>
      </c>
    </row>
    <row r="3496" spans="1:6" x14ac:dyDescent="0.2">
      <c r="A3496" s="91">
        <v>45863</v>
      </c>
      <c r="B3496" s="46">
        <v>19340408</v>
      </c>
      <c r="C3496" s="56" t="s">
        <v>319</v>
      </c>
      <c r="D3496" s="48">
        <v>1266500</v>
      </c>
      <c r="E3496" s="49"/>
      <c r="F3496" s="15">
        <f t="shared" si="54"/>
        <v>-1266500</v>
      </c>
    </row>
    <row r="3497" spans="1:6" x14ac:dyDescent="0.2">
      <c r="A3497" s="91">
        <v>45863</v>
      </c>
      <c r="B3497" s="44">
        <v>19340409</v>
      </c>
      <c r="C3497" s="57" t="s">
        <v>319</v>
      </c>
      <c r="D3497" s="23">
        <v>407000</v>
      </c>
      <c r="E3497" s="24"/>
      <c r="F3497" s="15">
        <f t="shared" si="54"/>
        <v>-407000</v>
      </c>
    </row>
    <row r="3498" spans="1:6" x14ac:dyDescent="0.2">
      <c r="A3498" s="91">
        <v>45863</v>
      </c>
      <c r="B3498" s="43">
        <v>19340410</v>
      </c>
      <c r="C3498" s="20" t="s">
        <v>319</v>
      </c>
      <c r="D3498" s="18">
        <v>1670955</v>
      </c>
      <c r="E3498" s="19"/>
      <c r="F3498" s="15">
        <f t="shared" si="54"/>
        <v>-1670955</v>
      </c>
    </row>
    <row r="3499" spans="1:6" x14ac:dyDescent="0.2">
      <c r="A3499" s="91">
        <v>45863</v>
      </c>
      <c r="B3499" s="43">
        <v>19340411</v>
      </c>
      <c r="C3499" s="20" t="s">
        <v>319</v>
      </c>
      <c r="D3499" s="18">
        <v>420000</v>
      </c>
      <c r="E3499" s="19"/>
      <c r="F3499" s="15">
        <f t="shared" si="54"/>
        <v>-420000</v>
      </c>
    </row>
    <row r="3500" spans="1:6" x14ac:dyDescent="0.2">
      <c r="A3500" s="91">
        <v>45896</v>
      </c>
      <c r="B3500" s="43">
        <v>20039819</v>
      </c>
      <c r="C3500" s="20" t="s">
        <v>319</v>
      </c>
      <c r="D3500" s="18">
        <v>250000</v>
      </c>
      <c r="E3500" s="19"/>
      <c r="F3500" s="15">
        <f t="shared" si="54"/>
        <v>-250000</v>
      </c>
    </row>
    <row r="3501" spans="1:6" x14ac:dyDescent="0.2">
      <c r="A3501" s="91">
        <v>45896</v>
      </c>
      <c r="B3501" s="43">
        <v>20039820</v>
      </c>
      <c r="C3501" s="20" t="s">
        <v>319</v>
      </c>
      <c r="D3501" s="18">
        <v>2092500</v>
      </c>
      <c r="E3501" s="19"/>
      <c r="F3501" s="15">
        <f t="shared" si="54"/>
        <v>-2092500</v>
      </c>
    </row>
    <row r="3502" spans="1:6" x14ac:dyDescent="0.2">
      <c r="A3502" s="91">
        <v>45896</v>
      </c>
      <c r="B3502" s="43">
        <v>20039821</v>
      </c>
      <c r="C3502" s="20" t="s">
        <v>319</v>
      </c>
      <c r="D3502" s="18">
        <v>222000</v>
      </c>
      <c r="E3502" s="19"/>
      <c r="F3502" s="15">
        <f t="shared" si="54"/>
        <v>-222000</v>
      </c>
    </row>
    <row r="3503" spans="1:6" x14ac:dyDescent="0.2">
      <c r="A3503" s="91">
        <v>45896</v>
      </c>
      <c r="B3503" s="43">
        <v>20039822</v>
      </c>
      <c r="C3503" s="20" t="s">
        <v>319</v>
      </c>
      <c r="D3503" s="18">
        <v>741000</v>
      </c>
      <c r="E3503" s="19"/>
      <c r="F3503" s="15">
        <f t="shared" si="54"/>
        <v>-741000</v>
      </c>
    </row>
    <row r="3504" spans="1:6" x14ac:dyDescent="0.2">
      <c r="A3504" s="91">
        <v>45896</v>
      </c>
      <c r="B3504" s="43">
        <v>20039823</v>
      </c>
      <c r="C3504" s="20" t="s">
        <v>319</v>
      </c>
      <c r="D3504" s="18">
        <v>2985000</v>
      </c>
      <c r="E3504" s="19"/>
      <c r="F3504" s="15">
        <f t="shared" si="54"/>
        <v>-2985000</v>
      </c>
    </row>
    <row r="3505" spans="1:6" x14ac:dyDescent="0.2">
      <c r="A3505" s="91">
        <v>45896</v>
      </c>
      <c r="B3505" s="43">
        <v>20039824</v>
      </c>
      <c r="C3505" s="20" t="s">
        <v>319</v>
      </c>
      <c r="D3505" s="18">
        <v>1880000</v>
      </c>
      <c r="E3505" s="19"/>
      <c r="F3505" s="15">
        <f t="shared" si="54"/>
        <v>-1880000</v>
      </c>
    </row>
    <row r="3506" spans="1:6" x14ac:dyDescent="0.2">
      <c r="A3506" s="91">
        <v>45896</v>
      </c>
      <c r="B3506" s="43">
        <v>20039825</v>
      </c>
      <c r="C3506" s="20" t="s">
        <v>319</v>
      </c>
      <c r="D3506" s="18">
        <v>1288000</v>
      </c>
      <c r="E3506" s="19"/>
      <c r="F3506" s="15">
        <f t="shared" si="54"/>
        <v>-1288000</v>
      </c>
    </row>
    <row r="3507" spans="1:6" x14ac:dyDescent="0.2">
      <c r="A3507" s="91">
        <v>45896</v>
      </c>
      <c r="B3507" s="43">
        <v>20039826</v>
      </c>
      <c r="C3507" s="20" t="s">
        <v>319</v>
      </c>
      <c r="D3507" s="18">
        <v>142500</v>
      </c>
      <c r="E3507" s="19"/>
      <c r="F3507" s="15">
        <f t="shared" si="54"/>
        <v>-142500</v>
      </c>
    </row>
    <row r="3508" spans="1:6" x14ac:dyDescent="0.2">
      <c r="A3508" s="91">
        <v>45896</v>
      </c>
      <c r="B3508" s="43">
        <v>20039827</v>
      </c>
      <c r="C3508" s="20" t="s">
        <v>319</v>
      </c>
      <c r="D3508" s="18">
        <v>713000</v>
      </c>
      <c r="E3508" s="19"/>
      <c r="F3508" s="15">
        <f t="shared" si="54"/>
        <v>-713000</v>
      </c>
    </row>
    <row r="3509" spans="1:6" x14ac:dyDescent="0.2">
      <c r="A3509" s="91">
        <v>45896</v>
      </c>
      <c r="B3509" s="43">
        <v>20039828</v>
      </c>
      <c r="C3509" s="20" t="s">
        <v>319</v>
      </c>
      <c r="D3509" s="18">
        <v>2800000</v>
      </c>
      <c r="E3509" s="19"/>
      <c r="F3509" s="15">
        <f t="shared" si="54"/>
        <v>-2800000</v>
      </c>
    </row>
    <row r="3510" spans="1:6" x14ac:dyDescent="0.2">
      <c r="A3510" s="91">
        <v>45896</v>
      </c>
      <c r="B3510" s="43">
        <v>20039829</v>
      </c>
      <c r="C3510" s="20" t="s">
        <v>319</v>
      </c>
      <c r="D3510" s="18">
        <v>1282500</v>
      </c>
      <c r="E3510" s="19"/>
      <c r="F3510" s="15">
        <f t="shared" si="54"/>
        <v>-1282500</v>
      </c>
    </row>
    <row r="3511" spans="1:6" x14ac:dyDescent="0.2">
      <c r="A3511" s="91">
        <v>45896</v>
      </c>
      <c r="B3511" s="43">
        <v>20039830</v>
      </c>
      <c r="C3511" s="20" t="s">
        <v>319</v>
      </c>
      <c r="D3511" s="18">
        <v>500000</v>
      </c>
      <c r="E3511" s="19"/>
      <c r="F3511" s="15">
        <f t="shared" si="54"/>
        <v>-500000</v>
      </c>
    </row>
    <row r="3512" spans="1:6" x14ac:dyDescent="0.2">
      <c r="A3512" s="91">
        <v>45896</v>
      </c>
      <c r="B3512" s="43">
        <v>20039831</v>
      </c>
      <c r="C3512" s="20" t="s">
        <v>319</v>
      </c>
      <c r="D3512" s="18">
        <v>370000</v>
      </c>
      <c r="E3512" s="19"/>
      <c r="F3512" s="15">
        <f t="shared" si="54"/>
        <v>-370000</v>
      </c>
    </row>
    <row r="3513" spans="1:6" x14ac:dyDescent="0.2">
      <c r="A3513" s="91">
        <v>45896</v>
      </c>
      <c r="B3513" s="43">
        <v>20039832</v>
      </c>
      <c r="C3513" s="20" t="s">
        <v>319</v>
      </c>
      <c r="D3513" s="18">
        <v>2000000</v>
      </c>
      <c r="E3513" s="19"/>
      <c r="F3513" s="15">
        <f t="shared" si="54"/>
        <v>-2000000</v>
      </c>
    </row>
    <row r="3514" spans="1:6" x14ac:dyDescent="0.2">
      <c r="A3514" s="91">
        <v>45896</v>
      </c>
      <c r="B3514" s="43">
        <v>20039833</v>
      </c>
      <c r="C3514" s="20" t="s">
        <v>319</v>
      </c>
      <c r="D3514" s="18">
        <v>1792000</v>
      </c>
      <c r="E3514" s="19"/>
      <c r="F3514" s="15">
        <f t="shared" si="54"/>
        <v>-1792000</v>
      </c>
    </row>
    <row r="3515" spans="1:6" x14ac:dyDescent="0.2">
      <c r="A3515" s="91">
        <v>45896</v>
      </c>
      <c r="B3515" s="43">
        <v>20039834</v>
      </c>
      <c r="C3515" s="20" t="s">
        <v>319</v>
      </c>
      <c r="D3515" s="18">
        <v>1000000</v>
      </c>
      <c r="E3515" s="19"/>
      <c r="F3515" s="15">
        <f t="shared" si="54"/>
        <v>-1000000</v>
      </c>
    </row>
    <row r="3516" spans="1:6" x14ac:dyDescent="0.2">
      <c r="A3516" s="91">
        <v>45896</v>
      </c>
      <c r="B3516" s="43">
        <v>20039835</v>
      </c>
      <c r="C3516" s="20" t="s">
        <v>319</v>
      </c>
      <c r="D3516" s="18">
        <v>2392000</v>
      </c>
      <c r="E3516" s="19"/>
      <c r="F3516" s="15">
        <f t="shared" si="54"/>
        <v>-2392000</v>
      </c>
    </row>
    <row r="3517" spans="1:6" x14ac:dyDescent="0.2">
      <c r="A3517" s="91">
        <v>45896</v>
      </c>
      <c r="B3517" s="43">
        <v>20039836</v>
      </c>
      <c r="C3517" s="20" t="s">
        <v>319</v>
      </c>
      <c r="D3517" s="18">
        <v>500000</v>
      </c>
      <c r="E3517" s="19"/>
      <c r="F3517" s="15">
        <f t="shared" si="54"/>
        <v>-500000</v>
      </c>
    </row>
    <row r="3518" spans="1:6" x14ac:dyDescent="0.2">
      <c r="A3518" s="91">
        <v>45896</v>
      </c>
      <c r="B3518" s="43">
        <v>20039837</v>
      </c>
      <c r="C3518" s="20" t="s">
        <v>319</v>
      </c>
      <c r="D3518" s="18">
        <v>1056000</v>
      </c>
      <c r="E3518" s="19"/>
      <c r="F3518" s="15">
        <f t="shared" si="54"/>
        <v>-1056000</v>
      </c>
    </row>
    <row r="3519" spans="1:6" x14ac:dyDescent="0.2">
      <c r="A3519" s="91">
        <v>45896</v>
      </c>
      <c r="B3519" s="43">
        <v>20039838</v>
      </c>
      <c r="C3519" s="20" t="s">
        <v>319</v>
      </c>
      <c r="D3519" s="18">
        <v>242000</v>
      </c>
      <c r="E3519" s="19"/>
      <c r="F3519" s="15">
        <f t="shared" si="54"/>
        <v>-242000</v>
      </c>
    </row>
    <row r="3520" spans="1:6" x14ac:dyDescent="0.2">
      <c r="A3520" s="91">
        <v>45896</v>
      </c>
      <c r="B3520" s="43">
        <v>20039839</v>
      </c>
      <c r="C3520" s="20" t="s">
        <v>319</v>
      </c>
      <c r="D3520" s="18">
        <v>142500</v>
      </c>
      <c r="E3520" s="19"/>
      <c r="F3520" s="15">
        <f t="shared" si="54"/>
        <v>-142500</v>
      </c>
    </row>
    <row r="3521" spans="1:6" x14ac:dyDescent="0.2">
      <c r="A3521" s="91">
        <v>45896</v>
      </c>
      <c r="B3521" s="46">
        <v>20039840</v>
      </c>
      <c r="C3521" s="56" t="s">
        <v>319</v>
      </c>
      <c r="D3521" s="48">
        <v>180000</v>
      </c>
      <c r="E3521" s="49"/>
      <c r="F3521" s="15">
        <f t="shared" si="54"/>
        <v>-180000</v>
      </c>
    </row>
    <row r="3522" spans="1:6" x14ac:dyDescent="0.2">
      <c r="A3522" s="91">
        <v>45896</v>
      </c>
      <c r="B3522" s="44">
        <v>20039841</v>
      </c>
      <c r="C3522" s="57" t="s">
        <v>319</v>
      </c>
      <c r="D3522" s="23">
        <v>1400000</v>
      </c>
      <c r="E3522" s="24"/>
      <c r="F3522" s="15">
        <f t="shared" si="54"/>
        <v>-1400000</v>
      </c>
    </row>
    <row r="3523" spans="1:6" x14ac:dyDescent="0.2">
      <c r="A3523" s="91">
        <v>45896</v>
      </c>
      <c r="B3523" s="43">
        <v>20039842</v>
      </c>
      <c r="C3523" s="20" t="s">
        <v>319</v>
      </c>
      <c r="D3523" s="18">
        <v>1894000</v>
      </c>
      <c r="E3523" s="19"/>
      <c r="F3523" s="15">
        <f t="shared" ref="F3523:F3586" si="55">+E3523-D3523</f>
        <v>-1894000</v>
      </c>
    </row>
    <row r="3524" spans="1:6" x14ac:dyDescent="0.2">
      <c r="A3524" s="91">
        <v>45896</v>
      </c>
      <c r="B3524" s="43">
        <v>20039843</v>
      </c>
      <c r="C3524" s="20" t="s">
        <v>319</v>
      </c>
      <c r="D3524" s="18">
        <v>640000</v>
      </c>
      <c r="E3524" s="19"/>
      <c r="F3524" s="15">
        <f t="shared" si="55"/>
        <v>-640000</v>
      </c>
    </row>
    <row r="3525" spans="1:6" x14ac:dyDescent="0.2">
      <c r="A3525" s="91">
        <v>45896</v>
      </c>
      <c r="B3525" s="43">
        <v>20039844</v>
      </c>
      <c r="C3525" s="20" t="s">
        <v>319</v>
      </c>
      <c r="D3525" s="18">
        <v>855000</v>
      </c>
      <c r="E3525" s="19"/>
      <c r="F3525" s="15">
        <f t="shared" si="55"/>
        <v>-855000</v>
      </c>
    </row>
    <row r="3526" spans="1:6" x14ac:dyDescent="0.2">
      <c r="A3526" s="91">
        <v>45898</v>
      </c>
      <c r="B3526" s="43">
        <v>20079934</v>
      </c>
      <c r="C3526" s="20" t="s">
        <v>319</v>
      </c>
      <c r="D3526" s="18">
        <v>1733000</v>
      </c>
      <c r="E3526" s="19"/>
      <c r="F3526" s="15">
        <f t="shared" si="55"/>
        <v>-1733000</v>
      </c>
    </row>
    <row r="3527" spans="1:6" x14ac:dyDescent="0.2">
      <c r="A3527" s="91">
        <v>45898</v>
      </c>
      <c r="B3527" s="43">
        <v>20079935</v>
      </c>
      <c r="C3527" s="20" t="s">
        <v>319</v>
      </c>
      <c r="D3527" s="18">
        <v>375410</v>
      </c>
      <c r="E3527" s="19"/>
      <c r="F3527" s="15">
        <f t="shared" si="55"/>
        <v>-375410</v>
      </c>
    </row>
    <row r="3528" spans="1:6" x14ac:dyDescent="0.2">
      <c r="A3528" s="91">
        <v>45898</v>
      </c>
      <c r="B3528" s="43">
        <v>20079936</v>
      </c>
      <c r="C3528" s="20" t="s">
        <v>319</v>
      </c>
      <c r="D3528" s="18">
        <v>1012290</v>
      </c>
      <c r="E3528" s="19"/>
      <c r="F3528" s="15">
        <f t="shared" si="55"/>
        <v>-1012290</v>
      </c>
    </row>
    <row r="3529" spans="1:6" x14ac:dyDescent="0.2">
      <c r="A3529" s="91">
        <v>45898</v>
      </c>
      <c r="B3529" s="43">
        <v>20079937</v>
      </c>
      <c r="C3529" s="20" t="s">
        <v>319</v>
      </c>
      <c r="D3529" s="18">
        <v>2085535</v>
      </c>
      <c r="E3529" s="19"/>
      <c r="F3529" s="15">
        <f t="shared" si="55"/>
        <v>-2085535</v>
      </c>
    </row>
    <row r="3530" spans="1:6" x14ac:dyDescent="0.2">
      <c r="A3530" s="91">
        <v>45898</v>
      </c>
      <c r="B3530" s="43">
        <v>20079938</v>
      </c>
      <c r="C3530" s="20" t="s">
        <v>319</v>
      </c>
      <c r="D3530" s="18">
        <v>2956400</v>
      </c>
      <c r="E3530" s="19"/>
      <c r="F3530" s="15">
        <f t="shared" si="55"/>
        <v>-2956400</v>
      </c>
    </row>
    <row r="3531" spans="1:6" x14ac:dyDescent="0.2">
      <c r="A3531" s="91">
        <v>45898</v>
      </c>
      <c r="B3531" s="43">
        <v>20079939</v>
      </c>
      <c r="C3531" s="20" t="s">
        <v>319</v>
      </c>
      <c r="D3531" s="18">
        <v>1859625</v>
      </c>
      <c r="E3531" s="19"/>
      <c r="F3531" s="15">
        <f t="shared" si="55"/>
        <v>-1859625</v>
      </c>
    </row>
    <row r="3532" spans="1:6" x14ac:dyDescent="0.2">
      <c r="A3532" s="91">
        <v>45898</v>
      </c>
      <c r="B3532" s="43">
        <v>20079940</v>
      </c>
      <c r="C3532" s="20" t="s">
        <v>319</v>
      </c>
      <c r="D3532" s="18">
        <v>495900</v>
      </c>
      <c r="E3532" s="19"/>
      <c r="F3532" s="15">
        <f t="shared" si="55"/>
        <v>-495900</v>
      </c>
    </row>
    <row r="3533" spans="1:6" x14ac:dyDescent="0.2">
      <c r="A3533" s="91">
        <v>45898</v>
      </c>
      <c r="B3533" s="43">
        <v>20079941</v>
      </c>
      <c r="C3533" s="20" t="s">
        <v>319</v>
      </c>
      <c r="D3533" s="18">
        <v>587100</v>
      </c>
      <c r="E3533" s="19"/>
      <c r="F3533" s="15">
        <f t="shared" si="55"/>
        <v>-587100</v>
      </c>
    </row>
    <row r="3534" spans="1:6" x14ac:dyDescent="0.2">
      <c r="A3534" s="91">
        <v>45898</v>
      </c>
      <c r="B3534" s="43">
        <v>20079942</v>
      </c>
      <c r="C3534" s="20" t="s">
        <v>319</v>
      </c>
      <c r="D3534" s="18">
        <v>150000</v>
      </c>
      <c r="E3534" s="19"/>
      <c r="F3534" s="15">
        <f t="shared" si="55"/>
        <v>-150000</v>
      </c>
    </row>
    <row r="3535" spans="1:6" x14ac:dyDescent="0.2">
      <c r="A3535" s="91">
        <v>45898</v>
      </c>
      <c r="B3535" s="43">
        <v>20079943</v>
      </c>
      <c r="C3535" s="20" t="s">
        <v>319</v>
      </c>
      <c r="D3535" s="18">
        <v>600000</v>
      </c>
      <c r="E3535" s="19"/>
      <c r="F3535" s="15">
        <f t="shared" si="55"/>
        <v>-600000</v>
      </c>
    </row>
    <row r="3536" spans="1:6" x14ac:dyDescent="0.2">
      <c r="A3536" s="91">
        <v>45898</v>
      </c>
      <c r="B3536" s="43">
        <v>20079944</v>
      </c>
      <c r="C3536" s="20" t="s">
        <v>319</v>
      </c>
      <c r="D3536" s="18">
        <v>877800</v>
      </c>
      <c r="E3536" s="19"/>
      <c r="F3536" s="15">
        <f t="shared" si="55"/>
        <v>-877800</v>
      </c>
    </row>
    <row r="3537" spans="1:6" x14ac:dyDescent="0.2">
      <c r="A3537" s="91">
        <v>45898</v>
      </c>
      <c r="B3537" s="43">
        <v>20079945</v>
      </c>
      <c r="C3537" s="20" t="s">
        <v>319</v>
      </c>
      <c r="D3537" s="18">
        <v>285000</v>
      </c>
      <c r="E3537" s="19"/>
      <c r="F3537" s="15">
        <f t="shared" si="55"/>
        <v>-285000</v>
      </c>
    </row>
    <row r="3538" spans="1:6" x14ac:dyDescent="0.2">
      <c r="A3538" s="91">
        <v>45898</v>
      </c>
      <c r="B3538" s="43">
        <v>20079946</v>
      </c>
      <c r="C3538" s="20" t="s">
        <v>319</v>
      </c>
      <c r="D3538" s="18">
        <v>704900</v>
      </c>
      <c r="E3538" s="19"/>
      <c r="F3538" s="15">
        <f t="shared" si="55"/>
        <v>-704900</v>
      </c>
    </row>
    <row r="3539" spans="1:6" x14ac:dyDescent="0.2">
      <c r="A3539" s="91">
        <v>45898</v>
      </c>
      <c r="B3539" s="43">
        <v>20079947</v>
      </c>
      <c r="C3539" s="20" t="s">
        <v>319</v>
      </c>
      <c r="D3539" s="18">
        <v>305200</v>
      </c>
      <c r="E3539" s="19"/>
      <c r="F3539" s="15">
        <f t="shared" si="55"/>
        <v>-305200</v>
      </c>
    </row>
    <row r="3540" spans="1:6" x14ac:dyDescent="0.2">
      <c r="A3540" s="91">
        <v>45898</v>
      </c>
      <c r="B3540" s="43">
        <v>20079948</v>
      </c>
      <c r="C3540" s="20" t="s">
        <v>319</v>
      </c>
      <c r="D3540" s="18">
        <v>1197950</v>
      </c>
      <c r="E3540" s="19"/>
      <c r="F3540" s="15">
        <f t="shared" si="55"/>
        <v>-1197950</v>
      </c>
    </row>
    <row r="3541" spans="1:6" x14ac:dyDescent="0.2">
      <c r="A3541" s="91">
        <v>45898</v>
      </c>
      <c r="B3541" s="43">
        <v>20079949</v>
      </c>
      <c r="C3541" s="20" t="s">
        <v>319</v>
      </c>
      <c r="D3541" s="18">
        <v>715600</v>
      </c>
      <c r="E3541" s="19"/>
      <c r="F3541" s="15">
        <f t="shared" si="55"/>
        <v>-715600</v>
      </c>
    </row>
    <row r="3542" spans="1:6" x14ac:dyDescent="0.2">
      <c r="A3542" s="91">
        <v>45898</v>
      </c>
      <c r="B3542" s="43">
        <v>20079950</v>
      </c>
      <c r="C3542" s="20" t="s">
        <v>319</v>
      </c>
      <c r="D3542" s="18">
        <v>504000</v>
      </c>
      <c r="E3542" s="19"/>
      <c r="F3542" s="15">
        <f t="shared" si="55"/>
        <v>-504000</v>
      </c>
    </row>
    <row r="3543" spans="1:6" x14ac:dyDescent="0.2">
      <c r="A3543" s="91">
        <v>45898</v>
      </c>
      <c r="B3543" s="43">
        <v>20079951</v>
      </c>
      <c r="C3543" s="20" t="s">
        <v>319</v>
      </c>
      <c r="D3543" s="18">
        <v>2632545</v>
      </c>
      <c r="E3543" s="19"/>
      <c r="F3543" s="15">
        <f t="shared" si="55"/>
        <v>-2632545</v>
      </c>
    </row>
    <row r="3544" spans="1:6" x14ac:dyDescent="0.2">
      <c r="A3544" s="91">
        <v>45898</v>
      </c>
      <c r="B3544" s="43">
        <v>20079952</v>
      </c>
      <c r="C3544" s="20" t="s">
        <v>319</v>
      </c>
      <c r="D3544" s="18">
        <v>211000</v>
      </c>
      <c r="E3544" s="19"/>
      <c r="F3544" s="15">
        <f t="shared" si="55"/>
        <v>-211000</v>
      </c>
    </row>
    <row r="3545" spans="1:6" x14ac:dyDescent="0.2">
      <c r="A3545" s="91">
        <v>45898</v>
      </c>
      <c r="B3545" s="43">
        <v>20079953</v>
      </c>
      <c r="C3545" s="20" t="s">
        <v>319</v>
      </c>
      <c r="D3545" s="18">
        <v>367200</v>
      </c>
      <c r="E3545" s="19"/>
      <c r="F3545" s="15">
        <f t="shared" si="55"/>
        <v>-367200</v>
      </c>
    </row>
    <row r="3546" spans="1:6" x14ac:dyDescent="0.2">
      <c r="A3546" s="91">
        <v>45898</v>
      </c>
      <c r="B3546" s="43">
        <v>20079954</v>
      </c>
      <c r="C3546" s="20" t="s">
        <v>319</v>
      </c>
      <c r="D3546" s="18">
        <v>120000</v>
      </c>
      <c r="E3546" s="19"/>
      <c r="F3546" s="15">
        <f t="shared" si="55"/>
        <v>-120000</v>
      </c>
    </row>
    <row r="3547" spans="1:6" x14ac:dyDescent="0.2">
      <c r="A3547" s="91">
        <v>45898</v>
      </c>
      <c r="B3547" s="43">
        <v>20079955</v>
      </c>
      <c r="C3547" s="20" t="s">
        <v>319</v>
      </c>
      <c r="D3547" s="18">
        <v>1338690</v>
      </c>
      <c r="E3547" s="19"/>
      <c r="F3547" s="15">
        <f t="shared" si="55"/>
        <v>-1338690</v>
      </c>
    </row>
    <row r="3548" spans="1:6" x14ac:dyDescent="0.2">
      <c r="A3548" s="91">
        <v>45898</v>
      </c>
      <c r="B3548" s="43">
        <v>20079956</v>
      </c>
      <c r="C3548" s="20" t="s">
        <v>319</v>
      </c>
      <c r="D3548" s="18">
        <v>320000</v>
      </c>
      <c r="E3548" s="19"/>
      <c r="F3548" s="15">
        <f t="shared" si="55"/>
        <v>-320000</v>
      </c>
    </row>
    <row r="3549" spans="1:6" x14ac:dyDescent="0.2">
      <c r="A3549" s="91">
        <v>45898</v>
      </c>
      <c r="B3549" s="66">
        <v>20079957</v>
      </c>
      <c r="C3549" s="83" t="s">
        <v>319</v>
      </c>
      <c r="D3549" s="64">
        <v>190000</v>
      </c>
      <c r="E3549" s="35"/>
      <c r="F3549" s="15">
        <f t="shared" si="55"/>
        <v>-190000</v>
      </c>
    </row>
    <row r="3550" spans="1:6" x14ac:dyDescent="0.2">
      <c r="A3550" s="92">
        <v>45898</v>
      </c>
      <c r="B3550" s="70">
        <v>20079958</v>
      </c>
      <c r="C3550" s="9" t="s">
        <v>319</v>
      </c>
      <c r="D3550" s="63">
        <v>1459200</v>
      </c>
      <c r="E3550" s="49"/>
      <c r="F3550" s="15">
        <f t="shared" si="55"/>
        <v>-1459200</v>
      </c>
    </row>
    <row r="3551" spans="1:6" x14ac:dyDescent="0.2">
      <c r="A3551" s="92">
        <v>45898</v>
      </c>
      <c r="B3551" s="70">
        <v>20079959</v>
      </c>
      <c r="C3551" s="9" t="s">
        <v>319</v>
      </c>
      <c r="D3551" s="63">
        <v>1419700</v>
      </c>
      <c r="E3551" s="49"/>
      <c r="F3551" s="15">
        <f t="shared" si="55"/>
        <v>-1419700</v>
      </c>
    </row>
    <row r="3552" spans="1:6" x14ac:dyDescent="0.2">
      <c r="A3552" s="92">
        <v>45898</v>
      </c>
      <c r="B3552" s="70">
        <v>20079960</v>
      </c>
      <c r="C3552" s="9" t="s">
        <v>319</v>
      </c>
      <c r="D3552" s="63">
        <v>480890</v>
      </c>
      <c r="E3552" s="49"/>
      <c r="F3552" s="15">
        <f t="shared" si="55"/>
        <v>-480890</v>
      </c>
    </row>
    <row r="3553" spans="1:6" x14ac:dyDescent="0.2">
      <c r="A3553" s="91">
        <v>45898</v>
      </c>
      <c r="B3553" s="72">
        <v>20079961</v>
      </c>
      <c r="C3553" s="65" t="s">
        <v>319</v>
      </c>
      <c r="D3553" s="8">
        <v>3240100</v>
      </c>
      <c r="E3553" s="7"/>
      <c r="F3553" s="15">
        <f t="shared" si="55"/>
        <v>-3240100</v>
      </c>
    </row>
    <row r="3554" spans="1:6" x14ac:dyDescent="0.2">
      <c r="A3554" s="91">
        <v>45898</v>
      </c>
      <c r="B3554" s="60">
        <v>20079962</v>
      </c>
      <c r="C3554" s="12" t="s">
        <v>319</v>
      </c>
      <c r="D3554" s="13">
        <v>815170</v>
      </c>
      <c r="E3554" s="14"/>
      <c r="F3554" s="15">
        <f t="shared" si="55"/>
        <v>-815170</v>
      </c>
    </row>
    <row r="3555" spans="1:6" x14ac:dyDescent="0.2">
      <c r="A3555" s="91">
        <v>45898</v>
      </c>
      <c r="B3555" s="43">
        <v>20079963</v>
      </c>
      <c r="C3555" s="20" t="s">
        <v>319</v>
      </c>
      <c r="D3555" s="18">
        <v>1393000</v>
      </c>
      <c r="E3555" s="19"/>
      <c r="F3555" s="15">
        <f t="shared" si="55"/>
        <v>-1393000</v>
      </c>
    </row>
    <row r="3556" spans="1:6" x14ac:dyDescent="0.2">
      <c r="A3556" s="91">
        <v>45898</v>
      </c>
      <c r="B3556" s="43">
        <v>20079964</v>
      </c>
      <c r="C3556" s="20" t="s">
        <v>319</v>
      </c>
      <c r="D3556" s="18">
        <v>57000</v>
      </c>
      <c r="E3556" s="19"/>
      <c r="F3556" s="15">
        <f t="shared" si="55"/>
        <v>-57000</v>
      </c>
    </row>
    <row r="3557" spans="1:6" x14ac:dyDescent="0.2">
      <c r="A3557" s="91">
        <v>45898</v>
      </c>
      <c r="B3557" s="43">
        <v>20079965</v>
      </c>
      <c r="C3557" s="20" t="s">
        <v>319</v>
      </c>
      <c r="D3557" s="18">
        <v>366700</v>
      </c>
      <c r="E3557" s="19"/>
      <c r="F3557" s="15">
        <f t="shared" si="55"/>
        <v>-366700</v>
      </c>
    </row>
    <row r="3558" spans="1:6" x14ac:dyDescent="0.2">
      <c r="A3558" s="91">
        <v>45898</v>
      </c>
      <c r="B3558" s="43">
        <v>20079966</v>
      </c>
      <c r="C3558" s="20" t="s">
        <v>319</v>
      </c>
      <c r="D3558" s="18">
        <v>76000</v>
      </c>
      <c r="E3558" s="19"/>
      <c r="F3558" s="15">
        <f t="shared" si="55"/>
        <v>-76000</v>
      </c>
    </row>
    <row r="3559" spans="1:6" x14ac:dyDescent="0.2">
      <c r="A3559" s="91">
        <v>45898</v>
      </c>
      <c r="B3559" s="43">
        <v>20079967</v>
      </c>
      <c r="C3559" s="20" t="s">
        <v>319</v>
      </c>
      <c r="D3559" s="18">
        <v>2426500</v>
      </c>
      <c r="E3559" s="19"/>
      <c r="F3559" s="15">
        <f t="shared" si="55"/>
        <v>-2426500</v>
      </c>
    </row>
    <row r="3560" spans="1:6" x14ac:dyDescent="0.2">
      <c r="A3560" s="91">
        <v>45898</v>
      </c>
      <c r="B3560" s="43">
        <v>20079968</v>
      </c>
      <c r="C3560" s="20" t="s">
        <v>319</v>
      </c>
      <c r="D3560" s="18">
        <v>2183200</v>
      </c>
      <c r="E3560" s="19"/>
      <c r="F3560" s="15">
        <f t="shared" si="55"/>
        <v>-2183200</v>
      </c>
    </row>
    <row r="3561" spans="1:6" x14ac:dyDescent="0.2">
      <c r="A3561" s="91">
        <v>45898</v>
      </c>
      <c r="B3561" s="43">
        <v>20079969</v>
      </c>
      <c r="C3561" s="20" t="s">
        <v>319</v>
      </c>
      <c r="D3561" s="18">
        <v>2337000</v>
      </c>
      <c r="E3561" s="19"/>
      <c r="F3561" s="15">
        <f t="shared" si="55"/>
        <v>-2337000</v>
      </c>
    </row>
    <row r="3562" spans="1:6" x14ac:dyDescent="0.2">
      <c r="A3562" s="91">
        <v>45898</v>
      </c>
      <c r="B3562" s="43">
        <v>20079970</v>
      </c>
      <c r="C3562" s="20" t="s">
        <v>319</v>
      </c>
      <c r="D3562" s="18">
        <v>99750</v>
      </c>
      <c r="E3562" s="19"/>
      <c r="F3562" s="15">
        <f t="shared" si="55"/>
        <v>-99750</v>
      </c>
    </row>
    <row r="3563" spans="1:6" x14ac:dyDescent="0.2">
      <c r="A3563" s="91">
        <v>45898</v>
      </c>
      <c r="B3563" s="43">
        <v>20079971</v>
      </c>
      <c r="C3563" s="20" t="s">
        <v>319</v>
      </c>
      <c r="D3563" s="18">
        <v>90250</v>
      </c>
      <c r="E3563" s="19"/>
      <c r="F3563" s="15">
        <f t="shared" si="55"/>
        <v>-90250</v>
      </c>
    </row>
    <row r="3564" spans="1:6" x14ac:dyDescent="0.2">
      <c r="A3564" s="91">
        <v>45898</v>
      </c>
      <c r="B3564" s="43">
        <v>20079972</v>
      </c>
      <c r="C3564" s="20" t="s">
        <v>319</v>
      </c>
      <c r="D3564" s="18">
        <v>540000</v>
      </c>
      <c r="E3564" s="19"/>
      <c r="F3564" s="15">
        <f t="shared" si="55"/>
        <v>-540000</v>
      </c>
    </row>
    <row r="3565" spans="1:6" x14ac:dyDescent="0.2">
      <c r="A3565" s="91">
        <v>45898</v>
      </c>
      <c r="B3565" s="43">
        <v>20079973</v>
      </c>
      <c r="C3565" s="20" t="s">
        <v>319</v>
      </c>
      <c r="D3565" s="18">
        <v>2071000</v>
      </c>
      <c r="E3565" s="19"/>
      <c r="F3565" s="15">
        <f t="shared" si="55"/>
        <v>-2071000</v>
      </c>
    </row>
    <row r="3566" spans="1:6" x14ac:dyDescent="0.2">
      <c r="A3566" s="91">
        <v>45898</v>
      </c>
      <c r="B3566" s="43">
        <v>20079974</v>
      </c>
      <c r="C3566" s="20" t="s">
        <v>319</v>
      </c>
      <c r="D3566" s="18">
        <v>1664865</v>
      </c>
      <c r="E3566" s="19"/>
      <c r="F3566" s="15">
        <f t="shared" si="55"/>
        <v>-1664865</v>
      </c>
    </row>
    <row r="3567" spans="1:6" x14ac:dyDescent="0.2">
      <c r="A3567" s="91">
        <v>45898</v>
      </c>
      <c r="B3567" s="43">
        <v>20079975</v>
      </c>
      <c r="C3567" s="20" t="s">
        <v>319</v>
      </c>
      <c r="D3567" s="18">
        <v>486000</v>
      </c>
      <c r="E3567" s="19"/>
      <c r="F3567" s="15">
        <f t="shared" si="55"/>
        <v>-486000</v>
      </c>
    </row>
    <row r="3568" spans="1:6" x14ac:dyDescent="0.2">
      <c r="A3568" s="91">
        <v>45898</v>
      </c>
      <c r="B3568" s="43">
        <v>20079976</v>
      </c>
      <c r="C3568" s="20" t="s">
        <v>319</v>
      </c>
      <c r="D3568" s="18">
        <v>100000</v>
      </c>
      <c r="E3568" s="19"/>
      <c r="F3568" s="15">
        <f t="shared" si="55"/>
        <v>-100000</v>
      </c>
    </row>
    <row r="3569" spans="1:6" x14ac:dyDescent="0.2">
      <c r="A3569" s="91">
        <v>45898</v>
      </c>
      <c r="B3569" s="43">
        <v>20079977</v>
      </c>
      <c r="C3569" s="20" t="s">
        <v>319</v>
      </c>
      <c r="D3569" s="18">
        <v>358000</v>
      </c>
      <c r="E3569" s="19"/>
      <c r="F3569" s="15">
        <f t="shared" si="55"/>
        <v>-358000</v>
      </c>
    </row>
    <row r="3570" spans="1:6" x14ac:dyDescent="0.2">
      <c r="A3570" s="91">
        <v>45607</v>
      </c>
      <c r="B3570" s="43">
        <v>31724</v>
      </c>
      <c r="C3570" s="20" t="s">
        <v>155</v>
      </c>
      <c r="D3570" s="19"/>
      <c r="E3570" s="18">
        <v>272291.84000000003</v>
      </c>
      <c r="F3570" s="15">
        <f t="shared" si="55"/>
        <v>272291.84000000003</v>
      </c>
    </row>
    <row r="3571" spans="1:6" x14ac:dyDescent="0.2">
      <c r="A3571" s="91">
        <v>45804</v>
      </c>
      <c r="B3571" s="43">
        <v>82182</v>
      </c>
      <c r="C3571" s="20" t="s">
        <v>459</v>
      </c>
      <c r="D3571" s="19"/>
      <c r="E3571" s="18">
        <v>280570.21000000002</v>
      </c>
      <c r="F3571" s="15">
        <f t="shared" si="55"/>
        <v>280570.21000000002</v>
      </c>
    </row>
    <row r="3572" spans="1:6" x14ac:dyDescent="0.2">
      <c r="A3572" s="91">
        <v>45784</v>
      </c>
      <c r="B3572" s="46">
        <v>32005</v>
      </c>
      <c r="C3572" s="56" t="s">
        <v>427</v>
      </c>
      <c r="D3572" s="52"/>
      <c r="E3572" s="52">
        <v>5967444</v>
      </c>
      <c r="F3572" s="15">
        <f t="shared" si="55"/>
        <v>5967444</v>
      </c>
    </row>
    <row r="3573" spans="1:6" x14ac:dyDescent="0.2">
      <c r="A3573" s="91">
        <v>45743</v>
      </c>
      <c r="B3573" s="44">
        <v>31926</v>
      </c>
      <c r="C3573" s="57" t="s">
        <v>367</v>
      </c>
      <c r="D3573" s="29"/>
      <c r="E3573" s="29">
        <v>6753303</v>
      </c>
      <c r="F3573" s="15">
        <f t="shared" si="55"/>
        <v>6753303</v>
      </c>
    </row>
    <row r="3574" spans="1:6" x14ac:dyDescent="0.2">
      <c r="A3574" s="91">
        <v>45705</v>
      </c>
      <c r="B3574" s="45"/>
      <c r="C3574" s="20" t="s">
        <v>310</v>
      </c>
      <c r="D3574" s="18">
        <v>1101.3599999999999</v>
      </c>
      <c r="E3574" s="19"/>
      <c r="F3574" s="15">
        <f t="shared" si="55"/>
        <v>-1101.3599999999999</v>
      </c>
    </row>
    <row r="3575" spans="1:6" x14ac:dyDescent="0.2">
      <c r="A3575" s="91">
        <v>45869</v>
      </c>
      <c r="B3575" s="45"/>
      <c r="C3575" s="20" t="s">
        <v>563</v>
      </c>
      <c r="D3575" s="18">
        <v>1101.47</v>
      </c>
      <c r="E3575" s="19"/>
      <c r="F3575" s="15">
        <f t="shared" si="55"/>
        <v>-1101.47</v>
      </c>
    </row>
    <row r="3576" spans="1:6" x14ac:dyDescent="0.2">
      <c r="A3576" s="91">
        <v>45693</v>
      </c>
      <c r="B3576" s="45"/>
      <c r="C3576" s="20" t="s">
        <v>292</v>
      </c>
      <c r="D3576" s="18">
        <v>1390.28</v>
      </c>
      <c r="E3576" s="19"/>
      <c r="F3576" s="15">
        <f t="shared" si="55"/>
        <v>-1390.28</v>
      </c>
    </row>
    <row r="3577" spans="1:6" x14ac:dyDescent="0.2">
      <c r="A3577" s="91">
        <v>45839</v>
      </c>
      <c r="B3577" s="45"/>
      <c r="C3577" s="20" t="s">
        <v>511</v>
      </c>
      <c r="D3577" s="18">
        <v>1426.08</v>
      </c>
      <c r="E3577" s="19"/>
      <c r="F3577" s="15">
        <f t="shared" si="55"/>
        <v>-1426.08</v>
      </c>
    </row>
    <row r="3578" spans="1:6" x14ac:dyDescent="0.2">
      <c r="A3578" s="91">
        <v>45663</v>
      </c>
      <c r="B3578" s="45"/>
      <c r="C3578" s="20" t="s">
        <v>237</v>
      </c>
      <c r="D3578" s="18">
        <v>10000</v>
      </c>
      <c r="E3578" s="19"/>
      <c r="F3578" s="15">
        <f t="shared" si="55"/>
        <v>-10000</v>
      </c>
    </row>
    <row r="3579" spans="1:6" x14ac:dyDescent="0.2">
      <c r="A3579" s="91">
        <v>45691</v>
      </c>
      <c r="B3579" s="45"/>
      <c r="C3579" s="20" t="s">
        <v>284</v>
      </c>
      <c r="D3579" s="18">
        <v>10023.57</v>
      </c>
      <c r="E3579" s="19"/>
      <c r="F3579" s="15">
        <f t="shared" si="55"/>
        <v>-10023.57</v>
      </c>
    </row>
    <row r="3580" spans="1:6" x14ac:dyDescent="0.2">
      <c r="A3580" s="91">
        <v>45841</v>
      </c>
      <c r="B3580" s="45"/>
      <c r="C3580" s="20" t="s">
        <v>522</v>
      </c>
      <c r="D3580" s="18">
        <v>10088.870000000001</v>
      </c>
      <c r="E3580" s="19"/>
      <c r="F3580" s="15">
        <f t="shared" si="55"/>
        <v>-10088.870000000001</v>
      </c>
    </row>
    <row r="3581" spans="1:6" x14ac:dyDescent="0.2">
      <c r="A3581" s="91">
        <v>45860</v>
      </c>
      <c r="B3581" s="45"/>
      <c r="C3581" s="20" t="s">
        <v>552</v>
      </c>
      <c r="D3581" s="18">
        <v>106.89</v>
      </c>
      <c r="E3581" s="19"/>
      <c r="F3581" s="15">
        <f t="shared" si="55"/>
        <v>-106.89</v>
      </c>
    </row>
    <row r="3582" spans="1:6" x14ac:dyDescent="0.2">
      <c r="A3582" s="91">
        <v>45716</v>
      </c>
      <c r="B3582" s="45"/>
      <c r="C3582" s="20" t="s">
        <v>330</v>
      </c>
      <c r="D3582" s="18">
        <v>11</v>
      </c>
      <c r="E3582" s="19"/>
      <c r="F3582" s="15">
        <f t="shared" si="55"/>
        <v>-11</v>
      </c>
    </row>
    <row r="3583" spans="1:6" x14ac:dyDescent="0.2">
      <c r="A3583" s="91">
        <v>45855</v>
      </c>
      <c r="B3583" s="45"/>
      <c r="C3583" s="20" t="s">
        <v>540</v>
      </c>
      <c r="D3583" s="18">
        <v>12.17</v>
      </c>
      <c r="E3583" s="19"/>
      <c r="F3583" s="15">
        <f t="shared" si="55"/>
        <v>-12.17</v>
      </c>
    </row>
    <row r="3584" spans="1:6" x14ac:dyDescent="0.2">
      <c r="A3584" s="91">
        <v>45846</v>
      </c>
      <c r="B3584" s="45"/>
      <c r="C3584" s="20" t="s">
        <v>529</v>
      </c>
      <c r="D3584" s="18">
        <v>141.07</v>
      </c>
      <c r="E3584" s="19"/>
      <c r="F3584" s="15">
        <f t="shared" si="55"/>
        <v>-141.07</v>
      </c>
    </row>
    <row r="3585" spans="1:6" x14ac:dyDescent="0.2">
      <c r="A3585" s="91">
        <v>45849</v>
      </c>
      <c r="B3585" s="45"/>
      <c r="C3585" s="20" t="s">
        <v>530</v>
      </c>
      <c r="D3585" s="18">
        <v>15.74</v>
      </c>
      <c r="E3585" s="19"/>
      <c r="F3585" s="15">
        <f t="shared" si="55"/>
        <v>-15.74</v>
      </c>
    </row>
    <row r="3586" spans="1:6" x14ac:dyDescent="0.2">
      <c r="A3586" s="91">
        <v>45692</v>
      </c>
      <c r="B3586" s="45"/>
      <c r="C3586" s="20" t="s">
        <v>291</v>
      </c>
      <c r="D3586" s="18">
        <v>151574.51999999999</v>
      </c>
      <c r="E3586" s="19"/>
      <c r="F3586" s="15">
        <f t="shared" si="55"/>
        <v>-151574.51999999999</v>
      </c>
    </row>
    <row r="3587" spans="1:6" x14ac:dyDescent="0.2">
      <c r="A3587" s="91">
        <v>45666</v>
      </c>
      <c r="B3587" s="45"/>
      <c r="C3587" s="20" t="s">
        <v>241</v>
      </c>
      <c r="D3587" s="18">
        <v>17</v>
      </c>
      <c r="E3587" s="19"/>
      <c r="F3587" s="15">
        <f t="shared" ref="F3587:F3650" si="56">+E3587-D3587</f>
        <v>-17</v>
      </c>
    </row>
    <row r="3588" spans="1:6" x14ac:dyDescent="0.2">
      <c r="A3588" s="91">
        <v>45707</v>
      </c>
      <c r="B3588" s="45"/>
      <c r="C3588" s="20" t="s">
        <v>313</v>
      </c>
      <c r="D3588" s="18">
        <v>19.899999999999999</v>
      </c>
      <c r="E3588" s="19"/>
      <c r="F3588" s="15">
        <f t="shared" si="56"/>
        <v>-19.899999999999999</v>
      </c>
    </row>
    <row r="3589" spans="1:6" x14ac:dyDescent="0.2">
      <c r="A3589" s="91">
        <v>45867</v>
      </c>
      <c r="B3589" s="45"/>
      <c r="C3589" s="20" t="s">
        <v>561</v>
      </c>
      <c r="D3589" s="18">
        <v>2929.06</v>
      </c>
      <c r="E3589" s="19"/>
      <c r="F3589" s="15">
        <f t="shared" si="56"/>
        <v>-2929.06</v>
      </c>
    </row>
    <row r="3590" spans="1:6" x14ac:dyDescent="0.2">
      <c r="A3590" s="91">
        <v>45700</v>
      </c>
      <c r="B3590" s="45"/>
      <c r="C3590" s="20" t="s">
        <v>300</v>
      </c>
      <c r="D3590" s="18">
        <v>232.43</v>
      </c>
      <c r="E3590" s="19"/>
      <c r="F3590" s="15">
        <f t="shared" si="56"/>
        <v>-232.43</v>
      </c>
    </row>
    <row r="3591" spans="1:6" x14ac:dyDescent="0.2">
      <c r="A3591" s="91">
        <v>45664</v>
      </c>
      <c r="B3591" s="45"/>
      <c r="C3591" s="20" t="s">
        <v>239</v>
      </c>
      <c r="D3591" s="18">
        <v>233.97</v>
      </c>
      <c r="E3591" s="19"/>
      <c r="F3591" s="15">
        <f t="shared" si="56"/>
        <v>-233.97</v>
      </c>
    </row>
    <row r="3592" spans="1:6" x14ac:dyDescent="0.2">
      <c r="A3592" s="91">
        <v>45698</v>
      </c>
      <c r="B3592" s="45"/>
      <c r="C3592" s="20" t="s">
        <v>296</v>
      </c>
      <c r="D3592" s="18">
        <v>27</v>
      </c>
      <c r="E3592" s="19"/>
      <c r="F3592" s="15">
        <f t="shared" si="56"/>
        <v>-27</v>
      </c>
    </row>
    <row r="3593" spans="1:6" x14ac:dyDescent="0.2">
      <c r="A3593" s="91">
        <v>45677</v>
      </c>
      <c r="B3593" s="45"/>
      <c r="C3593" s="20" t="s">
        <v>265</v>
      </c>
      <c r="D3593" s="18">
        <v>27.5</v>
      </c>
      <c r="E3593" s="19"/>
      <c r="F3593" s="15">
        <f t="shared" si="56"/>
        <v>-27.5</v>
      </c>
    </row>
    <row r="3594" spans="1:6" x14ac:dyDescent="0.2">
      <c r="A3594" s="91">
        <v>45673</v>
      </c>
      <c r="B3594" s="45"/>
      <c r="C3594" s="20" t="s">
        <v>255</v>
      </c>
      <c r="D3594" s="18">
        <v>280.60000000000002</v>
      </c>
      <c r="E3594" s="19"/>
      <c r="F3594" s="15">
        <f t="shared" si="56"/>
        <v>-280.60000000000002</v>
      </c>
    </row>
    <row r="3595" spans="1:6" x14ac:dyDescent="0.2">
      <c r="A3595" s="91">
        <v>45679</v>
      </c>
      <c r="B3595" s="45"/>
      <c r="C3595" s="20" t="s">
        <v>268</v>
      </c>
      <c r="D3595" s="18">
        <v>293.54000000000002</v>
      </c>
      <c r="E3595" s="19"/>
      <c r="F3595" s="15">
        <f t="shared" si="56"/>
        <v>-293.54000000000002</v>
      </c>
    </row>
    <row r="3596" spans="1:6" x14ac:dyDescent="0.2">
      <c r="A3596" s="91">
        <v>45687</v>
      </c>
      <c r="B3596" s="45"/>
      <c r="C3596" s="20" t="s">
        <v>282</v>
      </c>
      <c r="D3596" s="18">
        <v>3614.4</v>
      </c>
      <c r="E3596" s="19"/>
      <c r="F3596" s="15">
        <f t="shared" si="56"/>
        <v>-3614.4</v>
      </c>
    </row>
    <row r="3597" spans="1:6" x14ac:dyDescent="0.2">
      <c r="A3597" s="91">
        <v>45684</v>
      </c>
      <c r="B3597" s="45"/>
      <c r="C3597" s="20" t="s">
        <v>277</v>
      </c>
      <c r="D3597" s="18">
        <v>30.44</v>
      </c>
      <c r="E3597" s="19"/>
      <c r="F3597" s="15">
        <f t="shared" si="56"/>
        <v>-30.44</v>
      </c>
    </row>
    <row r="3598" spans="1:6" x14ac:dyDescent="0.2">
      <c r="A3598" s="91">
        <v>45671</v>
      </c>
      <c r="B3598" s="45"/>
      <c r="C3598" s="20" t="s">
        <v>246</v>
      </c>
      <c r="D3598" s="18">
        <v>318.31</v>
      </c>
      <c r="E3598" s="19"/>
      <c r="F3598" s="15">
        <f t="shared" si="56"/>
        <v>-318.31</v>
      </c>
    </row>
    <row r="3599" spans="1:6" x14ac:dyDescent="0.2">
      <c r="A3599" s="91">
        <v>45680</v>
      </c>
      <c r="B3599" s="45"/>
      <c r="C3599" s="20" t="s">
        <v>271</v>
      </c>
      <c r="D3599" s="18">
        <v>35.049999999999997</v>
      </c>
      <c r="E3599" s="19"/>
      <c r="F3599" s="15">
        <f t="shared" si="56"/>
        <v>-35.049999999999997</v>
      </c>
    </row>
    <row r="3600" spans="1:6" x14ac:dyDescent="0.2">
      <c r="A3600" s="91">
        <v>45852</v>
      </c>
      <c r="B3600" s="45"/>
      <c r="C3600" s="20" t="s">
        <v>533</v>
      </c>
      <c r="D3600" s="18">
        <v>37.22</v>
      </c>
      <c r="E3600" s="19"/>
      <c r="F3600" s="15">
        <f t="shared" si="56"/>
        <v>-37.22</v>
      </c>
    </row>
    <row r="3601" spans="1:6" x14ac:dyDescent="0.2">
      <c r="A3601" s="91">
        <v>45715</v>
      </c>
      <c r="B3601" s="45"/>
      <c r="C3601" s="20" t="s">
        <v>324</v>
      </c>
      <c r="D3601" s="18">
        <v>4072.76</v>
      </c>
      <c r="E3601" s="19"/>
      <c r="F3601" s="15">
        <f t="shared" si="56"/>
        <v>-4072.76</v>
      </c>
    </row>
    <row r="3602" spans="1:6" x14ac:dyDescent="0.2">
      <c r="A3602" s="91">
        <v>45685</v>
      </c>
      <c r="B3602" s="45"/>
      <c r="C3602" s="20" t="s">
        <v>279</v>
      </c>
      <c r="D3602" s="18">
        <v>482.89</v>
      </c>
      <c r="E3602" s="19"/>
      <c r="F3602" s="15">
        <f t="shared" si="56"/>
        <v>-482.89</v>
      </c>
    </row>
    <row r="3603" spans="1:6" x14ac:dyDescent="0.2">
      <c r="A3603" s="91">
        <v>45856</v>
      </c>
      <c r="B3603" s="45"/>
      <c r="C3603" s="20" t="s">
        <v>551</v>
      </c>
      <c r="D3603" s="18">
        <v>486.44</v>
      </c>
      <c r="E3603" s="19"/>
      <c r="F3603" s="15">
        <f t="shared" si="56"/>
        <v>-486.44</v>
      </c>
    </row>
    <row r="3604" spans="1:6" x14ac:dyDescent="0.2">
      <c r="A3604" s="91">
        <v>45853</v>
      </c>
      <c r="B3604" s="45"/>
      <c r="C3604" s="20" t="s">
        <v>536</v>
      </c>
      <c r="D3604" s="18">
        <v>51.24</v>
      </c>
      <c r="E3604" s="19"/>
      <c r="F3604" s="15">
        <f t="shared" si="56"/>
        <v>-51.24</v>
      </c>
    </row>
    <row r="3605" spans="1:6" x14ac:dyDescent="0.2">
      <c r="A3605" s="91">
        <v>45702</v>
      </c>
      <c r="B3605" s="45"/>
      <c r="C3605" s="20" t="s">
        <v>307</v>
      </c>
      <c r="D3605" s="18">
        <v>51.92</v>
      </c>
      <c r="E3605" s="19"/>
      <c r="F3605" s="15">
        <f t="shared" si="56"/>
        <v>-51.92</v>
      </c>
    </row>
    <row r="3606" spans="1:6" x14ac:dyDescent="0.2">
      <c r="A3606" s="91">
        <v>45672</v>
      </c>
      <c r="B3606" s="45"/>
      <c r="C3606" s="20" t="s">
        <v>251</v>
      </c>
      <c r="D3606" s="18">
        <v>54.48</v>
      </c>
      <c r="E3606" s="19"/>
      <c r="F3606" s="15">
        <f t="shared" si="56"/>
        <v>-54.48</v>
      </c>
    </row>
    <row r="3607" spans="1:6" x14ac:dyDescent="0.2">
      <c r="A3607" s="91">
        <v>45674</v>
      </c>
      <c r="B3607" s="45"/>
      <c r="C3607" s="20" t="s">
        <v>257</v>
      </c>
      <c r="D3607" s="18">
        <v>60.01</v>
      </c>
      <c r="E3607" s="19"/>
      <c r="F3607" s="15">
        <f t="shared" si="56"/>
        <v>-60.01</v>
      </c>
    </row>
    <row r="3608" spans="1:6" x14ac:dyDescent="0.2">
      <c r="A3608" s="91">
        <v>45854</v>
      </c>
      <c r="B3608" s="45"/>
      <c r="C3608" s="20" t="s">
        <v>539</v>
      </c>
      <c r="D3608" s="18">
        <v>687.77</v>
      </c>
      <c r="E3608" s="19"/>
      <c r="F3608" s="15">
        <f t="shared" si="56"/>
        <v>-687.77</v>
      </c>
    </row>
    <row r="3609" spans="1:6" x14ac:dyDescent="0.2">
      <c r="A3609" s="91">
        <v>45709</v>
      </c>
      <c r="B3609" s="45"/>
      <c r="C3609" s="20" t="s">
        <v>317</v>
      </c>
      <c r="D3609" s="18">
        <v>7.2</v>
      </c>
      <c r="E3609" s="19"/>
      <c r="F3609" s="15">
        <f t="shared" si="56"/>
        <v>-7.2</v>
      </c>
    </row>
    <row r="3610" spans="1:6" x14ac:dyDescent="0.2">
      <c r="A3610" s="91">
        <v>45713</v>
      </c>
      <c r="B3610" s="51"/>
      <c r="C3610" s="56" t="s">
        <v>321</v>
      </c>
      <c r="D3610" s="48">
        <v>77.12</v>
      </c>
      <c r="E3610" s="49"/>
      <c r="F3610" s="15">
        <f t="shared" si="56"/>
        <v>-77.12</v>
      </c>
    </row>
    <row r="3611" spans="1:6" x14ac:dyDescent="0.2">
      <c r="A3611" s="91">
        <v>45701</v>
      </c>
      <c r="B3611" s="50"/>
      <c r="C3611" s="57" t="s">
        <v>304</v>
      </c>
      <c r="D3611" s="23">
        <v>84.53</v>
      </c>
      <c r="E3611" s="24"/>
      <c r="F3611" s="15">
        <f t="shared" si="56"/>
        <v>-84.53</v>
      </c>
    </row>
    <row r="3612" spans="1:6" x14ac:dyDescent="0.2">
      <c r="A3612" s="91">
        <v>45660</v>
      </c>
      <c r="B3612" s="45"/>
      <c r="C3612" s="20" t="s">
        <v>233</v>
      </c>
      <c r="D3612" s="18">
        <v>86.17</v>
      </c>
      <c r="E3612" s="19"/>
      <c r="F3612" s="15">
        <f t="shared" si="56"/>
        <v>-86.17</v>
      </c>
    </row>
    <row r="3613" spans="1:6" x14ac:dyDescent="0.2">
      <c r="A3613" s="91">
        <v>45714</v>
      </c>
      <c r="B3613" s="45"/>
      <c r="C3613" s="20" t="s">
        <v>323</v>
      </c>
      <c r="D3613" s="18">
        <v>95.85</v>
      </c>
      <c r="E3613" s="19"/>
      <c r="F3613" s="15">
        <f t="shared" si="56"/>
        <v>-95.85</v>
      </c>
    </row>
    <row r="3614" spans="1:6" x14ac:dyDescent="0.2">
      <c r="A3614" s="91">
        <v>45840</v>
      </c>
      <c r="B3614" s="45"/>
      <c r="C3614" s="20" t="s">
        <v>514</v>
      </c>
      <c r="D3614" s="18">
        <v>99041.3</v>
      </c>
      <c r="E3614" s="19"/>
      <c r="F3614" s="15">
        <f t="shared" si="56"/>
        <v>-99041.3</v>
      </c>
    </row>
    <row r="3615" spans="1:6" x14ac:dyDescent="0.2">
      <c r="A3615" s="91">
        <v>45881</v>
      </c>
      <c r="B3615" s="45"/>
      <c r="C3615" s="20" t="s">
        <v>578</v>
      </c>
      <c r="D3615" s="18">
        <v>2604.91</v>
      </c>
      <c r="E3615" s="19"/>
      <c r="F3615" s="15">
        <f t="shared" si="56"/>
        <v>-2604.91</v>
      </c>
    </row>
    <row r="3616" spans="1:6" x14ac:dyDescent="0.2">
      <c r="A3616" s="91">
        <v>45894</v>
      </c>
      <c r="B3616" s="45"/>
      <c r="C3616" s="20" t="s">
        <v>590</v>
      </c>
      <c r="D3616" s="18">
        <v>246.38</v>
      </c>
      <c r="E3616" s="19"/>
      <c r="F3616" s="15">
        <f t="shared" si="56"/>
        <v>-246.38</v>
      </c>
    </row>
    <row r="3617" spans="1:6" x14ac:dyDescent="0.2">
      <c r="A3617" s="91">
        <v>45875</v>
      </c>
      <c r="B3617" s="45"/>
      <c r="C3617" s="20" t="s">
        <v>571</v>
      </c>
      <c r="D3617" s="18">
        <v>6000</v>
      </c>
      <c r="E3617" s="19"/>
      <c r="F3617" s="15">
        <f t="shared" si="56"/>
        <v>-6000</v>
      </c>
    </row>
    <row r="3618" spans="1:6" x14ac:dyDescent="0.2">
      <c r="A3618" s="91">
        <v>45889</v>
      </c>
      <c r="B3618" s="45"/>
      <c r="C3618" s="20" t="s">
        <v>586</v>
      </c>
      <c r="D3618" s="18">
        <v>6070.39</v>
      </c>
      <c r="E3618" s="19"/>
      <c r="F3618" s="15">
        <f t="shared" si="56"/>
        <v>-6070.39</v>
      </c>
    </row>
    <row r="3619" spans="1:6" x14ac:dyDescent="0.2">
      <c r="A3619" s="91">
        <v>45887</v>
      </c>
      <c r="B3619" s="45"/>
      <c r="C3619" s="20" t="s">
        <v>580</v>
      </c>
      <c r="D3619" s="18">
        <v>6173.64</v>
      </c>
      <c r="E3619" s="19"/>
      <c r="F3619" s="15">
        <f t="shared" si="56"/>
        <v>-6173.64</v>
      </c>
    </row>
    <row r="3620" spans="1:6" x14ac:dyDescent="0.2">
      <c r="A3620" s="91">
        <v>45897</v>
      </c>
      <c r="B3620" s="45"/>
      <c r="C3620" s="20" t="s">
        <v>597</v>
      </c>
      <c r="D3620" s="18">
        <v>6900.87</v>
      </c>
      <c r="E3620" s="19"/>
      <c r="F3620" s="15">
        <f t="shared" si="56"/>
        <v>-6900.87</v>
      </c>
    </row>
    <row r="3621" spans="1:6" x14ac:dyDescent="0.2">
      <c r="A3621" s="91">
        <v>45890</v>
      </c>
      <c r="B3621" s="45"/>
      <c r="C3621" s="20" t="s">
        <v>587</v>
      </c>
      <c r="D3621" s="18">
        <v>67.489999999999995</v>
      </c>
      <c r="E3621" s="19"/>
      <c r="F3621" s="15">
        <f t="shared" si="56"/>
        <v>-67.489999999999995</v>
      </c>
    </row>
    <row r="3622" spans="1:6" x14ac:dyDescent="0.2">
      <c r="A3622" s="91">
        <v>45880</v>
      </c>
      <c r="B3622" s="45"/>
      <c r="C3622" s="20" t="s">
        <v>573</v>
      </c>
      <c r="D3622" s="18">
        <v>12000</v>
      </c>
      <c r="E3622" s="19"/>
      <c r="F3622" s="15">
        <f t="shared" si="56"/>
        <v>-12000</v>
      </c>
    </row>
    <row r="3623" spans="1:6" x14ac:dyDescent="0.2">
      <c r="A3623" s="91">
        <v>45895</v>
      </c>
      <c r="B3623" s="45"/>
      <c r="C3623" s="20" t="s">
        <v>592</v>
      </c>
      <c r="D3623" s="18">
        <v>1859.95</v>
      </c>
      <c r="E3623" s="19"/>
      <c r="F3623" s="15">
        <f t="shared" si="56"/>
        <v>-1859.95</v>
      </c>
    </row>
    <row r="3624" spans="1:6" x14ac:dyDescent="0.2">
      <c r="A3624" s="91">
        <v>45796</v>
      </c>
      <c r="B3624" s="45"/>
      <c r="C3624" s="20" t="s">
        <v>449</v>
      </c>
      <c r="D3624" s="18">
        <v>2109.41</v>
      </c>
      <c r="E3624" s="19"/>
      <c r="F3624" s="15">
        <f t="shared" si="56"/>
        <v>-2109.41</v>
      </c>
    </row>
    <row r="3625" spans="1:6" x14ac:dyDescent="0.2">
      <c r="A3625" s="91">
        <v>45772</v>
      </c>
      <c r="B3625" s="45"/>
      <c r="C3625" s="20" t="s">
        <v>411</v>
      </c>
      <c r="D3625" s="18">
        <v>2116.87</v>
      </c>
      <c r="E3625" s="19"/>
      <c r="F3625" s="15">
        <f t="shared" si="56"/>
        <v>-2116.87</v>
      </c>
    </row>
    <row r="3626" spans="1:6" x14ac:dyDescent="0.2">
      <c r="A3626" s="91">
        <v>45831</v>
      </c>
      <c r="B3626" s="45"/>
      <c r="C3626" s="20" t="s">
        <v>495</v>
      </c>
      <c r="D3626" s="18">
        <v>2393.56</v>
      </c>
      <c r="E3626" s="19"/>
      <c r="F3626" s="15">
        <f t="shared" si="56"/>
        <v>-2393.56</v>
      </c>
    </row>
    <row r="3627" spans="1:6" x14ac:dyDescent="0.2">
      <c r="A3627" s="91">
        <v>45874</v>
      </c>
      <c r="B3627" s="45"/>
      <c r="C3627" s="20" t="s">
        <v>570</v>
      </c>
      <c r="D3627" s="18">
        <v>20000</v>
      </c>
      <c r="E3627" s="19"/>
      <c r="F3627" s="15">
        <f t="shared" si="56"/>
        <v>-20000</v>
      </c>
    </row>
    <row r="3628" spans="1:6" x14ac:dyDescent="0.2">
      <c r="A3628" s="91">
        <v>45770</v>
      </c>
      <c r="B3628" s="45"/>
      <c r="C3628" s="20" t="s">
        <v>404</v>
      </c>
      <c r="D3628" s="18">
        <v>21.41</v>
      </c>
      <c r="E3628" s="19"/>
      <c r="F3628" s="15">
        <f t="shared" si="56"/>
        <v>-21.41</v>
      </c>
    </row>
    <row r="3629" spans="1:6" x14ac:dyDescent="0.2">
      <c r="A3629" s="91">
        <v>45750</v>
      </c>
      <c r="B3629" s="45"/>
      <c r="C3629" s="20" t="s">
        <v>378</v>
      </c>
      <c r="D3629" s="18">
        <v>200000</v>
      </c>
      <c r="E3629" s="19"/>
      <c r="F3629" s="15">
        <f t="shared" si="56"/>
        <v>-200000</v>
      </c>
    </row>
    <row r="3630" spans="1:6" x14ac:dyDescent="0.2">
      <c r="A3630" s="91">
        <v>45569</v>
      </c>
      <c r="B3630" s="45"/>
      <c r="C3630" s="20" t="s">
        <v>104</v>
      </c>
      <c r="D3630" s="18">
        <v>217.75</v>
      </c>
      <c r="E3630" s="19"/>
      <c r="F3630" s="15">
        <f t="shared" si="56"/>
        <v>-217.75</v>
      </c>
    </row>
    <row r="3631" spans="1:6" x14ac:dyDescent="0.2">
      <c r="A3631" s="91">
        <v>45789</v>
      </c>
      <c r="B3631" s="45"/>
      <c r="C3631" s="20" t="s">
        <v>437</v>
      </c>
      <c r="D3631" s="18">
        <v>227.75</v>
      </c>
      <c r="E3631" s="19"/>
      <c r="F3631" s="15">
        <f t="shared" si="56"/>
        <v>-227.75</v>
      </c>
    </row>
    <row r="3632" spans="1:6" x14ac:dyDescent="0.2">
      <c r="A3632" s="91">
        <v>45574</v>
      </c>
      <c r="B3632" s="45"/>
      <c r="C3632" s="20" t="s">
        <v>112</v>
      </c>
      <c r="D3632" s="18">
        <v>27.4</v>
      </c>
      <c r="E3632" s="19"/>
      <c r="F3632" s="15">
        <f t="shared" si="56"/>
        <v>-27.4</v>
      </c>
    </row>
    <row r="3633" spans="1:6" x14ac:dyDescent="0.2">
      <c r="A3633" s="91">
        <v>45771</v>
      </c>
      <c r="B3633" s="45"/>
      <c r="C3633" s="20" t="s">
        <v>406</v>
      </c>
      <c r="D3633" s="18">
        <v>261.32</v>
      </c>
      <c r="E3633" s="19"/>
      <c r="F3633" s="15">
        <f t="shared" si="56"/>
        <v>-261.32</v>
      </c>
    </row>
    <row r="3634" spans="1:6" x14ac:dyDescent="0.2">
      <c r="A3634" s="91">
        <v>45723</v>
      </c>
      <c r="B3634" s="45"/>
      <c r="C3634" s="20" t="s">
        <v>343</v>
      </c>
      <c r="D3634" s="18">
        <v>30034</v>
      </c>
      <c r="E3634" s="19"/>
      <c r="F3634" s="15">
        <f t="shared" si="56"/>
        <v>-30034</v>
      </c>
    </row>
    <row r="3635" spans="1:6" x14ac:dyDescent="0.2">
      <c r="A3635" s="91">
        <v>45783</v>
      </c>
      <c r="B3635" s="45"/>
      <c r="C3635" s="20" t="s">
        <v>424</v>
      </c>
      <c r="D3635" s="18">
        <v>30038</v>
      </c>
      <c r="E3635" s="19"/>
      <c r="F3635" s="15">
        <f t="shared" si="56"/>
        <v>-30038</v>
      </c>
    </row>
    <row r="3636" spans="1:6" x14ac:dyDescent="0.2">
      <c r="A3636" s="91">
        <v>45792</v>
      </c>
      <c r="B3636" s="45"/>
      <c r="C3636" s="20" t="s">
        <v>443</v>
      </c>
      <c r="D3636" s="18">
        <v>30.54</v>
      </c>
      <c r="E3636" s="19"/>
      <c r="F3636" s="15">
        <f t="shared" si="56"/>
        <v>-30.54</v>
      </c>
    </row>
    <row r="3637" spans="1:6" x14ac:dyDescent="0.2">
      <c r="A3637" s="91">
        <v>45756</v>
      </c>
      <c r="B3637" s="51"/>
      <c r="C3637" s="56" t="s">
        <v>384</v>
      </c>
      <c r="D3637" s="48">
        <v>316.5</v>
      </c>
      <c r="E3637" s="49"/>
      <c r="F3637" s="15">
        <f t="shared" si="56"/>
        <v>-316.5</v>
      </c>
    </row>
    <row r="3638" spans="1:6" x14ac:dyDescent="0.2">
      <c r="A3638" s="91">
        <v>45757</v>
      </c>
      <c r="B3638" s="50"/>
      <c r="C3638" s="57" t="s">
        <v>387</v>
      </c>
      <c r="D3638" s="23">
        <v>32</v>
      </c>
      <c r="E3638" s="24"/>
      <c r="F3638" s="15">
        <f t="shared" si="56"/>
        <v>-32</v>
      </c>
    </row>
    <row r="3639" spans="1:6" x14ac:dyDescent="0.2">
      <c r="A3639" s="91">
        <v>45761</v>
      </c>
      <c r="B3639" s="45"/>
      <c r="C3639" s="20" t="s">
        <v>387</v>
      </c>
      <c r="D3639" s="18">
        <v>32</v>
      </c>
      <c r="E3639" s="19"/>
      <c r="F3639" s="15">
        <f t="shared" si="56"/>
        <v>-32</v>
      </c>
    </row>
    <row r="3640" spans="1:6" x14ac:dyDescent="0.2">
      <c r="A3640" s="91">
        <v>45775</v>
      </c>
      <c r="B3640" s="45"/>
      <c r="C3640" s="20" t="s">
        <v>387</v>
      </c>
      <c r="D3640" s="18">
        <v>32</v>
      </c>
      <c r="E3640" s="19"/>
      <c r="F3640" s="15">
        <f t="shared" si="56"/>
        <v>-32</v>
      </c>
    </row>
    <row r="3641" spans="1:6" x14ac:dyDescent="0.2">
      <c r="A3641" s="91">
        <v>45784</v>
      </c>
      <c r="B3641" s="45"/>
      <c r="C3641" s="20" t="s">
        <v>387</v>
      </c>
      <c r="D3641" s="18">
        <v>32</v>
      </c>
      <c r="E3641" s="19"/>
      <c r="F3641" s="15">
        <f t="shared" si="56"/>
        <v>-32</v>
      </c>
    </row>
    <row r="3642" spans="1:6" x14ac:dyDescent="0.2">
      <c r="A3642" s="91">
        <v>45803</v>
      </c>
      <c r="B3642" s="45"/>
      <c r="C3642" s="20" t="s">
        <v>387</v>
      </c>
      <c r="D3642" s="18">
        <v>32</v>
      </c>
      <c r="E3642" s="19"/>
      <c r="F3642" s="15">
        <f t="shared" si="56"/>
        <v>-32</v>
      </c>
    </row>
    <row r="3643" spans="1:6" x14ac:dyDescent="0.2">
      <c r="A3643" s="91">
        <v>45728</v>
      </c>
      <c r="B3643" s="45"/>
      <c r="C3643" s="20" t="s">
        <v>349</v>
      </c>
      <c r="D3643" s="18">
        <v>34.4</v>
      </c>
      <c r="E3643" s="19"/>
      <c r="F3643" s="15">
        <f t="shared" si="56"/>
        <v>-34.4</v>
      </c>
    </row>
    <row r="3644" spans="1:6" x14ac:dyDescent="0.2">
      <c r="A3644" s="91">
        <v>45573</v>
      </c>
      <c r="B3644" s="45"/>
      <c r="C3644" s="20" t="s">
        <v>110</v>
      </c>
      <c r="D3644" s="18">
        <v>35.130000000000003</v>
      </c>
      <c r="E3644" s="19"/>
      <c r="F3644" s="15">
        <f t="shared" si="56"/>
        <v>-35.130000000000003</v>
      </c>
    </row>
    <row r="3645" spans="1:6" x14ac:dyDescent="0.2">
      <c r="A3645" s="91">
        <v>45758</v>
      </c>
      <c r="B3645" s="45"/>
      <c r="C3645" s="20" t="s">
        <v>394</v>
      </c>
      <c r="D3645" s="18">
        <v>36.200000000000003</v>
      </c>
      <c r="E3645" s="19"/>
      <c r="F3645" s="15">
        <f t="shared" si="56"/>
        <v>-36.200000000000003</v>
      </c>
    </row>
    <row r="3646" spans="1:6" x14ac:dyDescent="0.2">
      <c r="A3646" s="91">
        <v>45799</v>
      </c>
      <c r="B3646" s="45"/>
      <c r="C3646" s="20" t="s">
        <v>452</v>
      </c>
      <c r="D3646" s="18">
        <v>37</v>
      </c>
      <c r="E3646" s="19"/>
      <c r="F3646" s="15">
        <f t="shared" si="56"/>
        <v>-37</v>
      </c>
    </row>
    <row r="3647" spans="1:6" x14ac:dyDescent="0.2">
      <c r="A3647" s="91">
        <v>45762</v>
      </c>
      <c r="B3647" s="45"/>
      <c r="C3647" s="20" t="s">
        <v>397</v>
      </c>
      <c r="D3647" s="18">
        <v>38</v>
      </c>
      <c r="E3647" s="19"/>
      <c r="F3647" s="15">
        <f t="shared" si="56"/>
        <v>-38</v>
      </c>
    </row>
    <row r="3648" spans="1:6" x14ac:dyDescent="0.2">
      <c r="A3648" s="91">
        <v>45776</v>
      </c>
      <c r="B3648" s="45"/>
      <c r="C3648" s="20" t="s">
        <v>417</v>
      </c>
      <c r="D3648" s="25">
        <v>38946.019999999997</v>
      </c>
      <c r="E3648" s="19"/>
      <c r="F3648" s="15">
        <f t="shared" si="56"/>
        <v>-38946.019999999997</v>
      </c>
    </row>
    <row r="3649" spans="1:6" x14ac:dyDescent="0.2">
      <c r="A3649" s="91">
        <v>45582</v>
      </c>
      <c r="B3649" s="45"/>
      <c r="C3649" s="20" t="s">
        <v>121</v>
      </c>
      <c r="D3649" s="18">
        <v>4012.19</v>
      </c>
      <c r="E3649" s="19"/>
      <c r="F3649" s="15">
        <f t="shared" si="56"/>
        <v>-4012.19</v>
      </c>
    </row>
    <row r="3650" spans="1:6" x14ac:dyDescent="0.2">
      <c r="A3650" s="91">
        <v>45747</v>
      </c>
      <c r="B3650" s="45"/>
      <c r="C3650" s="20" t="s">
        <v>376</v>
      </c>
      <c r="D3650" s="18">
        <v>40000</v>
      </c>
      <c r="E3650" s="19"/>
      <c r="F3650" s="15">
        <f t="shared" si="56"/>
        <v>-40000</v>
      </c>
    </row>
    <row r="3651" spans="1:6" x14ac:dyDescent="0.2">
      <c r="A3651" s="91">
        <v>45594</v>
      </c>
      <c r="B3651" s="45"/>
      <c r="C3651" s="20" t="s">
        <v>136</v>
      </c>
      <c r="D3651" s="18">
        <v>40.08</v>
      </c>
      <c r="E3651" s="19"/>
      <c r="F3651" s="15">
        <f t="shared" ref="F3651:F3714" si="57">+E3651-D3651</f>
        <v>-40.08</v>
      </c>
    </row>
    <row r="3652" spans="1:6" x14ac:dyDescent="0.2">
      <c r="A3652" s="91">
        <v>45818</v>
      </c>
      <c r="B3652" s="45"/>
      <c r="C3652" s="20" t="s">
        <v>486</v>
      </c>
      <c r="D3652" s="18">
        <v>41.39</v>
      </c>
      <c r="E3652" s="19"/>
      <c r="F3652" s="15">
        <f t="shared" si="57"/>
        <v>-41.39</v>
      </c>
    </row>
    <row r="3653" spans="1:6" x14ac:dyDescent="0.2">
      <c r="A3653" s="91">
        <v>45838</v>
      </c>
      <c r="B3653" s="45"/>
      <c r="C3653" s="20" t="s">
        <v>510</v>
      </c>
      <c r="D3653" s="18">
        <v>44.14</v>
      </c>
      <c r="E3653" s="19"/>
      <c r="F3653" s="15">
        <f t="shared" si="57"/>
        <v>-44.14</v>
      </c>
    </row>
    <row r="3654" spans="1:6" x14ac:dyDescent="0.2">
      <c r="A3654" s="91">
        <v>45777</v>
      </c>
      <c r="B3654" s="45"/>
      <c r="C3654" s="20" t="s">
        <v>420</v>
      </c>
      <c r="D3654" s="18">
        <v>475.75</v>
      </c>
      <c r="E3654" s="19"/>
      <c r="F3654" s="15">
        <f t="shared" si="57"/>
        <v>-475.75</v>
      </c>
    </row>
    <row r="3655" spans="1:6" x14ac:dyDescent="0.2">
      <c r="A3655" s="91">
        <v>45727</v>
      </c>
      <c r="B3655" s="45"/>
      <c r="C3655" s="20" t="s">
        <v>347</v>
      </c>
      <c r="D3655" s="18">
        <v>48.95</v>
      </c>
      <c r="E3655" s="19"/>
      <c r="F3655" s="15">
        <f t="shared" si="57"/>
        <v>-48.95</v>
      </c>
    </row>
    <row r="3656" spans="1:6" x14ac:dyDescent="0.2">
      <c r="A3656" s="91">
        <v>45589</v>
      </c>
      <c r="B3656" s="45"/>
      <c r="C3656" s="20" t="s">
        <v>132</v>
      </c>
      <c r="D3656" s="18">
        <v>491.08</v>
      </c>
      <c r="E3656" s="19"/>
      <c r="F3656" s="15">
        <f t="shared" si="57"/>
        <v>-491.08</v>
      </c>
    </row>
    <row r="3657" spans="1:6" x14ac:dyDescent="0.2">
      <c r="A3657" s="91">
        <v>45754</v>
      </c>
      <c r="B3657" s="45"/>
      <c r="C3657" s="20" t="s">
        <v>382</v>
      </c>
      <c r="D3657" s="18">
        <v>50</v>
      </c>
      <c r="E3657" s="19"/>
      <c r="F3657" s="15">
        <f t="shared" si="57"/>
        <v>-50</v>
      </c>
    </row>
    <row r="3658" spans="1:6" x14ac:dyDescent="0.2">
      <c r="A3658" s="91">
        <v>45722</v>
      </c>
      <c r="B3658" s="45"/>
      <c r="C3658" s="20" t="s">
        <v>337</v>
      </c>
      <c r="D3658" s="18">
        <v>50292.04</v>
      </c>
      <c r="E3658" s="19"/>
      <c r="F3658" s="15">
        <f t="shared" si="57"/>
        <v>-50292.04</v>
      </c>
    </row>
    <row r="3659" spans="1:6" x14ac:dyDescent="0.2">
      <c r="A3659" s="91">
        <v>45596</v>
      </c>
      <c r="B3659" s="45"/>
      <c r="C3659" s="20" t="s">
        <v>142</v>
      </c>
      <c r="D3659" s="18">
        <v>544.92999999999995</v>
      </c>
      <c r="E3659" s="19"/>
      <c r="F3659" s="15">
        <f t="shared" si="57"/>
        <v>-544.92999999999995</v>
      </c>
    </row>
    <row r="3660" spans="1:6" x14ac:dyDescent="0.2">
      <c r="A3660" s="91">
        <v>45786</v>
      </c>
      <c r="B3660" s="45"/>
      <c r="C3660" s="20" t="s">
        <v>434</v>
      </c>
      <c r="D3660" s="18">
        <v>57327.88</v>
      </c>
      <c r="E3660" s="19"/>
      <c r="F3660" s="15">
        <f t="shared" si="57"/>
        <v>-57327.88</v>
      </c>
    </row>
    <row r="3661" spans="1:6" x14ac:dyDescent="0.2">
      <c r="A3661" s="91">
        <v>45811</v>
      </c>
      <c r="B3661" s="45"/>
      <c r="C3661" s="20" t="s">
        <v>473</v>
      </c>
      <c r="D3661" s="18">
        <v>583.20000000000005</v>
      </c>
      <c r="E3661" s="19"/>
      <c r="F3661" s="15">
        <f t="shared" si="57"/>
        <v>-583.20000000000005</v>
      </c>
    </row>
    <row r="3662" spans="1:6" x14ac:dyDescent="0.2">
      <c r="A3662" s="91">
        <v>45743</v>
      </c>
      <c r="B3662" s="45"/>
      <c r="C3662" s="20" t="s">
        <v>366</v>
      </c>
      <c r="D3662" s="18">
        <v>6057.01</v>
      </c>
      <c r="E3662" s="19"/>
      <c r="F3662" s="15">
        <f t="shared" si="57"/>
        <v>-6057.01</v>
      </c>
    </row>
    <row r="3663" spans="1:6" x14ac:dyDescent="0.2">
      <c r="A3663" s="91">
        <v>45834</v>
      </c>
      <c r="B3663" s="45"/>
      <c r="C3663" s="20" t="s">
        <v>507</v>
      </c>
      <c r="D3663" s="18">
        <v>6152.49</v>
      </c>
      <c r="E3663" s="19"/>
      <c r="F3663" s="15">
        <f t="shared" si="57"/>
        <v>-6152.49</v>
      </c>
    </row>
    <row r="3664" spans="1:6" x14ac:dyDescent="0.2">
      <c r="A3664" s="91">
        <v>45595</v>
      </c>
      <c r="B3664" s="51"/>
      <c r="C3664" s="56" t="s">
        <v>140</v>
      </c>
      <c r="D3664" s="48">
        <v>6864.57</v>
      </c>
      <c r="E3664" s="49"/>
      <c r="F3664" s="15">
        <f t="shared" si="57"/>
        <v>-6864.57</v>
      </c>
    </row>
    <row r="3665" spans="1:6" x14ac:dyDescent="0.2">
      <c r="A3665" s="91">
        <v>45730</v>
      </c>
      <c r="B3665" s="50"/>
      <c r="C3665" s="57" t="s">
        <v>352</v>
      </c>
      <c r="D3665" s="23">
        <v>61.26</v>
      </c>
      <c r="E3665" s="24"/>
      <c r="F3665" s="15">
        <f t="shared" si="57"/>
        <v>-61.26</v>
      </c>
    </row>
    <row r="3666" spans="1:6" x14ac:dyDescent="0.2">
      <c r="A3666" s="91">
        <v>45768</v>
      </c>
      <c r="B3666" s="45"/>
      <c r="C3666" s="20" t="s">
        <v>401</v>
      </c>
      <c r="D3666" s="18">
        <v>632.37</v>
      </c>
      <c r="E3666" s="19"/>
      <c r="F3666" s="15">
        <f t="shared" si="57"/>
        <v>-632.37</v>
      </c>
    </row>
    <row r="3667" spans="1:6" x14ac:dyDescent="0.2">
      <c r="A3667" s="91">
        <v>45785</v>
      </c>
      <c r="B3667" s="45"/>
      <c r="C3667" s="20" t="s">
        <v>430</v>
      </c>
      <c r="D3667" s="18">
        <v>646.46</v>
      </c>
      <c r="E3667" s="19"/>
      <c r="F3667" s="15">
        <f t="shared" si="57"/>
        <v>-646.46</v>
      </c>
    </row>
    <row r="3668" spans="1:6" x14ac:dyDescent="0.2">
      <c r="A3668" s="91">
        <v>45814</v>
      </c>
      <c r="B3668" s="45"/>
      <c r="C3668" s="20" t="s">
        <v>479</v>
      </c>
      <c r="D3668" s="18">
        <v>72.09</v>
      </c>
      <c r="E3668" s="19"/>
      <c r="F3668" s="15">
        <f t="shared" si="57"/>
        <v>-72.09</v>
      </c>
    </row>
    <row r="3669" spans="1:6" x14ac:dyDescent="0.2">
      <c r="A3669" s="91">
        <v>45733</v>
      </c>
      <c r="B3669" s="45"/>
      <c r="C3669" s="20" t="s">
        <v>354</v>
      </c>
      <c r="D3669" s="18">
        <v>74</v>
      </c>
      <c r="E3669" s="19"/>
      <c r="F3669" s="15">
        <f t="shared" si="57"/>
        <v>-74</v>
      </c>
    </row>
    <row r="3670" spans="1:6" x14ac:dyDescent="0.2">
      <c r="A3670" s="91">
        <v>45583</v>
      </c>
      <c r="B3670" s="45"/>
      <c r="C3670" s="20" t="s">
        <v>127</v>
      </c>
      <c r="D3670" s="18">
        <v>80.55</v>
      </c>
      <c r="E3670" s="19"/>
      <c r="F3670" s="15">
        <f t="shared" si="57"/>
        <v>-80.55</v>
      </c>
    </row>
    <row r="3671" spans="1:6" x14ac:dyDescent="0.2">
      <c r="A3671" s="91">
        <v>45748</v>
      </c>
      <c r="B3671" s="45"/>
      <c r="C3671" s="20" t="s">
        <v>377</v>
      </c>
      <c r="D3671" s="18">
        <v>832.83</v>
      </c>
      <c r="E3671" s="19"/>
      <c r="F3671" s="15">
        <f t="shared" si="57"/>
        <v>-832.83</v>
      </c>
    </row>
    <row r="3672" spans="1:6" x14ac:dyDescent="0.2">
      <c r="A3672" s="91">
        <v>45736</v>
      </c>
      <c r="B3672" s="45"/>
      <c r="C3672" s="20" t="s">
        <v>361</v>
      </c>
      <c r="D3672" s="18">
        <v>86.1</v>
      </c>
      <c r="E3672" s="19"/>
      <c r="F3672" s="15">
        <f t="shared" si="57"/>
        <v>-86.1</v>
      </c>
    </row>
    <row r="3673" spans="1:6" x14ac:dyDescent="0.2">
      <c r="A3673" s="91">
        <v>45793</v>
      </c>
      <c r="B3673" s="45"/>
      <c r="C3673" s="20" t="s">
        <v>445</v>
      </c>
      <c r="D3673" s="18">
        <v>874.38</v>
      </c>
      <c r="E3673" s="19"/>
      <c r="F3673" s="15">
        <f t="shared" si="57"/>
        <v>-874.38</v>
      </c>
    </row>
    <row r="3674" spans="1:6" x14ac:dyDescent="0.2">
      <c r="A3674" s="91">
        <v>45806</v>
      </c>
      <c r="B3674" s="45"/>
      <c r="C3674" s="20" t="s">
        <v>462</v>
      </c>
      <c r="D3674" s="18">
        <v>92.93</v>
      </c>
      <c r="E3674" s="19"/>
      <c r="F3674" s="15">
        <f t="shared" si="57"/>
        <v>-92.93</v>
      </c>
    </row>
    <row r="3675" spans="1:6" x14ac:dyDescent="0.2">
      <c r="A3675" s="91">
        <v>45832</v>
      </c>
      <c r="B3675" s="45"/>
      <c r="C3675" s="20" t="s">
        <v>499</v>
      </c>
      <c r="D3675" s="18">
        <v>937.07</v>
      </c>
      <c r="E3675" s="19"/>
      <c r="F3675" s="15">
        <f t="shared" si="57"/>
        <v>-937.07</v>
      </c>
    </row>
    <row r="3676" spans="1:6" x14ac:dyDescent="0.2">
      <c r="A3676" s="91">
        <v>45817</v>
      </c>
      <c r="B3676" s="45"/>
      <c r="C3676" s="20" t="s">
        <v>484</v>
      </c>
      <c r="D3676" s="18">
        <v>10120.86</v>
      </c>
      <c r="E3676" s="19"/>
      <c r="F3676" s="15">
        <f t="shared" si="57"/>
        <v>-10120.86</v>
      </c>
    </row>
    <row r="3677" spans="1:6" x14ac:dyDescent="0.2">
      <c r="A3677" s="91">
        <v>45782</v>
      </c>
      <c r="B3677" s="45"/>
      <c r="C3677" s="20" t="s">
        <v>421</v>
      </c>
      <c r="D3677" s="18">
        <v>100000</v>
      </c>
      <c r="E3677" s="19"/>
      <c r="F3677" s="15">
        <f t="shared" si="57"/>
        <v>-100000</v>
      </c>
    </row>
    <row r="3678" spans="1:6" x14ac:dyDescent="0.2">
      <c r="A3678" s="91">
        <v>45807</v>
      </c>
      <c r="B3678" s="45"/>
      <c r="C3678" s="20" t="s">
        <v>464</v>
      </c>
      <c r="D3678" s="18">
        <v>105826.37</v>
      </c>
      <c r="E3678" s="19"/>
      <c r="F3678" s="15">
        <f t="shared" si="57"/>
        <v>-105826.37</v>
      </c>
    </row>
    <row r="3679" spans="1:6" x14ac:dyDescent="0.2">
      <c r="A3679" s="91">
        <v>45726</v>
      </c>
      <c r="B3679" s="45"/>
      <c r="C3679" s="20" t="s">
        <v>344</v>
      </c>
      <c r="D3679" s="18">
        <v>117.04</v>
      </c>
      <c r="E3679" s="19"/>
      <c r="F3679" s="15">
        <f t="shared" si="57"/>
        <v>-117.04</v>
      </c>
    </row>
    <row r="3680" spans="1:6" x14ac:dyDescent="0.2">
      <c r="A3680" s="91">
        <v>45819</v>
      </c>
      <c r="B3680" s="45"/>
      <c r="C3680" s="20" t="s">
        <v>487</v>
      </c>
      <c r="D3680" s="18">
        <v>12208.11</v>
      </c>
      <c r="E3680" s="19"/>
      <c r="F3680" s="15">
        <f t="shared" si="57"/>
        <v>-12208.11</v>
      </c>
    </row>
    <row r="3681" spans="1:8" x14ac:dyDescent="0.2">
      <c r="A3681" s="91">
        <v>45810</v>
      </c>
      <c r="B3681" s="45"/>
      <c r="C3681" s="20" t="s">
        <v>467</v>
      </c>
      <c r="D3681" s="18">
        <v>1249.47</v>
      </c>
      <c r="E3681" s="19"/>
      <c r="F3681" s="15">
        <f t="shared" si="57"/>
        <v>-1249.47</v>
      </c>
    </row>
    <row r="3682" spans="1:8" x14ac:dyDescent="0.2">
      <c r="A3682" s="91">
        <v>45580</v>
      </c>
      <c r="B3682" s="45"/>
      <c r="C3682" s="20" t="s">
        <v>114</v>
      </c>
      <c r="D3682" s="18">
        <v>139.61000000000001</v>
      </c>
      <c r="E3682" s="19"/>
      <c r="F3682" s="15">
        <f t="shared" si="57"/>
        <v>-139.61000000000001</v>
      </c>
    </row>
    <row r="3683" spans="1:8" x14ac:dyDescent="0.2">
      <c r="A3683" s="91">
        <v>45873</v>
      </c>
      <c r="B3683" s="45"/>
      <c r="C3683" s="20" t="s">
        <v>566</v>
      </c>
      <c r="D3683" s="18">
        <v>140000</v>
      </c>
      <c r="E3683" s="19"/>
      <c r="F3683" s="15">
        <f t="shared" si="57"/>
        <v>-140000</v>
      </c>
    </row>
    <row r="3684" spans="1:8" x14ac:dyDescent="0.2">
      <c r="A3684" s="91">
        <v>45572</v>
      </c>
      <c r="B3684" s="45"/>
      <c r="C3684" s="20" t="s">
        <v>107</v>
      </c>
      <c r="D3684" s="18">
        <v>144.04</v>
      </c>
      <c r="E3684" s="19"/>
      <c r="F3684" s="15">
        <f t="shared" si="57"/>
        <v>-144.04</v>
      </c>
    </row>
    <row r="3685" spans="1:8" x14ac:dyDescent="0.2">
      <c r="A3685" s="91">
        <v>45825</v>
      </c>
      <c r="B3685" s="45"/>
      <c r="C3685" s="20" t="s">
        <v>492</v>
      </c>
      <c r="D3685" s="18">
        <v>144.72999999999999</v>
      </c>
      <c r="E3685" s="19"/>
      <c r="F3685" s="15">
        <f t="shared" si="57"/>
        <v>-144.72999999999999</v>
      </c>
    </row>
    <row r="3686" spans="1:8" x14ac:dyDescent="0.2">
      <c r="A3686" s="91">
        <v>45812</v>
      </c>
      <c r="B3686" s="45"/>
      <c r="C3686" s="20" t="s">
        <v>476</v>
      </c>
      <c r="D3686" s="18">
        <v>148.09</v>
      </c>
      <c r="E3686" s="19"/>
      <c r="F3686" s="15">
        <f t="shared" si="57"/>
        <v>-148.09</v>
      </c>
    </row>
    <row r="3687" spans="1:8" x14ac:dyDescent="0.2">
      <c r="A3687" s="91">
        <v>45763</v>
      </c>
      <c r="B3687" s="45"/>
      <c r="C3687" s="20" t="s">
        <v>399</v>
      </c>
      <c r="D3687" s="18">
        <v>157.46</v>
      </c>
      <c r="E3687" s="19"/>
      <c r="F3687" s="15">
        <f t="shared" si="57"/>
        <v>-157.46</v>
      </c>
    </row>
    <row r="3688" spans="1:8" x14ac:dyDescent="0.2">
      <c r="A3688" s="91">
        <v>45791</v>
      </c>
      <c r="B3688" s="45"/>
      <c r="C3688" s="20" t="s">
        <v>441</v>
      </c>
      <c r="D3688" s="18">
        <v>193.89</v>
      </c>
      <c r="E3688" s="19"/>
      <c r="F3688" s="15">
        <f t="shared" si="57"/>
        <v>-193.89</v>
      </c>
    </row>
    <row r="3689" spans="1:8" x14ac:dyDescent="0.2">
      <c r="A3689" s="91">
        <v>45538</v>
      </c>
      <c r="B3689" s="74"/>
      <c r="C3689" s="56" t="s">
        <v>23</v>
      </c>
      <c r="D3689" s="48">
        <v>1085.04</v>
      </c>
      <c r="E3689" s="49"/>
      <c r="F3689" s="15">
        <f t="shared" si="57"/>
        <v>-1085.04</v>
      </c>
      <c r="H3689" s="10"/>
    </row>
    <row r="3690" spans="1:8" x14ac:dyDescent="0.2">
      <c r="A3690" s="91">
        <v>45552</v>
      </c>
      <c r="B3690" s="27"/>
      <c r="C3690" s="57" t="s">
        <v>58</v>
      </c>
      <c r="D3690" s="23">
        <v>116.6</v>
      </c>
      <c r="E3690" s="24"/>
      <c r="F3690" s="15">
        <f t="shared" si="57"/>
        <v>-116.6</v>
      </c>
      <c r="H3690" s="10"/>
    </row>
    <row r="3691" spans="1:8" x14ac:dyDescent="0.2">
      <c r="A3691" s="91">
        <v>45554</v>
      </c>
      <c r="B3691" s="26"/>
      <c r="C3691" s="20" t="s">
        <v>73</v>
      </c>
      <c r="D3691" s="18">
        <v>1183.74</v>
      </c>
      <c r="E3691" s="19"/>
      <c r="F3691" s="15">
        <f t="shared" si="57"/>
        <v>-1183.74</v>
      </c>
      <c r="H3691" s="10"/>
    </row>
    <row r="3692" spans="1:8" x14ac:dyDescent="0.2">
      <c r="A3692" s="91">
        <v>45559</v>
      </c>
      <c r="B3692" s="26"/>
      <c r="C3692" s="20" t="s">
        <v>83</v>
      </c>
      <c r="D3692" s="18">
        <v>1362.96</v>
      </c>
      <c r="E3692" s="19"/>
      <c r="F3692" s="15">
        <f t="shared" si="57"/>
        <v>-1362.96</v>
      </c>
      <c r="H3692" s="10"/>
    </row>
    <row r="3693" spans="1:8" x14ac:dyDescent="0.2">
      <c r="A3693" s="91">
        <v>45539</v>
      </c>
      <c r="B3693" s="26"/>
      <c r="C3693" s="20" t="s">
        <v>25</v>
      </c>
      <c r="D3693" s="18">
        <v>1597.01</v>
      </c>
      <c r="E3693" s="19"/>
      <c r="F3693" s="15">
        <f t="shared" si="57"/>
        <v>-1597.01</v>
      </c>
      <c r="H3693" s="10"/>
    </row>
    <row r="3694" spans="1:8" x14ac:dyDescent="0.2">
      <c r="A3694" s="91">
        <v>45561</v>
      </c>
      <c r="B3694" s="26"/>
      <c r="C3694" s="20" t="s">
        <v>91</v>
      </c>
      <c r="D3694" s="18">
        <v>173489.91</v>
      </c>
      <c r="E3694" s="19"/>
      <c r="F3694" s="15">
        <f t="shared" si="57"/>
        <v>-173489.91</v>
      </c>
      <c r="H3694" s="10"/>
    </row>
    <row r="3695" spans="1:8" x14ac:dyDescent="0.2">
      <c r="A3695" s="91">
        <v>45555</v>
      </c>
      <c r="B3695" s="26"/>
      <c r="C3695" s="20" t="s">
        <v>75</v>
      </c>
      <c r="D3695" s="18">
        <v>195.4</v>
      </c>
      <c r="E3695" s="19"/>
      <c r="F3695" s="15">
        <f t="shared" si="57"/>
        <v>-195.4</v>
      </c>
      <c r="H3695" s="10"/>
    </row>
    <row r="3696" spans="1:8" x14ac:dyDescent="0.2">
      <c r="A3696" s="91">
        <v>45546</v>
      </c>
      <c r="B3696" s="26"/>
      <c r="C3696" s="20" t="s">
        <v>39</v>
      </c>
      <c r="D3696" s="18">
        <v>305.91000000000003</v>
      </c>
      <c r="E3696" s="19"/>
      <c r="F3696" s="15">
        <f t="shared" si="57"/>
        <v>-305.91000000000003</v>
      </c>
      <c r="H3696" s="10"/>
    </row>
    <row r="3697" spans="1:8" x14ac:dyDescent="0.2">
      <c r="A3697" s="91">
        <v>45565</v>
      </c>
      <c r="B3697" s="45"/>
      <c r="C3697" s="20" t="s">
        <v>96</v>
      </c>
      <c r="D3697" s="18">
        <v>4733.18</v>
      </c>
      <c r="E3697" s="19"/>
      <c r="F3697" s="15">
        <f t="shared" si="57"/>
        <v>-4733.18</v>
      </c>
    </row>
    <row r="3698" spans="1:8" x14ac:dyDescent="0.2">
      <c r="A3698" s="91">
        <v>45548</v>
      </c>
      <c r="B3698" s="26"/>
      <c r="C3698" s="20" t="s">
        <v>45</v>
      </c>
      <c r="D3698" s="18">
        <v>75</v>
      </c>
      <c r="E3698" s="19"/>
      <c r="F3698" s="15">
        <f t="shared" si="57"/>
        <v>-75</v>
      </c>
      <c r="H3698" s="10"/>
    </row>
    <row r="3699" spans="1:8" x14ac:dyDescent="0.2">
      <c r="A3699" s="91">
        <v>45547</v>
      </c>
      <c r="B3699" s="26"/>
      <c r="C3699" s="20" t="s">
        <v>42</v>
      </c>
      <c r="D3699" s="18">
        <v>757.53</v>
      </c>
      <c r="E3699" s="19"/>
      <c r="F3699" s="15">
        <f t="shared" si="57"/>
        <v>-757.53</v>
      </c>
      <c r="H3699" s="10"/>
    </row>
    <row r="3700" spans="1:8" x14ac:dyDescent="0.2">
      <c r="A3700" s="91">
        <v>45551</v>
      </c>
      <c r="B3700" s="26"/>
      <c r="C3700" s="20" t="s">
        <v>47</v>
      </c>
      <c r="D3700" s="18">
        <v>799.66</v>
      </c>
      <c r="E3700" s="19"/>
      <c r="F3700" s="15">
        <f t="shared" si="57"/>
        <v>-799.66</v>
      </c>
      <c r="H3700" s="10"/>
    </row>
    <row r="3701" spans="1:8" x14ac:dyDescent="0.2">
      <c r="A3701" s="91">
        <v>45572</v>
      </c>
      <c r="B3701" s="43">
        <v>5359764</v>
      </c>
      <c r="C3701" s="17" t="s">
        <v>106</v>
      </c>
      <c r="D3701" s="25"/>
      <c r="E3701" s="25">
        <v>3009322.84</v>
      </c>
      <c r="F3701" s="15">
        <f t="shared" si="57"/>
        <v>3009322.84</v>
      </c>
    </row>
    <row r="3702" spans="1:8" x14ac:dyDescent="0.2">
      <c r="A3702" s="91">
        <v>45573</v>
      </c>
      <c r="B3702" s="43">
        <v>5376895</v>
      </c>
      <c r="C3702" s="17" t="s">
        <v>106</v>
      </c>
      <c r="D3702" s="25"/>
      <c r="E3702" s="25">
        <v>16018876.300000001</v>
      </c>
      <c r="F3702" s="15">
        <f t="shared" si="57"/>
        <v>16018876.300000001</v>
      </c>
    </row>
    <row r="3703" spans="1:8" x14ac:dyDescent="0.2">
      <c r="A3703" s="91">
        <v>45579</v>
      </c>
      <c r="B3703" s="43">
        <v>5421876</v>
      </c>
      <c r="C3703" s="17" t="s">
        <v>106</v>
      </c>
      <c r="D3703" s="25"/>
      <c r="E3703" s="25">
        <v>2008737.29</v>
      </c>
      <c r="F3703" s="15">
        <f t="shared" si="57"/>
        <v>2008737.29</v>
      </c>
    </row>
    <row r="3704" spans="1:8" x14ac:dyDescent="0.2">
      <c r="A3704" s="91">
        <v>45639</v>
      </c>
      <c r="B3704" s="43">
        <v>5885762</v>
      </c>
      <c r="C3704" s="17" t="s">
        <v>106</v>
      </c>
      <c r="D3704" s="25"/>
      <c r="E3704" s="25">
        <v>15012352.49</v>
      </c>
      <c r="F3704" s="15">
        <f t="shared" si="57"/>
        <v>15012352.49</v>
      </c>
    </row>
    <row r="3705" spans="1:8" x14ac:dyDescent="0.2">
      <c r="A3705" s="91">
        <v>45716</v>
      </c>
      <c r="B3705" s="43">
        <v>6455689</v>
      </c>
      <c r="C3705" s="17" t="s">
        <v>106</v>
      </c>
      <c r="D3705" s="25"/>
      <c r="E3705" s="25">
        <v>22950525.109999999</v>
      </c>
      <c r="F3705" s="15">
        <f t="shared" si="57"/>
        <v>22950525.109999999</v>
      </c>
    </row>
    <row r="3706" spans="1:8" x14ac:dyDescent="0.2">
      <c r="A3706" s="91">
        <v>45806</v>
      </c>
      <c r="B3706" s="43">
        <v>7111989</v>
      </c>
      <c r="C3706" s="17" t="s">
        <v>106</v>
      </c>
      <c r="D3706" s="25"/>
      <c r="E3706" s="25">
        <v>30021004.960000001</v>
      </c>
      <c r="F3706" s="15">
        <f t="shared" si="57"/>
        <v>30021004.960000001</v>
      </c>
    </row>
    <row r="3707" spans="1:8" x14ac:dyDescent="0.2">
      <c r="A3707" s="91">
        <v>45810</v>
      </c>
      <c r="B3707" s="43">
        <v>7135076</v>
      </c>
      <c r="C3707" s="17" t="s">
        <v>106</v>
      </c>
      <c r="D3707" s="25"/>
      <c r="E3707" s="25">
        <v>30060452.260000002</v>
      </c>
      <c r="F3707" s="15">
        <f t="shared" si="57"/>
        <v>30060452.260000002</v>
      </c>
    </row>
    <row r="3708" spans="1:8" x14ac:dyDescent="0.2">
      <c r="A3708" s="91">
        <v>45810</v>
      </c>
      <c r="B3708" s="43">
        <v>7140110</v>
      </c>
      <c r="C3708" s="17" t="s">
        <v>106</v>
      </c>
      <c r="D3708" s="25"/>
      <c r="E3708" s="25">
        <v>111510069.39</v>
      </c>
      <c r="F3708" s="15">
        <f t="shared" si="57"/>
        <v>111510069.39</v>
      </c>
    </row>
    <row r="3709" spans="1:8" x14ac:dyDescent="0.2">
      <c r="A3709" s="91">
        <v>45834</v>
      </c>
      <c r="B3709" s="43">
        <v>7327466</v>
      </c>
      <c r="C3709" s="17" t="s">
        <v>106</v>
      </c>
      <c r="D3709" s="25"/>
      <c r="E3709" s="25">
        <v>60027419.950000003</v>
      </c>
      <c r="F3709" s="15">
        <f t="shared" si="57"/>
        <v>60027419.950000003</v>
      </c>
    </row>
    <row r="3710" spans="1:8" x14ac:dyDescent="0.2">
      <c r="A3710" s="91">
        <v>45839</v>
      </c>
      <c r="B3710" s="43">
        <v>7352569</v>
      </c>
      <c r="C3710" s="17" t="s">
        <v>106</v>
      </c>
      <c r="D3710" s="25"/>
      <c r="E3710" s="25">
        <v>40831706.119999997</v>
      </c>
      <c r="F3710" s="15">
        <f t="shared" si="57"/>
        <v>40831706.119999997</v>
      </c>
    </row>
    <row r="3711" spans="1:8" x14ac:dyDescent="0.2">
      <c r="A3711" s="91">
        <v>45895</v>
      </c>
      <c r="B3711" s="43">
        <v>7789486</v>
      </c>
      <c r="C3711" s="17" t="s">
        <v>106</v>
      </c>
      <c r="D3711" s="25"/>
      <c r="E3711" s="25">
        <v>21039421.16</v>
      </c>
      <c r="F3711" s="15">
        <f t="shared" si="57"/>
        <v>21039421.16</v>
      </c>
    </row>
    <row r="3712" spans="1:8" x14ac:dyDescent="0.2">
      <c r="A3712" s="91">
        <v>45898</v>
      </c>
      <c r="B3712" s="43">
        <v>7810670</v>
      </c>
      <c r="C3712" s="17" t="s">
        <v>106</v>
      </c>
      <c r="D3712" s="25"/>
      <c r="E3712" s="25">
        <v>100318931.38</v>
      </c>
      <c r="F3712" s="15">
        <f t="shared" si="57"/>
        <v>100318931.38</v>
      </c>
    </row>
    <row r="3713" spans="1:8" x14ac:dyDescent="0.2">
      <c r="A3713" s="91">
        <v>45596</v>
      </c>
      <c r="B3713" s="46">
        <v>6212187</v>
      </c>
      <c r="C3713" s="56" t="s">
        <v>141</v>
      </c>
      <c r="D3713" s="52">
        <v>11275346</v>
      </c>
      <c r="E3713" s="49"/>
      <c r="F3713" s="15">
        <f t="shared" si="57"/>
        <v>-11275346</v>
      </c>
    </row>
    <row r="3714" spans="1:8" x14ac:dyDescent="0.2">
      <c r="A3714" s="91">
        <v>45743</v>
      </c>
      <c r="B3714" s="50"/>
      <c r="C3714" s="59" t="s">
        <v>365</v>
      </c>
      <c r="D3714" s="23">
        <v>1000000</v>
      </c>
      <c r="E3714" s="24"/>
      <c r="F3714" s="15">
        <f t="shared" si="57"/>
        <v>-1000000</v>
      </c>
    </row>
    <row r="3715" spans="1:8" x14ac:dyDescent="0.2">
      <c r="A3715" s="91">
        <v>45566</v>
      </c>
      <c r="B3715" s="45"/>
      <c r="C3715" s="17" t="s">
        <v>6</v>
      </c>
      <c r="D3715" s="19"/>
      <c r="E3715" s="19"/>
      <c r="F3715" s="15">
        <f t="shared" ref="F3715:F3778" si="58">+E3715-D3715</f>
        <v>0</v>
      </c>
    </row>
    <row r="3716" spans="1:8" x14ac:dyDescent="0.2">
      <c r="A3716" s="91">
        <v>45597</v>
      </c>
      <c r="B3716" s="45"/>
      <c r="C3716" s="17" t="s">
        <v>6</v>
      </c>
      <c r="D3716" s="19"/>
      <c r="E3716" s="19"/>
      <c r="F3716" s="15">
        <f t="shared" si="58"/>
        <v>0</v>
      </c>
    </row>
    <row r="3717" spans="1:8" x14ac:dyDescent="0.2">
      <c r="A3717" s="91">
        <v>45626</v>
      </c>
      <c r="B3717" s="45"/>
      <c r="C3717" s="17" t="s">
        <v>6</v>
      </c>
      <c r="D3717" s="19"/>
      <c r="E3717" s="19"/>
      <c r="F3717" s="15">
        <f t="shared" si="58"/>
        <v>0</v>
      </c>
    </row>
    <row r="3718" spans="1:8" x14ac:dyDescent="0.2">
      <c r="A3718" s="91">
        <v>45657</v>
      </c>
      <c r="B3718" s="45"/>
      <c r="C3718" s="17" t="s">
        <v>6</v>
      </c>
      <c r="D3718" s="19"/>
      <c r="E3718" s="19"/>
      <c r="F3718" s="15">
        <f t="shared" si="58"/>
        <v>0</v>
      </c>
    </row>
    <row r="3719" spans="1:8" x14ac:dyDescent="0.2">
      <c r="A3719" s="91">
        <v>45689</v>
      </c>
      <c r="B3719" s="45"/>
      <c r="C3719" s="17" t="s">
        <v>6</v>
      </c>
      <c r="D3719" s="19"/>
      <c r="E3719" s="19"/>
      <c r="F3719" s="15">
        <f t="shared" si="58"/>
        <v>0</v>
      </c>
    </row>
    <row r="3720" spans="1:8" x14ac:dyDescent="0.2">
      <c r="A3720" s="91">
        <v>45717</v>
      </c>
      <c r="B3720" s="45"/>
      <c r="C3720" s="17" t="s">
        <v>6</v>
      </c>
      <c r="D3720" s="19"/>
      <c r="E3720" s="19"/>
      <c r="F3720" s="15">
        <f t="shared" si="58"/>
        <v>0</v>
      </c>
    </row>
    <row r="3721" spans="1:8" x14ac:dyDescent="0.2">
      <c r="A3721" s="91">
        <v>45748</v>
      </c>
      <c r="B3721" s="45"/>
      <c r="C3721" s="17" t="s">
        <v>6</v>
      </c>
      <c r="D3721" s="19"/>
      <c r="E3721" s="19"/>
      <c r="F3721" s="15">
        <f t="shared" si="58"/>
        <v>0</v>
      </c>
    </row>
    <row r="3722" spans="1:8" x14ac:dyDescent="0.2">
      <c r="A3722" s="91">
        <v>45778</v>
      </c>
      <c r="B3722" s="45"/>
      <c r="C3722" s="17" t="s">
        <v>6</v>
      </c>
      <c r="D3722" s="19"/>
      <c r="E3722" s="19"/>
      <c r="F3722" s="15">
        <f t="shared" si="58"/>
        <v>0</v>
      </c>
    </row>
    <row r="3723" spans="1:8" x14ac:dyDescent="0.2">
      <c r="A3723" s="91">
        <v>45808</v>
      </c>
      <c r="B3723" s="45"/>
      <c r="C3723" s="17" t="s">
        <v>6</v>
      </c>
      <c r="D3723" s="19"/>
      <c r="E3723" s="19"/>
      <c r="F3723" s="15">
        <f t="shared" si="58"/>
        <v>0</v>
      </c>
    </row>
    <row r="3724" spans="1:8" x14ac:dyDescent="0.2">
      <c r="A3724" s="91">
        <v>45839</v>
      </c>
      <c r="B3724" s="45"/>
      <c r="C3724" s="17" t="s">
        <v>6</v>
      </c>
      <c r="D3724" s="19"/>
      <c r="E3724" s="19"/>
      <c r="F3724" s="15">
        <f t="shared" si="58"/>
        <v>0</v>
      </c>
    </row>
    <row r="3725" spans="1:8" x14ac:dyDescent="0.2">
      <c r="A3725" s="91">
        <v>45870</v>
      </c>
      <c r="B3725" s="45"/>
      <c r="C3725" s="17" t="s">
        <v>6</v>
      </c>
      <c r="D3725" s="19"/>
      <c r="E3725" s="19"/>
      <c r="F3725" s="15">
        <f t="shared" si="58"/>
        <v>0</v>
      </c>
    </row>
    <row r="3726" spans="1:8" x14ac:dyDescent="0.2">
      <c r="A3726" s="91">
        <v>45841</v>
      </c>
      <c r="B3726" s="45"/>
      <c r="C3726" s="17" t="s">
        <v>521</v>
      </c>
      <c r="D3726" s="18">
        <v>429730</v>
      </c>
      <c r="E3726" s="19"/>
      <c r="F3726" s="15">
        <f t="shared" si="58"/>
        <v>-429730</v>
      </c>
    </row>
    <row r="3727" spans="1:8" x14ac:dyDescent="0.2">
      <c r="A3727" s="91">
        <v>45558</v>
      </c>
      <c r="B3727" s="16">
        <v>2331</v>
      </c>
      <c r="C3727" s="20" t="s">
        <v>76</v>
      </c>
      <c r="D3727" s="18">
        <v>600701</v>
      </c>
      <c r="E3727" s="19"/>
      <c r="F3727" s="15">
        <f t="shared" si="58"/>
        <v>-600701</v>
      </c>
      <c r="H3727" s="10"/>
    </row>
    <row r="3728" spans="1:8" x14ac:dyDescent="0.2">
      <c r="A3728" s="91">
        <v>45586</v>
      </c>
      <c r="B3728" s="43">
        <v>5623</v>
      </c>
      <c r="C3728" s="20" t="s">
        <v>76</v>
      </c>
      <c r="D3728" s="18">
        <v>600701</v>
      </c>
      <c r="E3728" s="19"/>
      <c r="F3728" s="15">
        <f t="shared" si="58"/>
        <v>-600701</v>
      </c>
    </row>
    <row r="3729" spans="1:8" x14ac:dyDescent="0.2">
      <c r="A3729" s="91">
        <v>45618</v>
      </c>
      <c r="B3729" s="43">
        <v>2120</v>
      </c>
      <c r="C3729" s="20" t="s">
        <v>76</v>
      </c>
      <c r="D3729" s="18">
        <v>600701</v>
      </c>
      <c r="E3729" s="19"/>
      <c r="F3729" s="15">
        <f t="shared" si="58"/>
        <v>-600701</v>
      </c>
    </row>
    <row r="3730" spans="1:8" x14ac:dyDescent="0.2">
      <c r="A3730" s="91">
        <v>45645</v>
      </c>
      <c r="B3730" s="43">
        <v>2583</v>
      </c>
      <c r="C3730" s="20" t="s">
        <v>76</v>
      </c>
      <c r="D3730" s="18">
        <v>600701</v>
      </c>
      <c r="E3730" s="19"/>
      <c r="F3730" s="15">
        <f t="shared" si="58"/>
        <v>-600701</v>
      </c>
    </row>
    <row r="3731" spans="1:8" x14ac:dyDescent="0.2">
      <c r="A3731" s="91">
        <v>45678</v>
      </c>
      <c r="B3731" s="43">
        <v>2733</v>
      </c>
      <c r="C3731" s="20" t="s">
        <v>76</v>
      </c>
      <c r="D3731" s="18">
        <v>600701</v>
      </c>
      <c r="E3731" s="19"/>
      <c r="F3731" s="15">
        <f t="shared" si="58"/>
        <v>-600701</v>
      </c>
    </row>
    <row r="3732" spans="1:8" x14ac:dyDescent="0.2">
      <c r="A3732" s="91">
        <v>45708</v>
      </c>
      <c r="B3732" s="43">
        <v>5409</v>
      </c>
      <c r="C3732" s="20" t="s">
        <v>76</v>
      </c>
      <c r="D3732" s="18">
        <v>600701</v>
      </c>
      <c r="E3732" s="19"/>
      <c r="F3732" s="15">
        <f t="shared" si="58"/>
        <v>-600701</v>
      </c>
    </row>
    <row r="3733" spans="1:8" x14ac:dyDescent="0.2">
      <c r="A3733" s="91">
        <v>45727</v>
      </c>
      <c r="B3733" s="43">
        <v>19628</v>
      </c>
      <c r="C3733" s="20" t="s">
        <v>76</v>
      </c>
      <c r="D3733" s="18">
        <v>159785</v>
      </c>
      <c r="E3733" s="19"/>
      <c r="F3733" s="15">
        <f t="shared" si="58"/>
        <v>-159785</v>
      </c>
    </row>
    <row r="3734" spans="1:8" x14ac:dyDescent="0.2">
      <c r="A3734" s="91">
        <v>45737</v>
      </c>
      <c r="B3734" s="43">
        <v>3231</v>
      </c>
      <c r="C3734" s="20" t="s">
        <v>76</v>
      </c>
      <c r="D3734" s="18">
        <v>600701</v>
      </c>
      <c r="E3734" s="19"/>
      <c r="F3734" s="15">
        <f t="shared" si="58"/>
        <v>-600701</v>
      </c>
    </row>
    <row r="3735" spans="1:8" x14ac:dyDescent="0.2">
      <c r="A3735" s="91">
        <v>45756</v>
      </c>
      <c r="B3735" s="43">
        <v>2786</v>
      </c>
      <c r="C3735" s="20" t="s">
        <v>76</v>
      </c>
      <c r="D3735" s="18">
        <v>159785</v>
      </c>
      <c r="E3735" s="19"/>
      <c r="F3735" s="15">
        <f t="shared" si="58"/>
        <v>-159785</v>
      </c>
    </row>
    <row r="3736" spans="1:8" x14ac:dyDescent="0.2">
      <c r="A3736" s="91">
        <v>45770</v>
      </c>
      <c r="B3736" s="43">
        <v>5336</v>
      </c>
      <c r="C3736" s="20" t="s">
        <v>76</v>
      </c>
      <c r="D3736" s="18">
        <v>600701</v>
      </c>
      <c r="E3736" s="19"/>
      <c r="F3736" s="15">
        <f t="shared" si="58"/>
        <v>-600701</v>
      </c>
    </row>
    <row r="3737" spans="1:8" x14ac:dyDescent="0.2">
      <c r="A3737" s="91">
        <v>45789</v>
      </c>
      <c r="B3737" s="43">
        <v>27339</v>
      </c>
      <c r="C3737" s="20" t="s">
        <v>76</v>
      </c>
      <c r="D3737" s="18">
        <v>159785</v>
      </c>
      <c r="E3737" s="19"/>
      <c r="F3737" s="15">
        <f t="shared" si="58"/>
        <v>-159785</v>
      </c>
    </row>
    <row r="3738" spans="1:8" x14ac:dyDescent="0.2">
      <c r="A3738" s="91">
        <v>45803</v>
      </c>
      <c r="B3738" s="46">
        <v>2367</v>
      </c>
      <c r="C3738" s="56" t="s">
        <v>76</v>
      </c>
      <c r="D3738" s="48">
        <v>600701</v>
      </c>
      <c r="E3738" s="49"/>
      <c r="F3738" s="15">
        <f t="shared" si="58"/>
        <v>-600701</v>
      </c>
    </row>
    <row r="3739" spans="1:8" x14ac:dyDescent="0.2">
      <c r="A3739" s="91">
        <v>45814</v>
      </c>
      <c r="B3739" s="44">
        <v>2523</v>
      </c>
      <c r="C3739" s="57" t="s">
        <v>76</v>
      </c>
      <c r="D3739" s="23">
        <v>159785</v>
      </c>
      <c r="E3739" s="24"/>
      <c r="F3739" s="15">
        <f t="shared" si="58"/>
        <v>-159785</v>
      </c>
    </row>
    <row r="3740" spans="1:8" x14ac:dyDescent="0.2">
      <c r="A3740" s="91">
        <v>45832</v>
      </c>
      <c r="B3740" s="43">
        <v>3480</v>
      </c>
      <c r="C3740" s="20" t="s">
        <v>76</v>
      </c>
      <c r="D3740" s="18">
        <v>600701</v>
      </c>
      <c r="E3740" s="19"/>
      <c r="F3740" s="15">
        <f t="shared" si="58"/>
        <v>-600701</v>
      </c>
    </row>
    <row r="3741" spans="1:8" x14ac:dyDescent="0.2">
      <c r="A3741" s="91">
        <v>45845</v>
      </c>
      <c r="B3741" s="43">
        <v>13947</v>
      </c>
      <c r="C3741" s="20" t="s">
        <v>76</v>
      </c>
      <c r="D3741" s="18">
        <v>159785.26</v>
      </c>
      <c r="E3741" s="19"/>
      <c r="F3741" s="15">
        <f t="shared" si="58"/>
        <v>-159785.26</v>
      </c>
    </row>
    <row r="3742" spans="1:8" x14ac:dyDescent="0.2">
      <c r="A3742" s="91">
        <v>45859</v>
      </c>
      <c r="B3742" s="43">
        <v>4960</v>
      </c>
      <c r="C3742" s="20" t="s">
        <v>76</v>
      </c>
      <c r="D3742" s="18">
        <v>600701</v>
      </c>
      <c r="E3742" s="19"/>
      <c r="F3742" s="15">
        <f t="shared" si="58"/>
        <v>-600701</v>
      </c>
    </row>
    <row r="3743" spans="1:8" x14ac:dyDescent="0.2">
      <c r="A3743" s="91">
        <v>45891</v>
      </c>
      <c r="B3743" s="43">
        <v>4184</v>
      </c>
      <c r="C3743" s="20" t="s">
        <v>76</v>
      </c>
      <c r="D3743" s="18">
        <v>603588.34</v>
      </c>
      <c r="E3743" s="19"/>
      <c r="F3743" s="15">
        <f t="shared" si="58"/>
        <v>-603588.34</v>
      </c>
    </row>
    <row r="3744" spans="1:8" x14ac:dyDescent="0.2">
      <c r="A3744" s="91">
        <v>45547</v>
      </c>
      <c r="B3744" s="16">
        <v>30916468</v>
      </c>
      <c r="C3744" s="17" t="s">
        <v>41</v>
      </c>
      <c r="D3744" s="18">
        <v>6000000</v>
      </c>
      <c r="E3744" s="19"/>
      <c r="F3744" s="15">
        <f t="shared" si="58"/>
        <v>-6000000</v>
      </c>
      <c r="H3744" s="10"/>
    </row>
    <row r="3745" spans="1:6" x14ac:dyDescent="0.2">
      <c r="A3745" s="91">
        <v>45663</v>
      </c>
      <c r="B3745" s="43">
        <v>35629470</v>
      </c>
      <c r="C3745" s="17" t="s">
        <v>41</v>
      </c>
      <c r="D3745" s="18">
        <v>20000000</v>
      </c>
      <c r="E3745" s="18"/>
      <c r="F3745" s="15">
        <f t="shared" si="58"/>
        <v>-20000000</v>
      </c>
    </row>
    <row r="3746" spans="1:6" x14ac:dyDescent="0.2">
      <c r="A3746" s="91">
        <v>45796</v>
      </c>
      <c r="B3746" s="43">
        <v>40943058</v>
      </c>
      <c r="C3746" s="17" t="s">
        <v>41</v>
      </c>
      <c r="D3746" s="18">
        <v>170000000</v>
      </c>
      <c r="E3746" s="19"/>
      <c r="F3746" s="15">
        <f t="shared" si="58"/>
        <v>-170000000</v>
      </c>
    </row>
    <row r="3747" spans="1:6" x14ac:dyDescent="0.2">
      <c r="A3747" s="91">
        <v>45825</v>
      </c>
      <c r="B3747" s="43">
        <v>42051421</v>
      </c>
      <c r="C3747" s="17" t="s">
        <v>41</v>
      </c>
      <c r="D3747" s="18">
        <v>100000000</v>
      </c>
      <c r="E3747" s="18"/>
      <c r="F3747" s="15">
        <f t="shared" si="58"/>
        <v>-100000000</v>
      </c>
    </row>
    <row r="3748" spans="1:6" x14ac:dyDescent="0.2">
      <c r="A3748" s="91">
        <v>45889</v>
      </c>
      <c r="B3748" s="43">
        <v>44618821</v>
      </c>
      <c r="C3748" s="17" t="s">
        <v>41</v>
      </c>
      <c r="D3748" s="18">
        <v>110000000</v>
      </c>
      <c r="E3748" s="19"/>
      <c r="F3748" s="15">
        <f t="shared" si="58"/>
        <v>-110000000</v>
      </c>
    </row>
    <row r="3749" spans="1:6" x14ac:dyDescent="0.2">
      <c r="A3749" s="91">
        <v>45890</v>
      </c>
      <c r="B3749" s="43">
        <v>44638928</v>
      </c>
      <c r="C3749" s="17" t="s">
        <v>41</v>
      </c>
      <c r="D3749" s="18">
        <v>175000000</v>
      </c>
      <c r="E3749" s="18"/>
      <c r="F3749" s="15">
        <f t="shared" si="58"/>
        <v>-175000000</v>
      </c>
    </row>
    <row r="3750" spans="1:6" x14ac:dyDescent="0.2">
      <c r="A3750" s="91">
        <v>45583</v>
      </c>
      <c r="B3750" s="43">
        <v>13253</v>
      </c>
      <c r="C3750" s="20" t="s">
        <v>126</v>
      </c>
      <c r="D3750" s="19"/>
      <c r="E3750" s="18">
        <v>40272.9</v>
      </c>
      <c r="F3750" s="15">
        <f t="shared" si="58"/>
        <v>40272.9</v>
      </c>
    </row>
    <row r="3751" spans="1:6" x14ac:dyDescent="0.2">
      <c r="A3751" s="91">
        <v>45786</v>
      </c>
      <c r="B3751" s="43">
        <v>12715</v>
      </c>
      <c r="C3751" s="20" t="s">
        <v>433</v>
      </c>
      <c r="D3751" s="25"/>
      <c r="E3751" s="25">
        <v>28613939.800000001</v>
      </c>
      <c r="F3751" s="15">
        <f t="shared" si="58"/>
        <v>28613939.800000001</v>
      </c>
    </row>
    <row r="3752" spans="1:6" x14ac:dyDescent="0.2">
      <c r="A3752" s="91">
        <v>45777</v>
      </c>
      <c r="B3752" s="43">
        <v>32288930</v>
      </c>
      <c r="C3752" s="20" t="s">
        <v>418</v>
      </c>
      <c r="D3752" s="19"/>
      <c r="E3752" s="18">
        <v>16000</v>
      </c>
      <c r="F3752" s="15">
        <f t="shared" si="58"/>
        <v>16000</v>
      </c>
    </row>
    <row r="3753" spans="1:6" x14ac:dyDescent="0.2">
      <c r="A3753" s="91">
        <v>45574</v>
      </c>
      <c r="B3753" s="43">
        <v>19364785</v>
      </c>
      <c r="C3753" s="20" t="s">
        <v>111</v>
      </c>
      <c r="D3753" s="19"/>
      <c r="E3753" s="18">
        <v>13700</v>
      </c>
      <c r="F3753" s="15">
        <f t="shared" si="58"/>
        <v>13700</v>
      </c>
    </row>
    <row r="3754" spans="1:6" x14ac:dyDescent="0.2">
      <c r="A3754" s="91">
        <v>45684</v>
      </c>
      <c r="B3754" s="43">
        <v>18549021</v>
      </c>
      <c r="C3754" s="20" t="s">
        <v>276</v>
      </c>
      <c r="D3754" s="19"/>
      <c r="E3754" s="18">
        <v>15000</v>
      </c>
      <c r="F3754" s="15">
        <f t="shared" si="58"/>
        <v>15000</v>
      </c>
    </row>
    <row r="3755" spans="1:6" x14ac:dyDescent="0.2">
      <c r="A3755" s="91">
        <v>45772</v>
      </c>
      <c r="B3755" s="43">
        <v>9139245</v>
      </c>
      <c r="C3755" s="20" t="s">
        <v>407</v>
      </c>
      <c r="D3755" s="19"/>
      <c r="E3755" s="18">
        <v>30000</v>
      </c>
      <c r="F3755" s="15">
        <f t="shared" si="58"/>
        <v>30000</v>
      </c>
    </row>
    <row r="3756" spans="1:6" x14ac:dyDescent="0.2">
      <c r="A3756" s="91">
        <v>45863</v>
      </c>
      <c r="B3756" s="43">
        <v>93421156</v>
      </c>
      <c r="C3756" s="20" t="s">
        <v>555</v>
      </c>
      <c r="D3756" s="18">
        <v>222000</v>
      </c>
      <c r="E3756" s="19"/>
      <c r="F3756" s="15">
        <f t="shared" si="58"/>
        <v>-222000</v>
      </c>
    </row>
    <row r="3757" spans="1:6" x14ac:dyDescent="0.2">
      <c r="A3757" s="91">
        <v>45712</v>
      </c>
      <c r="B3757" s="43">
        <v>73454584</v>
      </c>
      <c r="C3757" s="20" t="s">
        <v>318</v>
      </c>
      <c r="D3757" s="18">
        <v>222000</v>
      </c>
      <c r="E3757" s="19"/>
      <c r="F3757" s="15">
        <f t="shared" si="58"/>
        <v>-222000</v>
      </c>
    </row>
    <row r="3758" spans="1:6" x14ac:dyDescent="0.2">
      <c r="A3758" s="91">
        <v>45775</v>
      </c>
      <c r="B3758" s="43">
        <v>73862117</v>
      </c>
      <c r="C3758" s="20" t="s">
        <v>318</v>
      </c>
      <c r="D3758" s="18">
        <v>222000</v>
      </c>
      <c r="E3758" s="19"/>
      <c r="F3758" s="15">
        <f t="shared" si="58"/>
        <v>-222000</v>
      </c>
    </row>
    <row r="3759" spans="1:6" x14ac:dyDescent="0.2">
      <c r="A3759" s="91">
        <v>45800</v>
      </c>
      <c r="B3759" s="43">
        <v>92871886</v>
      </c>
      <c r="C3759" s="20" t="s">
        <v>318</v>
      </c>
      <c r="D3759" s="18">
        <v>222000</v>
      </c>
      <c r="E3759" s="19"/>
      <c r="F3759" s="15">
        <f t="shared" si="58"/>
        <v>-222000</v>
      </c>
    </row>
    <row r="3760" spans="1:6" x14ac:dyDescent="0.2">
      <c r="A3760" s="91">
        <v>45834</v>
      </c>
      <c r="B3760" s="43">
        <v>71838926</v>
      </c>
      <c r="C3760" s="20" t="s">
        <v>318</v>
      </c>
      <c r="D3760" s="18">
        <v>222000</v>
      </c>
      <c r="E3760" s="19"/>
      <c r="F3760" s="15">
        <f t="shared" si="58"/>
        <v>-222000</v>
      </c>
    </row>
    <row r="3761" spans="1:8" x14ac:dyDescent="0.2">
      <c r="A3761" s="91">
        <v>45897</v>
      </c>
      <c r="B3761" s="43">
        <v>72133551</v>
      </c>
      <c r="C3761" s="20" t="s">
        <v>318</v>
      </c>
      <c r="D3761" s="18">
        <v>222000</v>
      </c>
      <c r="E3761" s="19"/>
      <c r="F3761" s="15">
        <f t="shared" si="58"/>
        <v>-222000</v>
      </c>
    </row>
    <row r="3762" spans="1:8" x14ac:dyDescent="0.2">
      <c r="A3762" s="91">
        <v>45552</v>
      </c>
      <c r="B3762" s="16">
        <v>91612221</v>
      </c>
      <c r="C3762" s="20" t="s">
        <v>48</v>
      </c>
      <c r="D3762" s="18">
        <v>100500</v>
      </c>
      <c r="E3762" s="19"/>
      <c r="F3762" s="15">
        <f t="shared" si="58"/>
        <v>-100500</v>
      </c>
      <c r="H3762" s="10"/>
    </row>
    <row r="3763" spans="1:8" x14ac:dyDescent="0.2">
      <c r="A3763" s="91">
        <v>45558</v>
      </c>
      <c r="B3763" s="16">
        <v>95613996</v>
      </c>
      <c r="C3763" s="20" t="s">
        <v>48</v>
      </c>
      <c r="D3763" s="18">
        <v>303700</v>
      </c>
      <c r="E3763" s="19"/>
      <c r="F3763" s="15">
        <f t="shared" si="58"/>
        <v>-303700</v>
      </c>
      <c r="H3763" s="10"/>
    </row>
    <row r="3764" spans="1:8" x14ac:dyDescent="0.2">
      <c r="A3764" s="91">
        <v>45687</v>
      </c>
      <c r="B3764" s="43">
        <v>55120846</v>
      </c>
      <c r="C3764" s="20" t="s">
        <v>48</v>
      </c>
      <c r="D3764" s="18">
        <v>222000</v>
      </c>
      <c r="E3764" s="19"/>
      <c r="F3764" s="15">
        <f t="shared" si="58"/>
        <v>-222000</v>
      </c>
    </row>
    <row r="3765" spans="1:8" x14ac:dyDescent="0.2">
      <c r="A3765" s="91">
        <v>45897</v>
      </c>
      <c r="B3765" s="46">
        <v>72133555</v>
      </c>
      <c r="C3765" s="56" t="s">
        <v>595</v>
      </c>
      <c r="D3765" s="48">
        <v>825247</v>
      </c>
      <c r="E3765" s="49"/>
      <c r="F3765" s="15">
        <f t="shared" si="58"/>
        <v>-825247</v>
      </c>
    </row>
    <row r="3766" spans="1:8" x14ac:dyDescent="0.2">
      <c r="A3766" s="91">
        <v>45758</v>
      </c>
      <c r="B3766" s="44">
        <v>63311446</v>
      </c>
      <c r="C3766" s="57" t="s">
        <v>393</v>
      </c>
      <c r="D3766" s="23">
        <v>270000</v>
      </c>
      <c r="E3766" s="24"/>
      <c r="F3766" s="15">
        <f t="shared" si="58"/>
        <v>-270000</v>
      </c>
    </row>
    <row r="3767" spans="1:8" x14ac:dyDescent="0.2">
      <c r="A3767" s="91">
        <v>45758</v>
      </c>
      <c r="B3767" s="43">
        <v>63311419</v>
      </c>
      <c r="C3767" s="20" t="s">
        <v>390</v>
      </c>
      <c r="D3767" s="18">
        <v>2607605</v>
      </c>
      <c r="E3767" s="19"/>
      <c r="F3767" s="15">
        <f t="shared" si="58"/>
        <v>-2607605</v>
      </c>
    </row>
    <row r="3768" spans="1:8" x14ac:dyDescent="0.2">
      <c r="A3768" s="91">
        <v>45656</v>
      </c>
      <c r="B3768" s="43">
        <v>78838341</v>
      </c>
      <c r="C3768" s="20" t="s">
        <v>226</v>
      </c>
      <c r="D3768" s="25">
        <v>500000</v>
      </c>
      <c r="E3768" s="19"/>
      <c r="F3768" s="15">
        <f t="shared" si="58"/>
        <v>-500000</v>
      </c>
    </row>
    <row r="3769" spans="1:8" x14ac:dyDescent="0.2">
      <c r="A3769" s="91">
        <v>45838</v>
      </c>
      <c r="B3769" s="43">
        <v>74676985</v>
      </c>
      <c r="C3769" s="20" t="s">
        <v>509</v>
      </c>
      <c r="D3769" s="18">
        <v>1061312.79</v>
      </c>
      <c r="E3769" s="19"/>
      <c r="F3769" s="15">
        <f t="shared" si="58"/>
        <v>-1061312.79</v>
      </c>
    </row>
    <row r="3770" spans="1:8" x14ac:dyDescent="0.2">
      <c r="A3770" s="91">
        <v>45618</v>
      </c>
      <c r="B3770" s="43">
        <v>94391926</v>
      </c>
      <c r="C3770" s="20" t="s">
        <v>188</v>
      </c>
      <c r="D3770" s="18">
        <v>817046.37</v>
      </c>
      <c r="E3770" s="19"/>
      <c r="F3770" s="15">
        <f t="shared" si="58"/>
        <v>-817046.37</v>
      </c>
    </row>
    <row r="3771" spans="1:8" x14ac:dyDescent="0.2">
      <c r="A3771" s="91">
        <v>45618</v>
      </c>
      <c r="B3771" s="43">
        <v>94391917</v>
      </c>
      <c r="C3771" s="20" t="s">
        <v>186</v>
      </c>
      <c r="D3771" s="18">
        <v>180000</v>
      </c>
      <c r="E3771" s="19"/>
      <c r="F3771" s="15">
        <f t="shared" si="58"/>
        <v>-180000</v>
      </c>
    </row>
    <row r="3772" spans="1:8" x14ac:dyDescent="0.2">
      <c r="A3772" s="91">
        <v>45889</v>
      </c>
      <c r="B3772" s="43">
        <v>67084768</v>
      </c>
      <c r="C3772" s="20" t="s">
        <v>585</v>
      </c>
      <c r="D3772" s="18">
        <v>85000</v>
      </c>
      <c r="E3772" s="19"/>
      <c r="F3772" s="15">
        <f t="shared" si="58"/>
        <v>-85000</v>
      </c>
    </row>
    <row r="3773" spans="1:8" x14ac:dyDescent="0.2">
      <c r="A3773" s="91">
        <v>45618</v>
      </c>
      <c r="B3773" s="43">
        <v>94391912</v>
      </c>
      <c r="C3773" s="20" t="s">
        <v>184</v>
      </c>
      <c r="D3773" s="18">
        <v>904354</v>
      </c>
      <c r="E3773" s="19"/>
      <c r="F3773" s="15">
        <f t="shared" si="58"/>
        <v>-904354</v>
      </c>
    </row>
    <row r="3774" spans="1:8" x14ac:dyDescent="0.2">
      <c r="A3774" s="91">
        <v>45618</v>
      </c>
      <c r="B3774" s="43">
        <v>94391916</v>
      </c>
      <c r="C3774" s="20" t="s">
        <v>185</v>
      </c>
      <c r="D3774" s="18">
        <v>117500</v>
      </c>
      <c r="E3774" s="19"/>
      <c r="F3774" s="15">
        <f t="shared" si="58"/>
        <v>-117500</v>
      </c>
    </row>
    <row r="3775" spans="1:8" x14ac:dyDescent="0.2">
      <c r="A3775" s="91">
        <v>45625</v>
      </c>
      <c r="B3775" s="43">
        <v>98979094</v>
      </c>
      <c r="C3775" s="20" t="s">
        <v>196</v>
      </c>
      <c r="D3775" s="18">
        <v>229999</v>
      </c>
      <c r="E3775" s="19"/>
      <c r="F3775" s="15">
        <f t="shared" si="58"/>
        <v>-229999</v>
      </c>
    </row>
    <row r="3776" spans="1:8" x14ac:dyDescent="0.2">
      <c r="A3776" s="91">
        <v>45625</v>
      </c>
      <c r="B3776" s="43">
        <v>98979096</v>
      </c>
      <c r="C3776" s="20" t="s">
        <v>198</v>
      </c>
      <c r="D3776" s="25">
        <v>300000</v>
      </c>
      <c r="E3776" s="19"/>
      <c r="F3776" s="15">
        <f t="shared" si="58"/>
        <v>-300000</v>
      </c>
    </row>
    <row r="3777" spans="1:8" x14ac:dyDescent="0.2">
      <c r="A3777" s="91">
        <v>45618</v>
      </c>
      <c r="B3777" s="43">
        <v>94391920</v>
      </c>
      <c r="C3777" s="20" t="s">
        <v>187</v>
      </c>
      <c r="D3777" s="18">
        <v>293062</v>
      </c>
      <c r="E3777" s="19"/>
      <c r="F3777" s="15">
        <f t="shared" si="58"/>
        <v>-293062</v>
      </c>
    </row>
    <row r="3778" spans="1:8" x14ac:dyDescent="0.2">
      <c r="A3778" s="91">
        <v>45863</v>
      </c>
      <c r="B3778" s="43">
        <v>93421153</v>
      </c>
      <c r="C3778" s="20" t="s">
        <v>553</v>
      </c>
      <c r="D3778" s="18">
        <v>400000</v>
      </c>
      <c r="E3778" s="19"/>
      <c r="F3778" s="15">
        <f t="shared" si="58"/>
        <v>-400000</v>
      </c>
    </row>
    <row r="3779" spans="1:8" x14ac:dyDescent="0.2">
      <c r="A3779" s="91">
        <v>45758</v>
      </c>
      <c r="B3779" s="43">
        <v>63311420</v>
      </c>
      <c r="C3779" s="20" t="s">
        <v>391</v>
      </c>
      <c r="D3779" s="18">
        <v>390000</v>
      </c>
      <c r="E3779" s="19"/>
      <c r="F3779" s="15">
        <f t="shared" ref="F3779:F3842" si="59">+E3779-D3779</f>
        <v>-390000</v>
      </c>
    </row>
    <row r="3780" spans="1:8" x14ac:dyDescent="0.2">
      <c r="A3780" s="91">
        <v>45758</v>
      </c>
      <c r="B3780" s="43">
        <v>63311435</v>
      </c>
      <c r="C3780" s="20" t="s">
        <v>392</v>
      </c>
      <c r="D3780" s="18">
        <v>170200</v>
      </c>
      <c r="E3780" s="19"/>
      <c r="F3780" s="15">
        <f t="shared" si="59"/>
        <v>-170200</v>
      </c>
    </row>
    <row r="3781" spans="1:8" x14ac:dyDescent="0.2">
      <c r="A3781" s="91">
        <v>45625</v>
      </c>
      <c r="B3781" s="43">
        <v>98979095</v>
      </c>
      <c r="C3781" s="20" t="s">
        <v>197</v>
      </c>
      <c r="D3781" s="18">
        <v>24200</v>
      </c>
      <c r="E3781" s="19"/>
      <c r="F3781" s="15">
        <f t="shared" si="59"/>
        <v>-24200</v>
      </c>
    </row>
    <row r="3782" spans="1:8" x14ac:dyDescent="0.2">
      <c r="A3782" s="91">
        <v>45560</v>
      </c>
      <c r="B3782" s="16">
        <v>96820977</v>
      </c>
      <c r="C3782" s="20" t="s">
        <v>87</v>
      </c>
      <c r="D3782" s="18">
        <v>633600</v>
      </c>
      <c r="E3782" s="19"/>
      <c r="F3782" s="15">
        <f t="shared" si="59"/>
        <v>-633600</v>
      </c>
      <c r="H3782" s="10"/>
    </row>
    <row r="3783" spans="1:8" x14ac:dyDescent="0.2">
      <c r="A3783" s="91">
        <v>45616</v>
      </c>
      <c r="B3783" s="43">
        <v>4130404</v>
      </c>
      <c r="C3783" s="20" t="s">
        <v>175</v>
      </c>
      <c r="D3783" s="18">
        <v>500000</v>
      </c>
      <c r="E3783" s="19"/>
      <c r="F3783" s="15">
        <f t="shared" si="59"/>
        <v>-500000</v>
      </c>
    </row>
    <row r="3784" spans="1:8" x14ac:dyDescent="0.2">
      <c r="A3784" s="91">
        <v>45616</v>
      </c>
      <c r="B3784" s="43">
        <v>4130406</v>
      </c>
      <c r="C3784" s="20" t="s">
        <v>176</v>
      </c>
      <c r="D3784" s="18">
        <v>500000</v>
      </c>
      <c r="E3784" s="19"/>
      <c r="F3784" s="15">
        <f t="shared" si="59"/>
        <v>-500000</v>
      </c>
    </row>
    <row r="3785" spans="1:8" x14ac:dyDescent="0.2">
      <c r="A3785" s="91">
        <v>45616</v>
      </c>
      <c r="B3785" s="43">
        <v>4130385</v>
      </c>
      <c r="C3785" s="20" t="s">
        <v>173</v>
      </c>
      <c r="D3785" s="18">
        <v>1076900</v>
      </c>
      <c r="E3785" s="19"/>
      <c r="F3785" s="15">
        <f t="shared" si="59"/>
        <v>-1076900</v>
      </c>
    </row>
    <row r="3786" spans="1:8" x14ac:dyDescent="0.2">
      <c r="A3786" s="91">
        <v>45863</v>
      </c>
      <c r="B3786" s="43">
        <v>4231770</v>
      </c>
      <c r="C3786" s="20" t="s">
        <v>556</v>
      </c>
      <c r="D3786" s="18">
        <v>701800</v>
      </c>
      <c r="E3786" s="19"/>
      <c r="F3786" s="15">
        <f t="shared" si="59"/>
        <v>-701800</v>
      </c>
    </row>
    <row r="3787" spans="1:8" x14ac:dyDescent="0.2">
      <c r="A3787" s="91">
        <v>45558</v>
      </c>
      <c r="B3787" s="16">
        <v>4299697</v>
      </c>
      <c r="C3787" s="20" t="s">
        <v>79</v>
      </c>
      <c r="D3787" s="18">
        <v>223000</v>
      </c>
      <c r="E3787" s="19"/>
      <c r="F3787" s="15">
        <f t="shared" si="59"/>
        <v>-223000</v>
      </c>
      <c r="H3787" s="10"/>
    </row>
    <row r="3788" spans="1:8" x14ac:dyDescent="0.2">
      <c r="A3788" s="91">
        <v>45581</v>
      </c>
      <c r="B3788" s="46">
        <v>4155551</v>
      </c>
      <c r="C3788" s="56" t="s">
        <v>116</v>
      </c>
      <c r="D3788" s="48">
        <v>21780</v>
      </c>
      <c r="E3788" s="49"/>
      <c r="F3788" s="15">
        <f t="shared" si="59"/>
        <v>-21780</v>
      </c>
    </row>
    <row r="3789" spans="1:8" x14ac:dyDescent="0.2">
      <c r="A3789" s="91">
        <v>45897</v>
      </c>
      <c r="B3789" s="44">
        <v>4155746</v>
      </c>
      <c r="C3789" s="57" t="s">
        <v>116</v>
      </c>
      <c r="D3789" s="23">
        <v>18150</v>
      </c>
      <c r="E3789" s="24"/>
      <c r="F3789" s="15">
        <f t="shared" si="59"/>
        <v>-18150</v>
      </c>
    </row>
    <row r="3790" spans="1:8" x14ac:dyDescent="0.2">
      <c r="A3790" s="91">
        <v>45611</v>
      </c>
      <c r="B3790" s="43">
        <v>4005364</v>
      </c>
      <c r="C3790" s="20" t="s">
        <v>164</v>
      </c>
      <c r="D3790" s="18">
        <v>161000</v>
      </c>
      <c r="E3790" s="19"/>
      <c r="F3790" s="15">
        <f t="shared" si="59"/>
        <v>-161000</v>
      </c>
    </row>
    <row r="3791" spans="1:8" x14ac:dyDescent="0.2">
      <c r="A3791" s="91">
        <v>45716</v>
      </c>
      <c r="B3791" s="43">
        <v>4185476</v>
      </c>
      <c r="C3791" s="20" t="s">
        <v>329</v>
      </c>
      <c r="D3791" s="25">
        <v>24200</v>
      </c>
      <c r="E3791" s="19"/>
      <c r="F3791" s="15">
        <f t="shared" si="59"/>
        <v>-24200</v>
      </c>
    </row>
    <row r="3792" spans="1:8" x14ac:dyDescent="0.2">
      <c r="A3792" s="91">
        <v>45730</v>
      </c>
      <c r="B3792" s="43">
        <v>4134460</v>
      </c>
      <c r="C3792" s="20" t="s">
        <v>329</v>
      </c>
      <c r="D3792" s="18">
        <v>26620</v>
      </c>
      <c r="E3792" s="19"/>
      <c r="F3792" s="15">
        <f t="shared" si="59"/>
        <v>-26620</v>
      </c>
    </row>
    <row r="3793" spans="1:8" x14ac:dyDescent="0.2">
      <c r="A3793" s="91">
        <v>45782</v>
      </c>
      <c r="B3793" s="43">
        <v>4062798</v>
      </c>
      <c r="C3793" s="20" t="s">
        <v>329</v>
      </c>
      <c r="D3793" s="18">
        <v>18150</v>
      </c>
      <c r="E3793" s="19"/>
      <c r="F3793" s="15">
        <f t="shared" si="59"/>
        <v>-18150</v>
      </c>
    </row>
    <row r="3794" spans="1:8" x14ac:dyDescent="0.2">
      <c r="A3794" s="91">
        <v>45631</v>
      </c>
      <c r="B3794" s="43">
        <v>4037494</v>
      </c>
      <c r="C3794" s="20" t="s">
        <v>205</v>
      </c>
      <c r="D3794" s="18">
        <v>1210000</v>
      </c>
      <c r="E3794" s="19"/>
      <c r="F3794" s="15">
        <f t="shared" si="59"/>
        <v>-1210000</v>
      </c>
    </row>
    <row r="3795" spans="1:8" x14ac:dyDescent="0.2">
      <c r="A3795" s="91">
        <v>45705</v>
      </c>
      <c r="B3795" s="43">
        <v>4064984</v>
      </c>
      <c r="C3795" s="20" t="s">
        <v>205</v>
      </c>
      <c r="D3795" s="18">
        <v>3025000</v>
      </c>
      <c r="E3795" s="19"/>
      <c r="F3795" s="15">
        <f t="shared" si="59"/>
        <v>-3025000</v>
      </c>
    </row>
    <row r="3796" spans="1:8" x14ac:dyDescent="0.2">
      <c r="A3796" s="91">
        <v>45730</v>
      </c>
      <c r="B3796" s="43">
        <v>4134459</v>
      </c>
      <c r="C3796" s="20" t="s">
        <v>205</v>
      </c>
      <c r="D3796" s="18">
        <v>1815000</v>
      </c>
      <c r="E3796" s="19"/>
      <c r="F3796" s="15">
        <f t="shared" si="59"/>
        <v>-1815000</v>
      </c>
    </row>
    <row r="3797" spans="1:8" x14ac:dyDescent="0.2">
      <c r="A3797" s="91">
        <v>45770</v>
      </c>
      <c r="B3797" s="43">
        <v>4283703</v>
      </c>
      <c r="C3797" s="20" t="s">
        <v>205</v>
      </c>
      <c r="D3797" s="18">
        <v>1815000</v>
      </c>
      <c r="E3797" s="19"/>
      <c r="F3797" s="15">
        <f t="shared" si="59"/>
        <v>-1815000</v>
      </c>
    </row>
    <row r="3798" spans="1:8" x14ac:dyDescent="0.2">
      <c r="A3798" s="91">
        <v>45821</v>
      </c>
      <c r="B3798" s="43">
        <v>4069619</v>
      </c>
      <c r="C3798" s="20" t="s">
        <v>205</v>
      </c>
      <c r="D3798" s="18">
        <v>1815000</v>
      </c>
      <c r="E3798" s="19"/>
      <c r="F3798" s="15">
        <f t="shared" si="59"/>
        <v>-1815000</v>
      </c>
    </row>
    <row r="3799" spans="1:8" x14ac:dyDescent="0.2">
      <c r="A3799" s="91">
        <v>45832</v>
      </c>
      <c r="B3799" s="43">
        <v>4211659</v>
      </c>
      <c r="C3799" s="20" t="s">
        <v>205</v>
      </c>
      <c r="D3799" s="18">
        <v>1815000</v>
      </c>
      <c r="E3799" s="19"/>
      <c r="F3799" s="15">
        <f t="shared" si="59"/>
        <v>-1815000</v>
      </c>
    </row>
    <row r="3800" spans="1:8" x14ac:dyDescent="0.2">
      <c r="A3800" s="91">
        <v>45553</v>
      </c>
      <c r="B3800" s="16">
        <v>4035079</v>
      </c>
      <c r="C3800" s="20" t="s">
        <v>60</v>
      </c>
      <c r="D3800" s="18">
        <v>1210000</v>
      </c>
      <c r="E3800" s="19"/>
      <c r="F3800" s="15">
        <f t="shared" si="59"/>
        <v>-1210000</v>
      </c>
      <c r="H3800" s="10"/>
    </row>
    <row r="3801" spans="1:8" x14ac:dyDescent="0.2">
      <c r="A3801" s="91">
        <v>45611</v>
      </c>
      <c r="B3801" s="43">
        <v>4005366</v>
      </c>
      <c r="C3801" s="20" t="s">
        <v>60</v>
      </c>
      <c r="D3801" s="18">
        <v>2420000</v>
      </c>
      <c r="E3801" s="19"/>
      <c r="F3801" s="15">
        <f t="shared" si="59"/>
        <v>-2420000</v>
      </c>
    </row>
    <row r="3802" spans="1:8" x14ac:dyDescent="0.2">
      <c r="A3802" s="91">
        <v>45856</v>
      </c>
      <c r="B3802" s="43">
        <v>4172745</v>
      </c>
      <c r="C3802" s="20" t="s">
        <v>550</v>
      </c>
      <c r="D3802" s="18">
        <v>240000</v>
      </c>
      <c r="E3802" s="19"/>
      <c r="F3802" s="15">
        <f t="shared" si="59"/>
        <v>-240000</v>
      </c>
    </row>
    <row r="3803" spans="1:8" x14ac:dyDescent="0.2">
      <c r="A3803" s="91">
        <v>45594</v>
      </c>
      <c r="B3803" s="43">
        <v>4229526</v>
      </c>
      <c r="C3803" s="20" t="s">
        <v>134</v>
      </c>
      <c r="D3803" s="18">
        <v>240000</v>
      </c>
      <c r="E3803" s="19"/>
      <c r="F3803" s="15">
        <f t="shared" si="59"/>
        <v>-240000</v>
      </c>
    </row>
    <row r="3804" spans="1:8" x14ac:dyDescent="0.2">
      <c r="A3804" s="91">
        <v>45552</v>
      </c>
      <c r="B3804" s="16">
        <v>4247684</v>
      </c>
      <c r="C3804" s="20" t="s">
        <v>51</v>
      </c>
      <c r="D3804" s="18">
        <v>240000</v>
      </c>
      <c r="E3804" s="19"/>
      <c r="F3804" s="15">
        <f t="shared" si="59"/>
        <v>-240000</v>
      </c>
      <c r="H3804" s="10"/>
    </row>
    <row r="3805" spans="1:8" x14ac:dyDescent="0.2">
      <c r="A3805" s="91">
        <v>45639</v>
      </c>
      <c r="B3805" s="43">
        <v>4052912</v>
      </c>
      <c r="C3805" s="20" t="s">
        <v>51</v>
      </c>
      <c r="D3805" s="18">
        <v>240000</v>
      </c>
      <c r="E3805" s="19"/>
      <c r="F3805" s="15">
        <f t="shared" si="59"/>
        <v>-240000</v>
      </c>
    </row>
    <row r="3806" spans="1:8" x14ac:dyDescent="0.2">
      <c r="A3806" s="91">
        <v>45670</v>
      </c>
      <c r="B3806" s="43">
        <v>4143646</v>
      </c>
      <c r="C3806" s="20" t="s">
        <v>51</v>
      </c>
      <c r="D3806" s="18">
        <v>240000</v>
      </c>
      <c r="E3806" s="19"/>
      <c r="F3806" s="15">
        <f t="shared" si="59"/>
        <v>-240000</v>
      </c>
    </row>
    <row r="3807" spans="1:8" x14ac:dyDescent="0.2">
      <c r="A3807" s="91">
        <v>45695</v>
      </c>
      <c r="B3807" s="43">
        <v>4207988</v>
      </c>
      <c r="C3807" s="20" t="s">
        <v>51</v>
      </c>
      <c r="D3807" s="18">
        <v>240000</v>
      </c>
      <c r="E3807" s="19"/>
      <c r="F3807" s="15">
        <f t="shared" si="59"/>
        <v>-240000</v>
      </c>
    </row>
    <row r="3808" spans="1:8" x14ac:dyDescent="0.2">
      <c r="A3808" s="91">
        <v>45730</v>
      </c>
      <c r="B3808" s="43">
        <v>4134458</v>
      </c>
      <c r="C3808" s="20" t="s">
        <v>51</v>
      </c>
      <c r="D3808" s="18">
        <v>240000</v>
      </c>
      <c r="E3808" s="19"/>
      <c r="F3808" s="15">
        <f t="shared" si="59"/>
        <v>-240000</v>
      </c>
    </row>
    <row r="3809" spans="1:8" x14ac:dyDescent="0.2">
      <c r="A3809" s="91">
        <v>45796</v>
      </c>
      <c r="B3809" s="43">
        <v>4118600</v>
      </c>
      <c r="C3809" s="20" t="s">
        <v>51</v>
      </c>
      <c r="D3809" s="18">
        <v>240000</v>
      </c>
      <c r="E3809" s="19"/>
      <c r="F3809" s="15">
        <f t="shared" si="59"/>
        <v>-240000</v>
      </c>
    </row>
    <row r="3810" spans="1:8" x14ac:dyDescent="0.2">
      <c r="A3810" s="91">
        <v>45889</v>
      </c>
      <c r="B3810" s="43">
        <v>4033116</v>
      </c>
      <c r="C3810" s="20" t="s">
        <v>51</v>
      </c>
      <c r="D3810" s="18">
        <v>240000</v>
      </c>
      <c r="E3810" s="19"/>
      <c r="F3810" s="15">
        <f t="shared" si="59"/>
        <v>-240000</v>
      </c>
    </row>
    <row r="3811" spans="1:8" x14ac:dyDescent="0.2">
      <c r="A3811" s="91">
        <v>45611</v>
      </c>
      <c r="B3811" s="46">
        <v>4005363</v>
      </c>
      <c r="C3811" s="56" t="s">
        <v>163</v>
      </c>
      <c r="D3811" s="48">
        <v>240000</v>
      </c>
      <c r="E3811" s="49"/>
      <c r="F3811" s="15">
        <f t="shared" si="59"/>
        <v>-240000</v>
      </c>
    </row>
    <row r="3812" spans="1:8" x14ac:dyDescent="0.2">
      <c r="A3812" s="91">
        <v>45754</v>
      </c>
      <c r="B3812" s="44">
        <v>4014456</v>
      </c>
      <c r="C3812" s="57" t="s">
        <v>380</v>
      </c>
      <c r="D3812" s="23">
        <v>1481314</v>
      </c>
      <c r="E3812" s="24"/>
      <c r="F3812" s="15">
        <f t="shared" si="59"/>
        <v>-1481314</v>
      </c>
    </row>
    <row r="3813" spans="1:8" x14ac:dyDescent="0.2">
      <c r="A3813" s="91">
        <v>45873</v>
      </c>
      <c r="B3813" s="43">
        <v>4159024</v>
      </c>
      <c r="C3813" s="20" t="s">
        <v>380</v>
      </c>
      <c r="D3813" s="18">
        <v>1379630</v>
      </c>
      <c r="E3813" s="19"/>
      <c r="F3813" s="15">
        <f t="shared" si="59"/>
        <v>-1379630</v>
      </c>
    </row>
    <row r="3814" spans="1:8" x14ac:dyDescent="0.2">
      <c r="A3814" s="91">
        <v>45784</v>
      </c>
      <c r="B3814" s="43">
        <v>4272503</v>
      </c>
      <c r="C3814" s="20" t="s">
        <v>425</v>
      </c>
      <c r="D3814" s="18">
        <v>1481314</v>
      </c>
      <c r="E3814" s="19"/>
      <c r="F3814" s="15">
        <f t="shared" si="59"/>
        <v>-1481314</v>
      </c>
    </row>
    <row r="3815" spans="1:8" x14ac:dyDescent="0.2">
      <c r="A3815" s="91">
        <v>45581</v>
      </c>
      <c r="B3815" s="43">
        <v>4155549</v>
      </c>
      <c r="C3815" s="20" t="s">
        <v>115</v>
      </c>
      <c r="D3815" s="18">
        <v>61494.39</v>
      </c>
      <c r="E3815" s="19"/>
      <c r="F3815" s="15">
        <f t="shared" si="59"/>
        <v>-61494.39</v>
      </c>
    </row>
    <row r="3816" spans="1:8" x14ac:dyDescent="0.2">
      <c r="A3816" s="91">
        <v>45813</v>
      </c>
      <c r="B3816" s="43">
        <v>4007665</v>
      </c>
      <c r="C3816" s="20" t="s">
        <v>115</v>
      </c>
      <c r="D3816" s="18">
        <v>1379630</v>
      </c>
      <c r="E3816" s="19"/>
      <c r="F3816" s="15">
        <f t="shared" si="59"/>
        <v>-1379630</v>
      </c>
    </row>
    <row r="3817" spans="1:8" x14ac:dyDescent="0.2">
      <c r="A3817" s="91">
        <v>45846</v>
      </c>
      <c r="B3817" s="43">
        <v>4161547</v>
      </c>
      <c r="C3817" s="20" t="s">
        <v>115</v>
      </c>
      <c r="D3817" s="18">
        <v>1379630</v>
      </c>
      <c r="E3817" s="19"/>
      <c r="F3817" s="15">
        <f t="shared" si="59"/>
        <v>-1379630</v>
      </c>
    </row>
    <row r="3818" spans="1:8" x14ac:dyDescent="0.2">
      <c r="A3818" s="91">
        <v>45874</v>
      </c>
      <c r="B3818" s="43">
        <v>4259129</v>
      </c>
      <c r="C3818" s="20" t="s">
        <v>569</v>
      </c>
      <c r="D3818" s="18">
        <v>2000000</v>
      </c>
      <c r="E3818" s="19"/>
      <c r="F3818" s="15">
        <f t="shared" si="59"/>
        <v>-2000000</v>
      </c>
    </row>
    <row r="3819" spans="1:8" x14ac:dyDescent="0.2">
      <c r="A3819" s="91">
        <v>45716</v>
      </c>
      <c r="B3819" s="43">
        <v>4185472</v>
      </c>
      <c r="C3819" s="20" t="s">
        <v>327</v>
      </c>
      <c r="D3819" s="18">
        <v>238247.18</v>
      </c>
      <c r="E3819" s="19"/>
      <c r="F3819" s="15">
        <f t="shared" si="59"/>
        <v>-238247.18</v>
      </c>
    </row>
    <row r="3820" spans="1:8" x14ac:dyDescent="0.2">
      <c r="A3820" s="91">
        <v>45825</v>
      </c>
      <c r="B3820" s="43">
        <v>4126519</v>
      </c>
      <c r="C3820" s="20" t="s">
        <v>327</v>
      </c>
      <c r="D3820" s="18">
        <v>238247.18</v>
      </c>
      <c r="E3820" s="19"/>
      <c r="F3820" s="15">
        <f t="shared" si="59"/>
        <v>-238247.18</v>
      </c>
    </row>
    <row r="3821" spans="1:8" x14ac:dyDescent="0.2">
      <c r="A3821" s="91">
        <v>45757</v>
      </c>
      <c r="B3821" s="43">
        <v>4256142</v>
      </c>
      <c r="C3821" s="20" t="s">
        <v>386</v>
      </c>
      <c r="D3821" s="18">
        <v>1709730</v>
      </c>
      <c r="E3821" s="19"/>
      <c r="F3821" s="15">
        <f t="shared" si="59"/>
        <v>-1709730</v>
      </c>
    </row>
    <row r="3822" spans="1:8" x14ac:dyDescent="0.2">
      <c r="A3822" s="91">
        <v>45692</v>
      </c>
      <c r="B3822" s="43">
        <v>4166332</v>
      </c>
      <c r="C3822" s="20" t="s">
        <v>289</v>
      </c>
      <c r="D3822" s="18">
        <v>18500</v>
      </c>
      <c r="E3822" s="19"/>
      <c r="F3822" s="15">
        <f t="shared" si="59"/>
        <v>-18500</v>
      </c>
    </row>
    <row r="3823" spans="1:8" x14ac:dyDescent="0.2">
      <c r="A3823" s="91">
        <v>45897</v>
      </c>
      <c r="B3823" s="43">
        <v>4155741</v>
      </c>
      <c r="C3823" s="20" t="s">
        <v>289</v>
      </c>
      <c r="D3823" s="18">
        <v>63000</v>
      </c>
      <c r="E3823" s="19"/>
      <c r="F3823" s="15">
        <f t="shared" si="59"/>
        <v>-63000</v>
      </c>
    </row>
    <row r="3824" spans="1:8" x14ac:dyDescent="0.2">
      <c r="A3824" s="91">
        <v>45552</v>
      </c>
      <c r="B3824" s="16">
        <v>4247682</v>
      </c>
      <c r="C3824" s="20" t="s">
        <v>49</v>
      </c>
      <c r="D3824" s="18">
        <v>296861</v>
      </c>
      <c r="E3824" s="19"/>
      <c r="F3824" s="15">
        <f t="shared" si="59"/>
        <v>-296861</v>
      </c>
      <c r="H3824" s="10"/>
    </row>
    <row r="3825" spans="1:8" x14ac:dyDescent="0.2">
      <c r="A3825" s="91">
        <v>45666</v>
      </c>
      <c r="B3825" s="43">
        <v>4250416</v>
      </c>
      <c r="C3825" s="20" t="s">
        <v>49</v>
      </c>
      <c r="D3825" s="18">
        <v>362466</v>
      </c>
      <c r="E3825" s="19"/>
      <c r="F3825" s="15">
        <f t="shared" si="59"/>
        <v>-362466</v>
      </c>
    </row>
    <row r="3826" spans="1:8" x14ac:dyDescent="0.2">
      <c r="A3826" s="91">
        <v>45666</v>
      </c>
      <c r="B3826" s="43">
        <v>4250418</v>
      </c>
      <c r="C3826" s="20" t="s">
        <v>49</v>
      </c>
      <c r="D3826" s="18">
        <v>144823</v>
      </c>
      <c r="E3826" s="19"/>
      <c r="F3826" s="15">
        <f t="shared" si="59"/>
        <v>-144823</v>
      </c>
    </row>
    <row r="3827" spans="1:8" x14ac:dyDescent="0.2">
      <c r="A3827" s="91">
        <v>45666</v>
      </c>
      <c r="B3827" s="43">
        <v>4250419</v>
      </c>
      <c r="C3827" s="20" t="s">
        <v>49</v>
      </c>
      <c r="D3827" s="18">
        <v>431766</v>
      </c>
      <c r="E3827" s="19"/>
      <c r="F3827" s="15">
        <f t="shared" si="59"/>
        <v>-431766</v>
      </c>
    </row>
    <row r="3828" spans="1:8" x14ac:dyDescent="0.2">
      <c r="A3828" s="91">
        <v>45666</v>
      </c>
      <c r="B3828" s="43">
        <v>4250420</v>
      </c>
      <c r="C3828" s="20" t="s">
        <v>49</v>
      </c>
      <c r="D3828" s="18">
        <v>217643</v>
      </c>
      <c r="E3828" s="19"/>
      <c r="F3828" s="15">
        <f t="shared" si="59"/>
        <v>-217643</v>
      </c>
    </row>
    <row r="3829" spans="1:8" x14ac:dyDescent="0.2">
      <c r="A3829" s="91">
        <v>45716</v>
      </c>
      <c r="B3829" s="43">
        <v>4185475</v>
      </c>
      <c r="C3829" s="20" t="s">
        <v>49</v>
      </c>
      <c r="D3829" s="25">
        <v>763050</v>
      </c>
      <c r="E3829" s="19"/>
      <c r="F3829" s="15">
        <f t="shared" si="59"/>
        <v>-763050</v>
      </c>
    </row>
    <row r="3830" spans="1:8" x14ac:dyDescent="0.2">
      <c r="A3830" s="91">
        <v>45834</v>
      </c>
      <c r="B3830" s="43">
        <v>4066851</v>
      </c>
      <c r="C3830" s="20" t="s">
        <v>49</v>
      </c>
      <c r="D3830" s="18">
        <v>267716.5</v>
      </c>
      <c r="E3830" s="19"/>
      <c r="F3830" s="15">
        <f t="shared" si="59"/>
        <v>-267716.5</v>
      </c>
    </row>
    <row r="3831" spans="1:8" x14ac:dyDescent="0.2">
      <c r="A3831" s="91">
        <v>45754</v>
      </c>
      <c r="B3831" s="43">
        <v>4014455</v>
      </c>
      <c r="C3831" s="20" t="s">
        <v>379</v>
      </c>
      <c r="D3831" s="18">
        <v>3881042.54</v>
      </c>
      <c r="E3831" s="19"/>
      <c r="F3831" s="15">
        <f t="shared" si="59"/>
        <v>-3881042.54</v>
      </c>
    </row>
    <row r="3832" spans="1:8" x14ac:dyDescent="0.2">
      <c r="A3832" s="91">
        <v>45863</v>
      </c>
      <c r="B3832" s="43">
        <v>4231775</v>
      </c>
      <c r="C3832" s="20" t="s">
        <v>560</v>
      </c>
      <c r="D3832" s="18">
        <v>300000</v>
      </c>
      <c r="E3832" s="19"/>
      <c r="F3832" s="15">
        <f t="shared" si="59"/>
        <v>-300000</v>
      </c>
    </row>
    <row r="3833" spans="1:8" x14ac:dyDescent="0.2">
      <c r="A3833" s="91">
        <v>45616</v>
      </c>
      <c r="B3833" s="43">
        <v>4130402</v>
      </c>
      <c r="C3833" s="20" t="s">
        <v>174</v>
      </c>
      <c r="D3833" s="18">
        <v>195000</v>
      </c>
      <c r="E3833" s="19"/>
      <c r="F3833" s="15">
        <f t="shared" si="59"/>
        <v>-195000</v>
      </c>
    </row>
    <row r="3834" spans="1:8" x14ac:dyDescent="0.2">
      <c r="A3834" s="91">
        <v>45558</v>
      </c>
      <c r="B3834" s="67">
        <v>4299696</v>
      </c>
      <c r="C3834" s="56" t="s">
        <v>78</v>
      </c>
      <c r="D3834" s="48">
        <v>195000</v>
      </c>
      <c r="E3834" s="49"/>
      <c r="F3834" s="15">
        <f t="shared" si="59"/>
        <v>-195000</v>
      </c>
      <c r="H3834" s="10"/>
    </row>
    <row r="3835" spans="1:8" x14ac:dyDescent="0.2">
      <c r="A3835" s="91">
        <v>45594</v>
      </c>
      <c r="B3835" s="44">
        <v>4229522</v>
      </c>
      <c r="C3835" s="57" t="s">
        <v>78</v>
      </c>
      <c r="D3835" s="23">
        <v>195000</v>
      </c>
      <c r="E3835" s="24"/>
      <c r="F3835" s="15">
        <f t="shared" si="59"/>
        <v>-195000</v>
      </c>
    </row>
    <row r="3836" spans="1:8" x14ac:dyDescent="0.2">
      <c r="A3836" s="91">
        <v>45660</v>
      </c>
      <c r="B3836" s="43">
        <v>4165470</v>
      </c>
      <c r="C3836" s="20" t="s">
        <v>78</v>
      </c>
      <c r="D3836" s="18">
        <v>195000</v>
      </c>
      <c r="E3836" s="19"/>
      <c r="F3836" s="15">
        <f t="shared" si="59"/>
        <v>-195000</v>
      </c>
    </row>
    <row r="3837" spans="1:8" x14ac:dyDescent="0.2">
      <c r="A3837" s="91">
        <v>45698</v>
      </c>
      <c r="B3837" s="43">
        <v>4294393</v>
      </c>
      <c r="C3837" s="20" t="s">
        <v>78</v>
      </c>
      <c r="D3837" s="18">
        <v>270000</v>
      </c>
      <c r="E3837" s="19"/>
      <c r="F3837" s="15">
        <f t="shared" si="59"/>
        <v>-270000</v>
      </c>
    </row>
    <row r="3838" spans="1:8" x14ac:dyDescent="0.2">
      <c r="A3838" s="91">
        <v>45716</v>
      </c>
      <c r="B3838" s="43">
        <v>4185471</v>
      </c>
      <c r="C3838" s="20" t="s">
        <v>78</v>
      </c>
      <c r="D3838" s="18">
        <v>270000</v>
      </c>
      <c r="E3838" s="19"/>
      <c r="F3838" s="15">
        <f t="shared" si="59"/>
        <v>-270000</v>
      </c>
    </row>
    <row r="3839" spans="1:8" x14ac:dyDescent="0.2">
      <c r="A3839" s="91">
        <v>45744</v>
      </c>
      <c r="B3839" s="43">
        <v>4002724</v>
      </c>
      <c r="C3839" s="20" t="s">
        <v>78</v>
      </c>
      <c r="D3839" s="18">
        <v>270000</v>
      </c>
      <c r="E3839" s="19"/>
      <c r="F3839" s="15">
        <f t="shared" si="59"/>
        <v>-270000</v>
      </c>
    </row>
    <row r="3840" spans="1:8" x14ac:dyDescent="0.2">
      <c r="A3840" s="91">
        <v>45833</v>
      </c>
      <c r="B3840" s="43">
        <v>4269877</v>
      </c>
      <c r="C3840" s="20" t="s">
        <v>78</v>
      </c>
      <c r="D3840" s="18">
        <v>1500000</v>
      </c>
      <c r="E3840" s="19"/>
      <c r="F3840" s="15">
        <f t="shared" si="59"/>
        <v>-1500000</v>
      </c>
    </row>
    <row r="3841" spans="1:8" x14ac:dyDescent="0.2">
      <c r="A3841" s="91">
        <v>45730</v>
      </c>
      <c r="B3841" s="43">
        <v>4134457</v>
      </c>
      <c r="C3841" s="20" t="s">
        <v>350</v>
      </c>
      <c r="D3841" s="18">
        <v>388343</v>
      </c>
      <c r="E3841" s="19"/>
      <c r="F3841" s="15">
        <f t="shared" si="59"/>
        <v>-388343</v>
      </c>
    </row>
    <row r="3842" spans="1:8" x14ac:dyDescent="0.2">
      <c r="A3842" s="91">
        <v>45716</v>
      </c>
      <c r="B3842" s="43">
        <v>4185470</v>
      </c>
      <c r="C3842" s="20" t="s">
        <v>326</v>
      </c>
      <c r="D3842" s="18">
        <v>140000</v>
      </c>
      <c r="E3842" s="19"/>
      <c r="F3842" s="15">
        <f t="shared" si="59"/>
        <v>-140000</v>
      </c>
    </row>
    <row r="3843" spans="1:8" x14ac:dyDescent="0.2">
      <c r="A3843" s="91">
        <v>45856</v>
      </c>
      <c r="B3843" s="43">
        <v>4172701</v>
      </c>
      <c r="C3843" s="20" t="s">
        <v>546</v>
      </c>
      <c r="D3843" s="18">
        <v>120000</v>
      </c>
      <c r="E3843" s="19"/>
      <c r="F3843" s="15">
        <f t="shared" ref="F3843:F3906" si="60">+E3843-D3843</f>
        <v>-120000</v>
      </c>
    </row>
    <row r="3844" spans="1:8" x14ac:dyDescent="0.2">
      <c r="A3844" s="91">
        <v>45677</v>
      </c>
      <c r="B3844" s="43">
        <v>4206017</v>
      </c>
      <c r="C3844" s="20" t="s">
        <v>260</v>
      </c>
      <c r="D3844" s="18">
        <v>350233.9</v>
      </c>
      <c r="E3844" s="19"/>
      <c r="F3844" s="15">
        <f t="shared" si="60"/>
        <v>-350233.9</v>
      </c>
    </row>
    <row r="3845" spans="1:8" x14ac:dyDescent="0.2">
      <c r="A3845" s="91">
        <v>45594</v>
      </c>
      <c r="B3845" s="43">
        <v>4229524</v>
      </c>
      <c r="C3845" s="20" t="s">
        <v>133</v>
      </c>
      <c r="D3845" s="18">
        <v>161000</v>
      </c>
      <c r="E3845" s="19"/>
      <c r="F3845" s="15">
        <f t="shared" si="60"/>
        <v>-161000</v>
      </c>
    </row>
    <row r="3846" spans="1:8" x14ac:dyDescent="0.2">
      <c r="A3846" s="91">
        <v>45825</v>
      </c>
      <c r="B3846" s="43">
        <v>4126517</v>
      </c>
      <c r="C3846" s="20" t="s">
        <v>489</v>
      </c>
      <c r="D3846" s="18">
        <v>475000</v>
      </c>
      <c r="E3846" s="19"/>
      <c r="F3846" s="15">
        <f t="shared" si="60"/>
        <v>-475000</v>
      </c>
    </row>
    <row r="3847" spans="1:8" x14ac:dyDescent="0.2">
      <c r="A3847" s="91">
        <v>45833</v>
      </c>
      <c r="B3847" s="43">
        <v>4269873</v>
      </c>
      <c r="C3847" s="20" t="s">
        <v>489</v>
      </c>
      <c r="D3847" s="18">
        <v>400000</v>
      </c>
      <c r="E3847" s="19"/>
      <c r="F3847" s="15">
        <f t="shared" si="60"/>
        <v>-400000</v>
      </c>
    </row>
    <row r="3848" spans="1:8" x14ac:dyDescent="0.2">
      <c r="A3848" s="91">
        <v>45863</v>
      </c>
      <c r="B3848" s="43">
        <v>4231773</v>
      </c>
      <c r="C3848" s="20" t="s">
        <v>558</v>
      </c>
      <c r="D3848" s="18">
        <v>2000000</v>
      </c>
      <c r="E3848" s="19"/>
      <c r="F3848" s="15">
        <f t="shared" si="60"/>
        <v>-2000000</v>
      </c>
    </row>
    <row r="3849" spans="1:8" x14ac:dyDescent="0.2">
      <c r="A3849" s="91">
        <v>45623</v>
      </c>
      <c r="B3849" s="43">
        <v>4289321</v>
      </c>
      <c r="C3849" s="20" t="s">
        <v>191</v>
      </c>
      <c r="D3849" s="18">
        <v>2000000</v>
      </c>
      <c r="E3849" s="19"/>
      <c r="F3849" s="15">
        <f t="shared" si="60"/>
        <v>-2000000</v>
      </c>
    </row>
    <row r="3850" spans="1:8" x14ac:dyDescent="0.2">
      <c r="A3850" s="91">
        <v>45681</v>
      </c>
      <c r="B3850" s="43">
        <v>4199178</v>
      </c>
      <c r="C3850" s="20" t="s">
        <v>191</v>
      </c>
      <c r="D3850" s="18">
        <v>2000000</v>
      </c>
      <c r="E3850" s="19"/>
      <c r="F3850" s="15">
        <f t="shared" si="60"/>
        <v>-2000000</v>
      </c>
    </row>
    <row r="3851" spans="1:8" x14ac:dyDescent="0.2">
      <c r="A3851" s="91">
        <v>45560</v>
      </c>
      <c r="B3851" s="16">
        <v>4123739</v>
      </c>
      <c r="C3851" s="20" t="s">
        <v>85</v>
      </c>
      <c r="D3851" s="18">
        <v>2000000</v>
      </c>
      <c r="E3851" s="19"/>
      <c r="F3851" s="15">
        <f t="shared" si="60"/>
        <v>-2000000</v>
      </c>
      <c r="H3851" s="10"/>
    </row>
    <row r="3852" spans="1:8" x14ac:dyDescent="0.2">
      <c r="A3852" s="91">
        <v>45594</v>
      </c>
      <c r="B3852" s="43">
        <v>4229518</v>
      </c>
      <c r="C3852" s="20" t="s">
        <v>85</v>
      </c>
      <c r="D3852" s="18">
        <v>2000000</v>
      </c>
      <c r="E3852" s="19"/>
      <c r="F3852" s="15">
        <f t="shared" si="60"/>
        <v>-2000000</v>
      </c>
    </row>
    <row r="3853" spans="1:8" x14ac:dyDescent="0.2">
      <c r="A3853" s="91">
        <v>45649</v>
      </c>
      <c r="B3853" s="43">
        <v>4162314</v>
      </c>
      <c r="C3853" s="20" t="s">
        <v>85</v>
      </c>
      <c r="D3853" s="18">
        <v>2000000</v>
      </c>
      <c r="E3853" s="19"/>
      <c r="F3853" s="15">
        <f t="shared" si="60"/>
        <v>-2000000</v>
      </c>
    </row>
    <row r="3854" spans="1:8" x14ac:dyDescent="0.2">
      <c r="A3854" s="91">
        <v>45742</v>
      </c>
      <c r="B3854" s="43">
        <v>4124296</v>
      </c>
      <c r="C3854" s="20" t="s">
        <v>85</v>
      </c>
      <c r="D3854" s="18">
        <v>2000000</v>
      </c>
      <c r="E3854" s="18"/>
      <c r="F3854" s="15">
        <f t="shared" si="60"/>
        <v>-2000000</v>
      </c>
    </row>
    <row r="3855" spans="1:8" x14ac:dyDescent="0.2">
      <c r="A3855" s="91">
        <v>45775</v>
      </c>
      <c r="B3855" s="43">
        <v>4247164</v>
      </c>
      <c r="C3855" s="20" t="s">
        <v>85</v>
      </c>
      <c r="D3855" s="18">
        <v>2000000</v>
      </c>
      <c r="E3855" s="19"/>
      <c r="F3855" s="15">
        <f t="shared" si="60"/>
        <v>-2000000</v>
      </c>
    </row>
    <row r="3856" spans="1:8" x14ac:dyDescent="0.2">
      <c r="A3856" s="91">
        <v>45800</v>
      </c>
      <c r="B3856" s="43">
        <v>4135159</v>
      </c>
      <c r="C3856" s="20" t="s">
        <v>85</v>
      </c>
      <c r="D3856" s="18">
        <v>2000000</v>
      </c>
      <c r="E3856" s="19"/>
      <c r="F3856" s="15">
        <f t="shared" si="60"/>
        <v>-2000000</v>
      </c>
    </row>
    <row r="3857" spans="1:8" x14ac:dyDescent="0.2">
      <c r="A3857" s="91">
        <v>45834</v>
      </c>
      <c r="B3857" s="43">
        <v>4066848</v>
      </c>
      <c r="C3857" s="20" t="s">
        <v>85</v>
      </c>
      <c r="D3857" s="18">
        <v>2000000</v>
      </c>
      <c r="E3857" s="19"/>
      <c r="F3857" s="15">
        <f t="shared" si="60"/>
        <v>-2000000</v>
      </c>
    </row>
    <row r="3858" spans="1:8" x14ac:dyDescent="0.2">
      <c r="A3858" s="91">
        <v>45897</v>
      </c>
      <c r="B3858" s="43">
        <v>4155743</v>
      </c>
      <c r="C3858" s="20" t="s">
        <v>85</v>
      </c>
      <c r="D3858" s="18">
        <v>2000000</v>
      </c>
      <c r="E3858" s="19"/>
      <c r="F3858" s="15">
        <f t="shared" si="60"/>
        <v>-2000000</v>
      </c>
    </row>
    <row r="3859" spans="1:8" x14ac:dyDescent="0.2">
      <c r="A3859" s="91">
        <v>45897</v>
      </c>
      <c r="B3859" s="43">
        <v>4155747</v>
      </c>
      <c r="C3859" s="20" t="s">
        <v>85</v>
      </c>
      <c r="D3859" s="18">
        <v>596386.62</v>
      </c>
      <c r="E3859" s="19"/>
      <c r="F3859" s="15">
        <f t="shared" si="60"/>
        <v>-596386.62</v>
      </c>
    </row>
    <row r="3860" spans="1:8" x14ac:dyDescent="0.2">
      <c r="A3860" s="91">
        <v>45583</v>
      </c>
      <c r="B3860" s="43">
        <v>4288195</v>
      </c>
      <c r="C3860" s="20" t="s">
        <v>125</v>
      </c>
      <c r="D3860" s="18">
        <v>918952</v>
      </c>
      <c r="E3860" s="19"/>
      <c r="F3860" s="15">
        <f t="shared" si="60"/>
        <v>-918952</v>
      </c>
    </row>
    <row r="3861" spans="1:8" x14ac:dyDescent="0.2">
      <c r="A3861" s="91">
        <v>45705</v>
      </c>
      <c r="B3861" s="46">
        <v>4064987</v>
      </c>
      <c r="C3861" s="56" t="s">
        <v>125</v>
      </c>
      <c r="D3861" s="48">
        <v>2000000</v>
      </c>
      <c r="E3861" s="49"/>
      <c r="F3861" s="15">
        <f t="shared" si="60"/>
        <v>-2000000</v>
      </c>
    </row>
    <row r="3862" spans="1:8" x14ac:dyDescent="0.2">
      <c r="A3862" s="91">
        <v>45856</v>
      </c>
      <c r="B3862" s="44">
        <v>4172744</v>
      </c>
      <c r="C3862" s="57" t="s">
        <v>549</v>
      </c>
      <c r="D3862" s="23">
        <v>3692191.38</v>
      </c>
      <c r="E3862" s="24"/>
      <c r="F3862" s="15">
        <f t="shared" si="60"/>
        <v>-3692191.38</v>
      </c>
    </row>
    <row r="3863" spans="1:8" x14ac:dyDescent="0.2">
      <c r="A3863" s="91">
        <v>45553</v>
      </c>
      <c r="B3863" s="16">
        <v>4035078</v>
      </c>
      <c r="C3863" s="20" t="s">
        <v>59</v>
      </c>
      <c r="D3863" s="18">
        <v>2621880.9900000002</v>
      </c>
      <c r="E3863" s="19"/>
      <c r="F3863" s="15">
        <f t="shared" si="60"/>
        <v>-2621880.9900000002</v>
      </c>
      <c r="H3863" s="10"/>
    </row>
    <row r="3864" spans="1:8" x14ac:dyDescent="0.2">
      <c r="A3864" s="91">
        <v>45581</v>
      </c>
      <c r="B3864" s="43">
        <v>4155548</v>
      </c>
      <c r="C3864" s="20" t="s">
        <v>59</v>
      </c>
      <c r="D3864" s="18">
        <v>1645636.49</v>
      </c>
      <c r="E3864" s="19"/>
      <c r="F3864" s="15">
        <f t="shared" si="60"/>
        <v>-1645636.49</v>
      </c>
    </row>
    <row r="3865" spans="1:8" x14ac:dyDescent="0.2">
      <c r="A3865" s="91">
        <v>45595</v>
      </c>
      <c r="B3865" s="43">
        <v>4024448</v>
      </c>
      <c r="C3865" s="20" t="s">
        <v>59</v>
      </c>
      <c r="D3865" s="18">
        <v>861857.6</v>
      </c>
      <c r="E3865" s="19"/>
      <c r="F3865" s="15">
        <f t="shared" si="60"/>
        <v>-861857.6</v>
      </c>
    </row>
    <row r="3866" spans="1:8" x14ac:dyDescent="0.2">
      <c r="A3866" s="91">
        <v>45611</v>
      </c>
      <c r="B3866" s="43">
        <v>4005372</v>
      </c>
      <c r="C3866" s="20" t="s">
        <v>59</v>
      </c>
      <c r="D3866" s="18">
        <v>2059508.61</v>
      </c>
      <c r="E3866" s="19"/>
      <c r="F3866" s="15">
        <f t="shared" si="60"/>
        <v>-2059508.61</v>
      </c>
    </row>
    <row r="3867" spans="1:8" x14ac:dyDescent="0.2">
      <c r="A3867" s="91">
        <v>45642</v>
      </c>
      <c r="B3867" s="43">
        <v>4165319</v>
      </c>
      <c r="C3867" s="20" t="s">
        <v>59</v>
      </c>
      <c r="D3867" s="18">
        <v>2180388.91</v>
      </c>
      <c r="E3867" s="19"/>
      <c r="F3867" s="15">
        <f t="shared" si="60"/>
        <v>-2180388.91</v>
      </c>
    </row>
    <row r="3868" spans="1:8" x14ac:dyDescent="0.2">
      <c r="A3868" s="91">
        <v>45678</v>
      </c>
      <c r="B3868" s="43">
        <v>4293989</v>
      </c>
      <c r="C3868" s="20" t="s">
        <v>59</v>
      </c>
      <c r="D3868" s="18">
        <v>2541883.2000000002</v>
      </c>
      <c r="E3868" s="19"/>
      <c r="F3868" s="15">
        <f t="shared" si="60"/>
        <v>-2541883.2000000002</v>
      </c>
    </row>
    <row r="3869" spans="1:8" x14ac:dyDescent="0.2">
      <c r="A3869" s="91">
        <v>45707</v>
      </c>
      <c r="B3869" s="43">
        <v>4181843</v>
      </c>
      <c r="C3869" s="20" t="s">
        <v>59</v>
      </c>
      <c r="D3869" s="18">
        <v>3449736.54</v>
      </c>
      <c r="E3869" s="19"/>
      <c r="F3869" s="15">
        <f t="shared" si="60"/>
        <v>-3449736.54</v>
      </c>
    </row>
    <row r="3870" spans="1:8" x14ac:dyDescent="0.2">
      <c r="A3870" s="91">
        <v>45735</v>
      </c>
      <c r="B3870" s="43">
        <v>4069432</v>
      </c>
      <c r="C3870" s="20" t="s">
        <v>59</v>
      </c>
      <c r="D3870" s="18">
        <v>2827017.08</v>
      </c>
      <c r="E3870" s="19"/>
      <c r="F3870" s="15">
        <f t="shared" si="60"/>
        <v>-2827017.08</v>
      </c>
    </row>
    <row r="3871" spans="1:8" x14ac:dyDescent="0.2">
      <c r="A3871" s="91">
        <v>45770</v>
      </c>
      <c r="B3871" s="43">
        <v>4283704</v>
      </c>
      <c r="C3871" s="20" t="s">
        <v>59</v>
      </c>
      <c r="D3871" s="18">
        <v>2153792.7799999998</v>
      </c>
      <c r="E3871" s="19"/>
      <c r="F3871" s="15">
        <f t="shared" si="60"/>
        <v>-2153792.7799999998</v>
      </c>
    </row>
    <row r="3872" spans="1:8" x14ac:dyDescent="0.2">
      <c r="A3872" s="91">
        <v>45796</v>
      </c>
      <c r="B3872" s="43">
        <v>4118597</v>
      </c>
      <c r="C3872" s="20" t="s">
        <v>59</v>
      </c>
      <c r="D3872" s="18">
        <v>1383502.19</v>
      </c>
      <c r="E3872" s="19"/>
      <c r="F3872" s="15">
        <f t="shared" si="60"/>
        <v>-1383502.19</v>
      </c>
    </row>
    <row r="3873" spans="1:6" x14ac:dyDescent="0.2">
      <c r="A3873" s="91">
        <v>45825</v>
      </c>
      <c r="B3873" s="43">
        <v>4126512</v>
      </c>
      <c r="C3873" s="20" t="s">
        <v>59</v>
      </c>
      <c r="D3873" s="18">
        <v>2457339.65</v>
      </c>
      <c r="E3873" s="18"/>
      <c r="F3873" s="15">
        <f t="shared" si="60"/>
        <v>-2457339.65</v>
      </c>
    </row>
    <row r="3874" spans="1:6" x14ac:dyDescent="0.2">
      <c r="A3874" s="91">
        <v>45889</v>
      </c>
      <c r="B3874" s="43">
        <v>4033120</v>
      </c>
      <c r="C3874" s="20" t="s">
        <v>59</v>
      </c>
      <c r="D3874" s="18">
        <v>3171423.51</v>
      </c>
      <c r="E3874" s="19"/>
      <c r="F3874" s="15">
        <f t="shared" si="60"/>
        <v>-3171423.51</v>
      </c>
    </row>
    <row r="3875" spans="1:6" x14ac:dyDescent="0.2">
      <c r="A3875" s="91">
        <v>45687</v>
      </c>
      <c r="B3875" s="43">
        <v>4137882</v>
      </c>
      <c r="C3875" s="20" t="s">
        <v>281</v>
      </c>
      <c r="D3875" s="18">
        <v>145200</v>
      </c>
      <c r="E3875" s="19"/>
      <c r="F3875" s="15">
        <f t="shared" si="60"/>
        <v>-145200</v>
      </c>
    </row>
    <row r="3876" spans="1:6" x14ac:dyDescent="0.2">
      <c r="A3876" s="91">
        <v>45841</v>
      </c>
      <c r="B3876" s="43">
        <v>4019032</v>
      </c>
      <c r="C3876" s="20" t="s">
        <v>515</v>
      </c>
      <c r="D3876" s="18">
        <v>2000000</v>
      </c>
      <c r="E3876" s="19"/>
      <c r="F3876" s="15">
        <f t="shared" si="60"/>
        <v>-2000000</v>
      </c>
    </row>
    <row r="3877" spans="1:6" x14ac:dyDescent="0.2">
      <c r="A3877" s="91">
        <v>45889</v>
      </c>
      <c r="B3877" s="43">
        <v>4033118</v>
      </c>
      <c r="C3877" s="20" t="s">
        <v>584</v>
      </c>
      <c r="D3877" s="18">
        <v>1139735.3</v>
      </c>
      <c r="E3877" s="19"/>
      <c r="F3877" s="15">
        <f t="shared" si="60"/>
        <v>-1139735.3</v>
      </c>
    </row>
    <row r="3878" spans="1:6" x14ac:dyDescent="0.2">
      <c r="A3878" s="91">
        <v>45631</v>
      </c>
      <c r="B3878" s="43">
        <v>4037495</v>
      </c>
      <c r="C3878" s="20" t="s">
        <v>206</v>
      </c>
      <c r="D3878" s="18">
        <v>101640</v>
      </c>
      <c r="E3878" s="19"/>
      <c r="F3878" s="15">
        <f t="shared" si="60"/>
        <v>-101640</v>
      </c>
    </row>
    <row r="3879" spans="1:6" x14ac:dyDescent="0.2">
      <c r="A3879" s="91">
        <v>45631</v>
      </c>
      <c r="B3879" s="43">
        <v>4037496</v>
      </c>
      <c r="C3879" s="20" t="s">
        <v>206</v>
      </c>
      <c r="D3879" s="18">
        <v>101640</v>
      </c>
      <c r="E3879" s="19"/>
      <c r="F3879" s="15">
        <f t="shared" si="60"/>
        <v>-101640</v>
      </c>
    </row>
    <row r="3880" spans="1:6" x14ac:dyDescent="0.2">
      <c r="A3880" s="91">
        <v>45841</v>
      </c>
      <c r="B3880" s="43">
        <v>4019038</v>
      </c>
      <c r="C3880" s="20" t="s">
        <v>517</v>
      </c>
      <c r="D3880" s="18">
        <v>300000</v>
      </c>
      <c r="E3880" s="19"/>
      <c r="F3880" s="15">
        <f t="shared" si="60"/>
        <v>-300000</v>
      </c>
    </row>
    <row r="3881" spans="1:6" x14ac:dyDescent="0.2">
      <c r="A3881" s="91">
        <v>45796</v>
      </c>
      <c r="B3881" s="43">
        <v>4118599</v>
      </c>
      <c r="C3881" s="20" t="s">
        <v>447</v>
      </c>
      <c r="D3881" s="18">
        <v>300000</v>
      </c>
      <c r="E3881" s="19"/>
      <c r="F3881" s="15">
        <f t="shared" si="60"/>
        <v>-300000</v>
      </c>
    </row>
    <row r="3882" spans="1:6" x14ac:dyDescent="0.2">
      <c r="A3882" s="91">
        <v>45723</v>
      </c>
      <c r="B3882" s="43">
        <v>4010037</v>
      </c>
      <c r="C3882" s="20" t="s">
        <v>341</v>
      </c>
      <c r="D3882" s="18">
        <v>117000</v>
      </c>
      <c r="E3882" s="19"/>
      <c r="F3882" s="15">
        <f t="shared" si="60"/>
        <v>-117000</v>
      </c>
    </row>
    <row r="3883" spans="1:6" x14ac:dyDescent="0.2">
      <c r="A3883" s="91">
        <v>45845</v>
      </c>
      <c r="B3883" s="43">
        <v>4082255</v>
      </c>
      <c r="C3883" s="20" t="s">
        <v>524</v>
      </c>
      <c r="D3883" s="18">
        <v>300000</v>
      </c>
      <c r="E3883" s="19"/>
      <c r="F3883" s="15">
        <f t="shared" si="60"/>
        <v>-300000</v>
      </c>
    </row>
    <row r="3884" spans="1:6" x14ac:dyDescent="0.2">
      <c r="A3884" s="91">
        <v>45747</v>
      </c>
      <c r="B3884" s="43">
        <v>4107260</v>
      </c>
      <c r="C3884" s="20" t="s">
        <v>372</v>
      </c>
      <c r="D3884" s="18">
        <v>5348196</v>
      </c>
      <c r="E3884" s="19"/>
      <c r="F3884" s="15">
        <f t="shared" si="60"/>
        <v>-5348196</v>
      </c>
    </row>
    <row r="3885" spans="1:6" x14ac:dyDescent="0.2">
      <c r="A3885" s="91">
        <v>45692</v>
      </c>
      <c r="B3885" s="43">
        <v>4099968</v>
      </c>
      <c r="C3885" s="20" t="s">
        <v>287</v>
      </c>
      <c r="D3885" s="18">
        <v>2075000</v>
      </c>
      <c r="E3885" s="19"/>
      <c r="F3885" s="15">
        <f t="shared" si="60"/>
        <v>-2075000</v>
      </c>
    </row>
    <row r="3886" spans="1:6" x14ac:dyDescent="0.2">
      <c r="A3886" s="91">
        <v>45660</v>
      </c>
      <c r="B3886" s="43">
        <v>4126442</v>
      </c>
      <c r="C3886" s="20" t="s">
        <v>228</v>
      </c>
      <c r="D3886" s="18">
        <v>2075000</v>
      </c>
      <c r="E3886" s="19"/>
      <c r="F3886" s="15">
        <f t="shared" si="60"/>
        <v>-2075000</v>
      </c>
    </row>
    <row r="3887" spans="1:6" x14ac:dyDescent="0.2">
      <c r="A3887" s="91">
        <v>45721</v>
      </c>
      <c r="B3887" s="43">
        <v>4003436</v>
      </c>
      <c r="C3887" s="20" t="s">
        <v>228</v>
      </c>
      <c r="D3887" s="18">
        <v>2115000</v>
      </c>
      <c r="E3887" s="19"/>
      <c r="F3887" s="15">
        <f t="shared" si="60"/>
        <v>-2115000</v>
      </c>
    </row>
    <row r="3888" spans="1:6" x14ac:dyDescent="0.2">
      <c r="A3888" s="91">
        <v>45751</v>
      </c>
      <c r="B3888" s="43">
        <v>4161206</v>
      </c>
      <c r="C3888" s="20" t="s">
        <v>228</v>
      </c>
      <c r="D3888" s="18">
        <v>2151000</v>
      </c>
      <c r="E3888" s="19"/>
      <c r="F3888" s="15">
        <f t="shared" si="60"/>
        <v>-2151000</v>
      </c>
    </row>
    <row r="3889" spans="1:8" x14ac:dyDescent="0.2">
      <c r="A3889" s="91">
        <v>45782</v>
      </c>
      <c r="B3889" s="43">
        <v>4062800</v>
      </c>
      <c r="C3889" s="20" t="s">
        <v>228</v>
      </c>
      <c r="D3889" s="18">
        <v>2185370</v>
      </c>
      <c r="E3889" s="19"/>
      <c r="F3889" s="15">
        <f t="shared" si="60"/>
        <v>-2185370</v>
      </c>
    </row>
    <row r="3890" spans="1:8" x14ac:dyDescent="0.2">
      <c r="A3890" s="91">
        <v>45811</v>
      </c>
      <c r="B3890" s="43">
        <v>4093816</v>
      </c>
      <c r="C3890" s="20" t="s">
        <v>228</v>
      </c>
      <c r="D3890" s="18">
        <v>2185370</v>
      </c>
      <c r="E3890" s="19"/>
      <c r="F3890" s="15">
        <f t="shared" si="60"/>
        <v>-2185370</v>
      </c>
    </row>
    <row r="3891" spans="1:8" x14ac:dyDescent="0.2">
      <c r="A3891" s="91">
        <v>45538</v>
      </c>
      <c r="B3891" s="67">
        <v>4226374</v>
      </c>
      <c r="C3891" s="56" t="s">
        <v>20</v>
      </c>
      <c r="D3891" s="48">
        <v>1863000</v>
      </c>
      <c r="E3891" s="49"/>
      <c r="F3891" s="15">
        <f t="shared" si="60"/>
        <v>-1863000</v>
      </c>
      <c r="H3891" s="10"/>
    </row>
    <row r="3892" spans="1:8" x14ac:dyDescent="0.2">
      <c r="A3892" s="91">
        <v>45568</v>
      </c>
      <c r="B3892" s="44">
        <v>4238486</v>
      </c>
      <c r="C3892" s="57" t="s">
        <v>20</v>
      </c>
      <c r="D3892" s="23">
        <v>1863000</v>
      </c>
      <c r="E3892" s="24"/>
      <c r="F3892" s="15">
        <f t="shared" si="60"/>
        <v>-1863000</v>
      </c>
    </row>
    <row r="3893" spans="1:8" x14ac:dyDescent="0.2">
      <c r="A3893" s="91">
        <v>45600</v>
      </c>
      <c r="B3893" s="43">
        <v>4035217</v>
      </c>
      <c r="C3893" s="20" t="s">
        <v>20</v>
      </c>
      <c r="D3893" s="18">
        <v>1863000</v>
      </c>
      <c r="E3893" s="19"/>
      <c r="F3893" s="15">
        <f t="shared" si="60"/>
        <v>-1863000</v>
      </c>
    </row>
    <row r="3894" spans="1:8" x14ac:dyDescent="0.2">
      <c r="A3894" s="91">
        <v>45629</v>
      </c>
      <c r="B3894" s="43">
        <v>4096246</v>
      </c>
      <c r="C3894" s="20" t="s">
        <v>20</v>
      </c>
      <c r="D3894" s="18">
        <v>2010000</v>
      </c>
      <c r="E3894" s="19"/>
      <c r="F3894" s="15">
        <f t="shared" si="60"/>
        <v>-2010000</v>
      </c>
    </row>
    <row r="3895" spans="1:8" x14ac:dyDescent="0.2">
      <c r="A3895" s="91">
        <v>45645</v>
      </c>
      <c r="B3895" s="43">
        <v>4188682</v>
      </c>
      <c r="C3895" s="20" t="s">
        <v>20</v>
      </c>
      <c r="D3895" s="18">
        <v>1037500</v>
      </c>
      <c r="E3895" s="19"/>
      <c r="F3895" s="15">
        <f t="shared" si="60"/>
        <v>-1037500</v>
      </c>
    </row>
    <row r="3896" spans="1:8" x14ac:dyDescent="0.2">
      <c r="A3896" s="91">
        <v>45601</v>
      </c>
      <c r="B3896" s="43">
        <v>4194065</v>
      </c>
      <c r="C3896" s="20" t="s">
        <v>147</v>
      </c>
      <c r="D3896" s="18">
        <v>522000</v>
      </c>
      <c r="E3896" s="19"/>
      <c r="F3896" s="15">
        <f t="shared" si="60"/>
        <v>-522000</v>
      </c>
    </row>
    <row r="3897" spans="1:8" x14ac:dyDescent="0.2">
      <c r="A3897" s="91">
        <v>45558</v>
      </c>
      <c r="B3897" s="16">
        <v>4299695</v>
      </c>
      <c r="C3897" s="20" t="s">
        <v>77</v>
      </c>
      <c r="D3897" s="18">
        <v>126500</v>
      </c>
      <c r="E3897" s="19"/>
      <c r="F3897" s="15">
        <f t="shared" si="60"/>
        <v>-126500</v>
      </c>
      <c r="H3897" s="10"/>
    </row>
    <row r="3898" spans="1:8" x14ac:dyDescent="0.2">
      <c r="A3898" s="91">
        <v>45863</v>
      </c>
      <c r="B3898" s="43">
        <v>4231774</v>
      </c>
      <c r="C3898" s="20" t="s">
        <v>559</v>
      </c>
      <c r="D3898" s="18">
        <v>180000</v>
      </c>
      <c r="E3898" s="19"/>
      <c r="F3898" s="15">
        <f t="shared" si="60"/>
        <v>-180000</v>
      </c>
    </row>
    <row r="3899" spans="1:8" x14ac:dyDescent="0.2">
      <c r="A3899" s="91">
        <v>45709</v>
      </c>
      <c r="B3899" s="43">
        <v>4069595</v>
      </c>
      <c r="C3899" s="20" t="s">
        <v>316</v>
      </c>
      <c r="D3899" s="18">
        <v>67000</v>
      </c>
      <c r="E3899" s="19"/>
      <c r="F3899" s="15">
        <f t="shared" si="60"/>
        <v>-67000</v>
      </c>
    </row>
    <row r="3900" spans="1:8" x14ac:dyDescent="0.2">
      <c r="A3900" s="91">
        <v>45825</v>
      </c>
      <c r="B3900" s="43">
        <v>4126520</v>
      </c>
      <c r="C3900" s="20" t="s">
        <v>316</v>
      </c>
      <c r="D3900" s="18">
        <v>95000</v>
      </c>
      <c r="E3900" s="19"/>
      <c r="F3900" s="15">
        <f t="shared" si="60"/>
        <v>-95000</v>
      </c>
    </row>
    <row r="3901" spans="1:8" x14ac:dyDescent="0.2">
      <c r="A3901" s="91">
        <v>45566</v>
      </c>
      <c r="B3901" s="43">
        <v>4067832</v>
      </c>
      <c r="C3901" s="20" t="s">
        <v>102</v>
      </c>
      <c r="D3901" s="18">
        <v>105000</v>
      </c>
      <c r="E3901" s="19"/>
      <c r="F3901" s="15">
        <f t="shared" si="60"/>
        <v>-105000</v>
      </c>
    </row>
    <row r="3902" spans="1:8" x14ac:dyDescent="0.2">
      <c r="A3902" s="91">
        <v>45610</v>
      </c>
      <c r="B3902" s="43">
        <v>4195863</v>
      </c>
      <c r="C3902" s="20" t="s">
        <v>160</v>
      </c>
      <c r="D3902" s="18">
        <v>1115855.95</v>
      </c>
      <c r="E3902" s="19"/>
      <c r="F3902" s="15">
        <f t="shared" si="60"/>
        <v>-1115855.95</v>
      </c>
    </row>
    <row r="3903" spans="1:8" x14ac:dyDescent="0.2">
      <c r="A3903" s="91">
        <v>45833</v>
      </c>
      <c r="B3903" s="43">
        <v>4269879</v>
      </c>
      <c r="C3903" s="20" t="s">
        <v>502</v>
      </c>
      <c r="D3903" s="18">
        <v>1020000</v>
      </c>
      <c r="E3903" s="19"/>
      <c r="F3903" s="15">
        <f t="shared" si="60"/>
        <v>-1020000</v>
      </c>
    </row>
    <row r="3904" spans="1:8" x14ac:dyDescent="0.2">
      <c r="A3904" s="91">
        <v>45863</v>
      </c>
      <c r="B3904" s="43">
        <v>4231772</v>
      </c>
      <c r="C3904" s="20" t="s">
        <v>557</v>
      </c>
      <c r="D3904" s="18">
        <v>25000</v>
      </c>
      <c r="E3904" s="19"/>
      <c r="F3904" s="15">
        <f t="shared" si="60"/>
        <v>-25000</v>
      </c>
    </row>
    <row r="3905" spans="1:6" x14ac:dyDescent="0.2">
      <c r="A3905" s="91">
        <v>45841</v>
      </c>
      <c r="B3905" s="43">
        <v>4019036</v>
      </c>
      <c r="C3905" s="20" t="s">
        <v>516</v>
      </c>
      <c r="D3905" s="18">
        <v>93291</v>
      </c>
      <c r="E3905" s="19"/>
      <c r="F3905" s="15">
        <f t="shared" si="60"/>
        <v>-93291</v>
      </c>
    </row>
    <row r="3906" spans="1:6" x14ac:dyDescent="0.2">
      <c r="A3906" s="91">
        <v>45677</v>
      </c>
      <c r="B3906" s="43">
        <v>4206016</v>
      </c>
      <c r="C3906" s="20" t="s">
        <v>259</v>
      </c>
      <c r="D3906" s="18">
        <v>120366.15</v>
      </c>
      <c r="E3906" s="19"/>
      <c r="F3906" s="15">
        <f t="shared" si="60"/>
        <v>-120366.15</v>
      </c>
    </row>
    <row r="3907" spans="1:6" x14ac:dyDescent="0.2">
      <c r="A3907" s="91">
        <v>45770</v>
      </c>
      <c r="B3907" s="43">
        <v>4283768</v>
      </c>
      <c r="C3907" s="20" t="s">
        <v>402</v>
      </c>
      <c r="D3907" s="18">
        <v>325890</v>
      </c>
      <c r="E3907" s="19"/>
      <c r="F3907" s="15">
        <f t="shared" ref="F3907:F3970" si="61">+E3907-D3907</f>
        <v>-325890</v>
      </c>
    </row>
    <row r="3908" spans="1:6" x14ac:dyDescent="0.2">
      <c r="A3908" s="91">
        <v>45770</v>
      </c>
      <c r="B3908" s="43">
        <v>4283769</v>
      </c>
      <c r="C3908" s="20" t="s">
        <v>402</v>
      </c>
      <c r="D3908" s="18">
        <v>1246551</v>
      </c>
      <c r="E3908" s="19"/>
      <c r="F3908" s="15">
        <f t="shared" si="61"/>
        <v>-1246551</v>
      </c>
    </row>
    <row r="3909" spans="1:6" x14ac:dyDescent="0.2">
      <c r="A3909" s="91">
        <v>45856</v>
      </c>
      <c r="B3909" s="43">
        <v>4172700</v>
      </c>
      <c r="C3909" s="20" t="s">
        <v>545</v>
      </c>
      <c r="D3909" s="18">
        <v>1045690.48</v>
      </c>
      <c r="E3909" s="19"/>
      <c r="F3909" s="15">
        <f t="shared" si="61"/>
        <v>-1045690.48</v>
      </c>
    </row>
    <row r="3910" spans="1:6" x14ac:dyDescent="0.2">
      <c r="A3910" s="91">
        <v>45873</v>
      </c>
      <c r="B3910" s="43">
        <v>4159022</v>
      </c>
      <c r="C3910" s="20" t="s">
        <v>545</v>
      </c>
      <c r="D3910" s="18">
        <v>1045690.48</v>
      </c>
      <c r="E3910" s="19"/>
      <c r="F3910" s="15">
        <f t="shared" si="61"/>
        <v>-1045690.48</v>
      </c>
    </row>
    <row r="3911" spans="1:6" x14ac:dyDescent="0.2">
      <c r="A3911" s="91">
        <v>45583</v>
      </c>
      <c r="B3911" s="43">
        <v>4288191</v>
      </c>
      <c r="C3911" s="20" t="s">
        <v>123</v>
      </c>
      <c r="D3911" s="18">
        <v>733565.94</v>
      </c>
      <c r="E3911" s="19"/>
      <c r="F3911" s="15">
        <f t="shared" si="61"/>
        <v>-733565.94</v>
      </c>
    </row>
    <row r="3912" spans="1:6" x14ac:dyDescent="0.2">
      <c r="A3912" s="91">
        <v>45639</v>
      </c>
      <c r="B3912" s="43">
        <v>4052911</v>
      </c>
      <c r="C3912" s="20" t="s">
        <v>123</v>
      </c>
      <c r="D3912" s="18">
        <v>1647656.41</v>
      </c>
      <c r="E3912" s="19"/>
      <c r="F3912" s="15">
        <f t="shared" si="61"/>
        <v>-1647656.41</v>
      </c>
    </row>
    <row r="3913" spans="1:6" x14ac:dyDescent="0.2">
      <c r="A3913" s="91">
        <v>45660</v>
      </c>
      <c r="B3913" s="43">
        <v>4165468</v>
      </c>
      <c r="C3913" s="20" t="s">
        <v>123</v>
      </c>
      <c r="D3913" s="18">
        <v>856935.77</v>
      </c>
      <c r="E3913" s="19"/>
      <c r="F3913" s="15">
        <f t="shared" si="61"/>
        <v>-856935.77</v>
      </c>
    </row>
    <row r="3914" spans="1:6" x14ac:dyDescent="0.2">
      <c r="A3914" s="91">
        <v>45716</v>
      </c>
      <c r="B3914" s="43">
        <v>4185467</v>
      </c>
      <c r="C3914" s="20" t="s">
        <v>123</v>
      </c>
      <c r="D3914" s="18">
        <v>893241.98</v>
      </c>
      <c r="E3914" s="19"/>
      <c r="F3914" s="15">
        <f t="shared" si="61"/>
        <v>-893241.98</v>
      </c>
    </row>
    <row r="3915" spans="1:6" x14ac:dyDescent="0.2">
      <c r="A3915" s="91">
        <v>45744</v>
      </c>
      <c r="B3915" s="43">
        <v>4002725</v>
      </c>
      <c r="C3915" s="20" t="s">
        <v>123</v>
      </c>
      <c r="D3915" s="18">
        <v>893241.98</v>
      </c>
      <c r="E3915" s="19"/>
      <c r="F3915" s="15">
        <f t="shared" si="61"/>
        <v>-893241.98</v>
      </c>
    </row>
    <row r="3916" spans="1:6" x14ac:dyDescent="0.2">
      <c r="A3916" s="91">
        <v>45796</v>
      </c>
      <c r="B3916" s="43">
        <v>4118596</v>
      </c>
      <c r="C3916" s="20" t="s">
        <v>123</v>
      </c>
      <c r="D3916" s="18">
        <v>160885.78</v>
      </c>
      <c r="E3916" s="19"/>
      <c r="F3916" s="15">
        <f t="shared" si="61"/>
        <v>-160885.78</v>
      </c>
    </row>
    <row r="3917" spans="1:6" x14ac:dyDescent="0.2">
      <c r="A3917" s="91">
        <v>45800</v>
      </c>
      <c r="B3917" s="43">
        <v>4135161</v>
      </c>
      <c r="C3917" s="20" t="s">
        <v>123</v>
      </c>
      <c r="D3917" s="18">
        <v>1693131.3</v>
      </c>
      <c r="E3917" s="19"/>
      <c r="F3917" s="15">
        <f t="shared" si="61"/>
        <v>-1693131.3</v>
      </c>
    </row>
    <row r="3918" spans="1:6" x14ac:dyDescent="0.2">
      <c r="A3918" s="91">
        <v>45897</v>
      </c>
      <c r="B3918" s="43">
        <v>4155742</v>
      </c>
      <c r="C3918" s="20" t="s">
        <v>123</v>
      </c>
      <c r="D3918" s="18">
        <v>1045690.48</v>
      </c>
      <c r="E3918" s="19"/>
      <c r="F3918" s="15">
        <f t="shared" si="61"/>
        <v>-1045690.48</v>
      </c>
    </row>
    <row r="3919" spans="1:6" x14ac:dyDescent="0.2">
      <c r="A3919" s="91">
        <v>45742</v>
      </c>
      <c r="B3919" s="43">
        <v>4090645</v>
      </c>
      <c r="C3919" s="20" t="s">
        <v>362</v>
      </c>
      <c r="D3919" s="18">
        <v>100000</v>
      </c>
      <c r="E3919" s="19"/>
      <c r="F3919" s="15">
        <f t="shared" si="61"/>
        <v>-100000</v>
      </c>
    </row>
    <row r="3920" spans="1:6" x14ac:dyDescent="0.2">
      <c r="A3920" s="91">
        <v>45784</v>
      </c>
      <c r="B3920" s="43">
        <v>4272502</v>
      </c>
      <c r="C3920" s="20" t="s">
        <v>362</v>
      </c>
      <c r="D3920" s="18">
        <v>100000</v>
      </c>
      <c r="E3920" s="19"/>
      <c r="F3920" s="15">
        <f t="shared" si="61"/>
        <v>-100000</v>
      </c>
    </row>
    <row r="3921" spans="1:8" x14ac:dyDescent="0.2">
      <c r="A3921" s="91">
        <v>45821</v>
      </c>
      <c r="B3921" s="46">
        <v>4069616</v>
      </c>
      <c r="C3921" s="56" t="s">
        <v>362</v>
      </c>
      <c r="D3921" s="48">
        <v>120000</v>
      </c>
      <c r="E3921" s="49"/>
      <c r="F3921" s="15">
        <f t="shared" si="61"/>
        <v>-120000</v>
      </c>
    </row>
    <row r="3922" spans="1:8" x14ac:dyDescent="0.2">
      <c r="A3922" s="91">
        <v>45646</v>
      </c>
      <c r="B3922" s="44">
        <v>4066137</v>
      </c>
      <c r="C3922" s="57" t="s">
        <v>220</v>
      </c>
      <c r="D3922" s="23">
        <v>360909.8</v>
      </c>
      <c r="E3922" s="24"/>
      <c r="F3922" s="15">
        <f t="shared" si="61"/>
        <v>-360909.8</v>
      </c>
    </row>
    <row r="3923" spans="1:8" x14ac:dyDescent="0.2">
      <c r="A3923" s="91">
        <v>45677</v>
      </c>
      <c r="B3923" s="43">
        <v>4206015</v>
      </c>
      <c r="C3923" s="20" t="s">
        <v>220</v>
      </c>
      <c r="D3923" s="18">
        <v>484000</v>
      </c>
      <c r="E3923" s="19"/>
      <c r="F3923" s="15">
        <f t="shared" si="61"/>
        <v>-484000</v>
      </c>
    </row>
    <row r="3924" spans="1:8" x14ac:dyDescent="0.2">
      <c r="A3924" s="91">
        <v>45716</v>
      </c>
      <c r="B3924" s="43">
        <v>4185468</v>
      </c>
      <c r="C3924" s="20" t="s">
        <v>220</v>
      </c>
      <c r="D3924" s="18">
        <v>363000</v>
      </c>
      <c r="E3924" s="19"/>
      <c r="F3924" s="15">
        <f t="shared" si="61"/>
        <v>-363000</v>
      </c>
    </row>
    <row r="3925" spans="1:8" x14ac:dyDescent="0.2">
      <c r="A3925" s="91">
        <v>45825</v>
      </c>
      <c r="B3925" s="43">
        <v>4126515</v>
      </c>
      <c r="C3925" s="20" t="s">
        <v>488</v>
      </c>
      <c r="D3925" s="18">
        <v>300000</v>
      </c>
      <c r="E3925" s="19"/>
      <c r="F3925" s="15">
        <f t="shared" si="61"/>
        <v>-300000</v>
      </c>
    </row>
    <row r="3926" spans="1:8" x14ac:dyDescent="0.2">
      <c r="A3926" s="91">
        <v>45841</v>
      </c>
      <c r="B3926" s="66">
        <v>4019034</v>
      </c>
      <c r="C3926" s="83" t="s">
        <v>488</v>
      </c>
      <c r="D3926" s="64">
        <v>250000</v>
      </c>
      <c r="E3926" s="35"/>
      <c r="F3926" s="15">
        <f t="shared" si="61"/>
        <v>-250000</v>
      </c>
    </row>
    <row r="3927" spans="1:8" x14ac:dyDescent="0.2">
      <c r="A3927" s="92">
        <v>45833</v>
      </c>
      <c r="B3927" s="70">
        <v>4269871</v>
      </c>
      <c r="C3927" s="9" t="s">
        <v>500</v>
      </c>
      <c r="D3927" s="63">
        <v>600000</v>
      </c>
      <c r="E3927" s="49"/>
      <c r="F3927" s="15">
        <f t="shared" si="61"/>
        <v>-600000</v>
      </c>
    </row>
    <row r="3928" spans="1:8" x14ac:dyDescent="0.2">
      <c r="A3928" s="92">
        <v>45811</v>
      </c>
      <c r="B3928" s="70">
        <v>4093826</v>
      </c>
      <c r="C3928" s="9" t="s">
        <v>471</v>
      </c>
      <c r="D3928" s="63">
        <v>61000</v>
      </c>
      <c r="E3928" s="49"/>
      <c r="F3928" s="15">
        <f t="shared" si="61"/>
        <v>-61000</v>
      </c>
    </row>
    <row r="3929" spans="1:8" x14ac:dyDescent="0.2">
      <c r="A3929" s="92">
        <v>45544</v>
      </c>
      <c r="B3929" s="77">
        <v>4070259</v>
      </c>
      <c r="C3929" s="9" t="s">
        <v>33</v>
      </c>
      <c r="D3929" s="63">
        <v>1350000</v>
      </c>
      <c r="E3929" s="49"/>
      <c r="F3929" s="15">
        <f t="shared" si="61"/>
        <v>-1350000</v>
      </c>
      <c r="H3929" s="10"/>
    </row>
    <row r="3930" spans="1:8" x14ac:dyDescent="0.2">
      <c r="A3930" s="91">
        <v>45566</v>
      </c>
      <c r="B3930" s="72">
        <v>4066525</v>
      </c>
      <c r="C3930" s="65" t="s">
        <v>33</v>
      </c>
      <c r="D3930" s="8">
        <v>1350000</v>
      </c>
      <c r="E3930" s="7"/>
      <c r="F3930" s="15">
        <f t="shared" si="61"/>
        <v>-1350000</v>
      </c>
    </row>
    <row r="3931" spans="1:8" x14ac:dyDescent="0.2">
      <c r="A3931" s="91">
        <v>45723</v>
      </c>
      <c r="B3931" s="60">
        <v>4286219</v>
      </c>
      <c r="C3931" s="12" t="s">
        <v>33</v>
      </c>
      <c r="D3931" s="13">
        <v>1567000</v>
      </c>
      <c r="E3931" s="14"/>
      <c r="F3931" s="15">
        <f t="shared" si="61"/>
        <v>-1567000</v>
      </c>
    </row>
    <row r="3932" spans="1:8" x14ac:dyDescent="0.2">
      <c r="A3932" s="91">
        <v>45770</v>
      </c>
      <c r="B3932" s="43">
        <v>4283705</v>
      </c>
      <c r="C3932" s="20" t="s">
        <v>33</v>
      </c>
      <c r="D3932" s="18">
        <v>1567000</v>
      </c>
      <c r="E3932" s="19"/>
      <c r="F3932" s="15">
        <f t="shared" si="61"/>
        <v>-1567000</v>
      </c>
    </row>
    <row r="3933" spans="1:8" x14ac:dyDescent="0.2">
      <c r="A3933" s="91">
        <v>45792</v>
      </c>
      <c r="B3933" s="43">
        <v>4214526</v>
      </c>
      <c r="C3933" s="20" t="s">
        <v>33</v>
      </c>
      <c r="D3933" s="18">
        <v>1567000</v>
      </c>
      <c r="E3933" s="19"/>
      <c r="F3933" s="15">
        <f t="shared" si="61"/>
        <v>-1567000</v>
      </c>
    </row>
    <row r="3934" spans="1:8" x14ac:dyDescent="0.2">
      <c r="A3934" s="91">
        <v>45821</v>
      </c>
      <c r="B3934" s="43">
        <v>4069618</v>
      </c>
      <c r="C3934" s="20" t="s">
        <v>33</v>
      </c>
      <c r="D3934" s="18">
        <v>1567000</v>
      </c>
      <c r="E3934" s="19"/>
      <c r="F3934" s="15">
        <f t="shared" si="61"/>
        <v>-1567000</v>
      </c>
    </row>
    <row r="3935" spans="1:8" x14ac:dyDescent="0.2">
      <c r="A3935" s="91">
        <v>45897</v>
      </c>
      <c r="B3935" s="43">
        <v>4155745</v>
      </c>
      <c r="C3935" s="20" t="s">
        <v>33</v>
      </c>
      <c r="D3935" s="18">
        <v>3134000</v>
      </c>
      <c r="E3935" s="19"/>
      <c r="F3935" s="15">
        <f t="shared" si="61"/>
        <v>-3134000</v>
      </c>
    </row>
    <row r="3936" spans="1:8" x14ac:dyDescent="0.2">
      <c r="A3936" s="91">
        <v>45611</v>
      </c>
      <c r="B3936" s="43">
        <v>4005360</v>
      </c>
      <c r="C3936" s="20" t="s">
        <v>162</v>
      </c>
      <c r="D3936" s="18">
        <v>1350000</v>
      </c>
      <c r="E3936" s="19"/>
      <c r="F3936" s="15">
        <f t="shared" si="61"/>
        <v>-1350000</v>
      </c>
    </row>
    <row r="3937" spans="1:8" x14ac:dyDescent="0.2">
      <c r="A3937" s="91">
        <v>45631</v>
      </c>
      <c r="B3937" s="43">
        <v>4037500</v>
      </c>
      <c r="C3937" s="20" t="s">
        <v>162</v>
      </c>
      <c r="D3937" s="18">
        <v>1350000</v>
      </c>
      <c r="E3937" s="19"/>
      <c r="F3937" s="15">
        <f t="shared" si="61"/>
        <v>-1350000</v>
      </c>
    </row>
    <row r="3938" spans="1:8" x14ac:dyDescent="0.2">
      <c r="A3938" s="91">
        <v>45660</v>
      </c>
      <c r="B3938" s="43">
        <v>4126443</v>
      </c>
      <c r="C3938" s="20" t="s">
        <v>162</v>
      </c>
      <c r="D3938" s="18">
        <v>1350000</v>
      </c>
      <c r="E3938" s="19"/>
      <c r="F3938" s="15">
        <f t="shared" si="61"/>
        <v>-1350000</v>
      </c>
    </row>
    <row r="3939" spans="1:8" x14ac:dyDescent="0.2">
      <c r="A3939" s="91">
        <v>45698</v>
      </c>
      <c r="B3939" s="43">
        <v>4294395</v>
      </c>
      <c r="C3939" s="20" t="s">
        <v>162</v>
      </c>
      <c r="D3939" s="18">
        <v>1537000</v>
      </c>
      <c r="E3939" s="19"/>
      <c r="F3939" s="15">
        <f t="shared" si="61"/>
        <v>-1537000</v>
      </c>
    </row>
    <row r="3940" spans="1:8" x14ac:dyDescent="0.2">
      <c r="A3940" s="91">
        <v>45775</v>
      </c>
      <c r="B3940" s="43">
        <v>4247165</v>
      </c>
      <c r="C3940" s="20" t="s">
        <v>414</v>
      </c>
      <c r="D3940" s="18">
        <v>2850000</v>
      </c>
      <c r="E3940" s="19"/>
      <c r="F3940" s="15">
        <f t="shared" si="61"/>
        <v>-2850000</v>
      </c>
    </row>
    <row r="3941" spans="1:8" x14ac:dyDescent="0.2">
      <c r="A3941" s="91">
        <v>45623</v>
      </c>
      <c r="B3941" s="43">
        <v>4289320</v>
      </c>
      <c r="C3941" s="20" t="s">
        <v>190</v>
      </c>
      <c r="D3941" s="18">
        <v>735696</v>
      </c>
      <c r="E3941" s="19"/>
      <c r="F3941" s="15">
        <f t="shared" si="61"/>
        <v>-735696</v>
      </c>
    </row>
    <row r="3942" spans="1:8" x14ac:dyDescent="0.2">
      <c r="A3942" s="91">
        <v>45863</v>
      </c>
      <c r="B3942" s="43">
        <v>4231771</v>
      </c>
      <c r="C3942" s="20" t="s">
        <v>190</v>
      </c>
      <c r="D3942" s="18">
        <v>195000</v>
      </c>
      <c r="E3942" s="19"/>
      <c r="F3942" s="15">
        <f t="shared" si="61"/>
        <v>-195000</v>
      </c>
    </row>
    <row r="3943" spans="1:8" x14ac:dyDescent="0.2">
      <c r="A3943" s="91">
        <v>45681</v>
      </c>
      <c r="B3943" s="43">
        <v>4199177</v>
      </c>
      <c r="C3943" s="20" t="s">
        <v>272</v>
      </c>
      <c r="D3943" s="18">
        <v>421200</v>
      </c>
      <c r="E3943" s="19"/>
      <c r="F3943" s="15">
        <f t="shared" si="61"/>
        <v>-421200</v>
      </c>
    </row>
    <row r="3944" spans="1:8" x14ac:dyDescent="0.2">
      <c r="A3944" s="91">
        <v>45560</v>
      </c>
      <c r="B3944" s="16">
        <v>4123740</v>
      </c>
      <c r="C3944" s="20" t="s">
        <v>86</v>
      </c>
      <c r="D3944" s="18">
        <v>187200</v>
      </c>
      <c r="E3944" s="19"/>
      <c r="F3944" s="15">
        <f t="shared" si="61"/>
        <v>-187200</v>
      </c>
      <c r="H3944" s="10"/>
    </row>
    <row r="3945" spans="1:8" x14ac:dyDescent="0.2">
      <c r="A3945" s="91">
        <v>45594</v>
      </c>
      <c r="B3945" s="43">
        <v>4229519</v>
      </c>
      <c r="C3945" s="20" t="s">
        <v>86</v>
      </c>
      <c r="D3945" s="18">
        <v>247104</v>
      </c>
      <c r="E3945" s="19"/>
      <c r="F3945" s="15">
        <f t="shared" si="61"/>
        <v>-247104</v>
      </c>
    </row>
    <row r="3946" spans="1:8" x14ac:dyDescent="0.2">
      <c r="A3946" s="91">
        <v>45649</v>
      </c>
      <c r="B3946" s="43">
        <v>4162315</v>
      </c>
      <c r="C3946" s="20" t="s">
        <v>86</v>
      </c>
      <c r="D3946" s="18">
        <v>514800</v>
      </c>
      <c r="E3946" s="19"/>
      <c r="F3946" s="15">
        <f t="shared" si="61"/>
        <v>-514800</v>
      </c>
    </row>
    <row r="3947" spans="1:8" x14ac:dyDescent="0.2">
      <c r="A3947" s="91">
        <v>45742</v>
      </c>
      <c r="B3947" s="43">
        <v>4124297</v>
      </c>
      <c r="C3947" s="20" t="s">
        <v>86</v>
      </c>
      <c r="D3947" s="18">
        <v>55000</v>
      </c>
      <c r="E3947" s="18"/>
      <c r="F3947" s="15">
        <f t="shared" si="61"/>
        <v>-55000</v>
      </c>
    </row>
    <row r="3948" spans="1:8" x14ac:dyDescent="0.2">
      <c r="A3948" s="91">
        <v>45800</v>
      </c>
      <c r="B3948" s="43">
        <v>4135160</v>
      </c>
      <c r="C3948" s="20" t="s">
        <v>86</v>
      </c>
      <c r="D3948" s="18">
        <v>110000</v>
      </c>
      <c r="E3948" s="19"/>
      <c r="F3948" s="15">
        <f t="shared" si="61"/>
        <v>-110000</v>
      </c>
    </row>
    <row r="3949" spans="1:8" x14ac:dyDescent="0.2">
      <c r="A3949" s="91">
        <v>45834</v>
      </c>
      <c r="B3949" s="43">
        <v>4066849</v>
      </c>
      <c r="C3949" s="20" t="s">
        <v>86</v>
      </c>
      <c r="D3949" s="18">
        <v>195000</v>
      </c>
      <c r="E3949" s="19"/>
      <c r="F3949" s="15">
        <f t="shared" si="61"/>
        <v>-195000</v>
      </c>
    </row>
    <row r="3950" spans="1:8" x14ac:dyDescent="0.2">
      <c r="A3950" s="91">
        <v>45897</v>
      </c>
      <c r="B3950" s="46">
        <v>4155744</v>
      </c>
      <c r="C3950" s="56" t="s">
        <v>86</v>
      </c>
      <c r="D3950" s="48">
        <v>390000</v>
      </c>
      <c r="E3950" s="49"/>
      <c r="F3950" s="15">
        <f t="shared" si="61"/>
        <v>-390000</v>
      </c>
    </row>
    <row r="3951" spans="1:8" x14ac:dyDescent="0.2">
      <c r="A3951" s="91">
        <v>45616</v>
      </c>
      <c r="B3951" s="44">
        <v>4186967</v>
      </c>
      <c r="C3951" s="57" t="s">
        <v>178</v>
      </c>
      <c r="D3951" s="23">
        <v>904354</v>
      </c>
      <c r="E3951" s="24"/>
      <c r="F3951" s="15">
        <f t="shared" si="61"/>
        <v>-904354</v>
      </c>
    </row>
    <row r="3952" spans="1:8" x14ac:dyDescent="0.2">
      <c r="A3952" s="91">
        <v>45646</v>
      </c>
      <c r="B3952" s="43">
        <v>4066133</v>
      </c>
      <c r="C3952" s="20" t="s">
        <v>178</v>
      </c>
      <c r="D3952" s="18">
        <v>26233.62</v>
      </c>
      <c r="E3952" s="19"/>
      <c r="F3952" s="15">
        <f t="shared" si="61"/>
        <v>-26233.62</v>
      </c>
    </row>
    <row r="3953" spans="1:8" x14ac:dyDescent="0.2">
      <c r="A3953" s="91">
        <v>45716</v>
      </c>
      <c r="B3953" s="43">
        <v>4185473</v>
      </c>
      <c r="C3953" s="20" t="s">
        <v>178</v>
      </c>
      <c r="D3953" s="18">
        <v>1480359.98</v>
      </c>
      <c r="E3953" s="19"/>
      <c r="F3953" s="15">
        <f t="shared" si="61"/>
        <v>-1480359.98</v>
      </c>
    </row>
    <row r="3954" spans="1:8" x14ac:dyDescent="0.2">
      <c r="A3954" s="91">
        <v>45653</v>
      </c>
      <c r="B3954" s="43">
        <v>4074668</v>
      </c>
      <c r="C3954" s="20" t="s">
        <v>225</v>
      </c>
      <c r="D3954" s="18">
        <v>60000</v>
      </c>
      <c r="E3954" s="19"/>
      <c r="F3954" s="15">
        <f t="shared" si="61"/>
        <v>-60000</v>
      </c>
    </row>
    <row r="3955" spans="1:8" x14ac:dyDescent="0.2">
      <c r="A3955" s="91">
        <v>45692</v>
      </c>
      <c r="B3955" s="43">
        <v>4166331</v>
      </c>
      <c r="C3955" s="20" t="s">
        <v>225</v>
      </c>
      <c r="D3955" s="18">
        <v>90000</v>
      </c>
      <c r="E3955" s="19"/>
      <c r="F3955" s="15">
        <f t="shared" si="61"/>
        <v>-90000</v>
      </c>
    </row>
    <row r="3956" spans="1:8" x14ac:dyDescent="0.2">
      <c r="A3956" s="91">
        <v>45825</v>
      </c>
      <c r="B3956" s="43">
        <v>4126518</v>
      </c>
      <c r="C3956" s="20" t="s">
        <v>225</v>
      </c>
      <c r="D3956" s="18">
        <v>150000</v>
      </c>
      <c r="E3956" s="19"/>
      <c r="F3956" s="15">
        <f t="shared" si="61"/>
        <v>-150000</v>
      </c>
    </row>
    <row r="3957" spans="1:8" x14ac:dyDescent="0.2">
      <c r="A3957" s="91">
        <v>45552</v>
      </c>
      <c r="B3957" s="16">
        <v>4247683</v>
      </c>
      <c r="C3957" s="20" t="s">
        <v>50</v>
      </c>
      <c r="D3957" s="18">
        <v>76000</v>
      </c>
      <c r="E3957" s="19"/>
      <c r="F3957" s="15">
        <f t="shared" si="61"/>
        <v>-76000</v>
      </c>
      <c r="H3957" s="10"/>
    </row>
    <row r="3958" spans="1:8" x14ac:dyDescent="0.2">
      <c r="A3958" s="91">
        <v>45841</v>
      </c>
      <c r="B3958" s="43">
        <v>4019039</v>
      </c>
      <c r="C3958" s="20" t="s">
        <v>518</v>
      </c>
      <c r="D3958" s="18">
        <v>1872450</v>
      </c>
      <c r="E3958" s="19"/>
      <c r="F3958" s="15">
        <f t="shared" si="61"/>
        <v>-1872450</v>
      </c>
    </row>
    <row r="3959" spans="1:8" x14ac:dyDescent="0.2">
      <c r="A3959" s="91">
        <v>45566</v>
      </c>
      <c r="B3959" s="43">
        <v>4066434</v>
      </c>
      <c r="C3959" s="20" t="s">
        <v>99</v>
      </c>
      <c r="D3959" s="18">
        <v>100830</v>
      </c>
      <c r="E3959" s="19"/>
      <c r="F3959" s="15">
        <f t="shared" si="61"/>
        <v>-100830</v>
      </c>
    </row>
    <row r="3960" spans="1:8" x14ac:dyDescent="0.2">
      <c r="A3960" s="91">
        <v>45666</v>
      </c>
      <c r="B3960" s="43">
        <v>4250415</v>
      </c>
      <c r="C3960" s="20" t="s">
        <v>99</v>
      </c>
      <c r="D3960" s="18">
        <v>384000</v>
      </c>
      <c r="E3960" s="19"/>
      <c r="F3960" s="15">
        <f t="shared" si="61"/>
        <v>-384000</v>
      </c>
    </row>
    <row r="3961" spans="1:8" x14ac:dyDescent="0.2">
      <c r="A3961" s="91">
        <v>45699</v>
      </c>
      <c r="B3961" s="43">
        <v>4059131</v>
      </c>
      <c r="C3961" s="20" t="s">
        <v>297</v>
      </c>
      <c r="D3961" s="18">
        <v>183455.28</v>
      </c>
      <c r="E3961" s="19"/>
      <c r="F3961" s="15">
        <f t="shared" si="61"/>
        <v>-183455.28</v>
      </c>
    </row>
    <row r="3962" spans="1:8" x14ac:dyDescent="0.2">
      <c r="A3962" s="91">
        <v>45538</v>
      </c>
      <c r="B3962" s="16">
        <v>4226373</v>
      </c>
      <c r="C3962" s="20" t="s">
        <v>19</v>
      </c>
      <c r="D3962" s="18">
        <v>3282803.28</v>
      </c>
      <c r="E3962" s="19"/>
      <c r="F3962" s="15">
        <f t="shared" si="61"/>
        <v>-3282803.28</v>
      </c>
      <c r="H3962" s="10"/>
    </row>
    <row r="3963" spans="1:8" x14ac:dyDescent="0.2">
      <c r="A3963" s="91">
        <v>45568</v>
      </c>
      <c r="B3963" s="43">
        <v>4238485</v>
      </c>
      <c r="C3963" s="20" t="s">
        <v>19</v>
      </c>
      <c r="D3963" s="18">
        <v>3311143.2</v>
      </c>
      <c r="E3963" s="19"/>
      <c r="F3963" s="15">
        <f t="shared" si="61"/>
        <v>-3311143.2</v>
      </c>
    </row>
    <row r="3964" spans="1:8" x14ac:dyDescent="0.2">
      <c r="A3964" s="91">
        <v>45631</v>
      </c>
      <c r="B3964" s="43">
        <v>4037497</v>
      </c>
      <c r="C3964" s="20" t="s">
        <v>19</v>
      </c>
      <c r="D3964" s="18">
        <v>3549787.2</v>
      </c>
      <c r="E3964" s="19"/>
      <c r="F3964" s="15">
        <f t="shared" si="61"/>
        <v>-3549787.2</v>
      </c>
    </row>
    <row r="3965" spans="1:8" x14ac:dyDescent="0.2">
      <c r="A3965" s="91">
        <v>45666</v>
      </c>
      <c r="B3965" s="43">
        <v>4250421</v>
      </c>
      <c r="C3965" s="20" t="s">
        <v>19</v>
      </c>
      <c r="D3965" s="18">
        <v>3699105.6</v>
      </c>
      <c r="E3965" s="19"/>
      <c r="F3965" s="15">
        <f t="shared" si="61"/>
        <v>-3699105.6</v>
      </c>
    </row>
    <row r="3966" spans="1:8" x14ac:dyDescent="0.2">
      <c r="A3966" s="91">
        <v>45723</v>
      </c>
      <c r="B3966" s="43">
        <v>4286217</v>
      </c>
      <c r="C3966" s="20" t="s">
        <v>19</v>
      </c>
      <c r="D3966" s="18">
        <v>3424498.56</v>
      </c>
      <c r="E3966" s="19"/>
      <c r="F3966" s="15">
        <f t="shared" si="61"/>
        <v>-3424498.56</v>
      </c>
    </row>
    <row r="3967" spans="1:8" x14ac:dyDescent="0.2">
      <c r="A3967" s="91">
        <v>45754</v>
      </c>
      <c r="B3967" s="43">
        <v>4009988</v>
      </c>
      <c r="C3967" s="20" t="s">
        <v>19</v>
      </c>
      <c r="D3967" s="18">
        <v>4056808.8</v>
      </c>
      <c r="E3967" s="19"/>
      <c r="F3967" s="15">
        <f t="shared" si="61"/>
        <v>-4056808.8</v>
      </c>
    </row>
    <row r="3968" spans="1:8" x14ac:dyDescent="0.2">
      <c r="A3968" s="91">
        <v>45782</v>
      </c>
      <c r="B3968" s="43">
        <v>4062799</v>
      </c>
      <c r="C3968" s="20" t="s">
        <v>19</v>
      </c>
      <c r="D3968" s="18">
        <v>3954889.44</v>
      </c>
      <c r="E3968" s="19"/>
      <c r="F3968" s="15">
        <f t="shared" si="61"/>
        <v>-3954889.44</v>
      </c>
    </row>
    <row r="3969" spans="1:6" x14ac:dyDescent="0.2">
      <c r="A3969" s="91">
        <v>45813</v>
      </c>
      <c r="B3969" s="43">
        <v>4007663</v>
      </c>
      <c r="C3969" s="20" t="s">
        <v>19</v>
      </c>
      <c r="D3969" s="18">
        <v>4132637.28</v>
      </c>
      <c r="E3969" s="19"/>
      <c r="F3969" s="15">
        <f t="shared" si="61"/>
        <v>-4132637.28</v>
      </c>
    </row>
    <row r="3970" spans="1:6" x14ac:dyDescent="0.2">
      <c r="A3970" s="91">
        <v>45601</v>
      </c>
      <c r="B3970" s="43">
        <v>4194064</v>
      </c>
      <c r="C3970" s="20" t="s">
        <v>146</v>
      </c>
      <c r="D3970" s="18">
        <v>3544817.76</v>
      </c>
      <c r="E3970" s="19"/>
      <c r="F3970" s="15">
        <f t="shared" si="61"/>
        <v>-3544817.76</v>
      </c>
    </row>
    <row r="3971" spans="1:6" x14ac:dyDescent="0.2">
      <c r="A3971" s="91">
        <v>45695</v>
      </c>
      <c r="B3971" s="43">
        <v>4207989</v>
      </c>
      <c r="C3971" s="20" t="s">
        <v>146</v>
      </c>
      <c r="D3971" s="18">
        <v>3485650.32</v>
      </c>
      <c r="E3971" s="19"/>
      <c r="F3971" s="15">
        <f t="shared" ref="F3971:F4034" si="62">+E3971-D3971</f>
        <v>-3485650.32</v>
      </c>
    </row>
    <row r="3972" spans="1:6" x14ac:dyDescent="0.2">
      <c r="A3972" s="91">
        <v>45845</v>
      </c>
      <c r="B3972" s="43">
        <v>4082256</v>
      </c>
      <c r="C3972" s="20" t="s">
        <v>146</v>
      </c>
      <c r="D3972" s="18">
        <v>4168633.2</v>
      </c>
      <c r="E3972" s="19"/>
      <c r="F3972" s="15">
        <f t="shared" si="62"/>
        <v>-4168633.2</v>
      </c>
    </row>
    <row r="3973" spans="1:6" x14ac:dyDescent="0.2">
      <c r="A3973" s="91">
        <v>45880</v>
      </c>
      <c r="B3973" s="43">
        <v>4107295</v>
      </c>
      <c r="C3973" s="20" t="s">
        <v>146</v>
      </c>
      <c r="D3973" s="18">
        <v>4325936.6399999997</v>
      </c>
      <c r="E3973" s="19"/>
      <c r="F3973" s="15">
        <f t="shared" si="62"/>
        <v>-4325936.6399999997</v>
      </c>
    </row>
    <row r="3974" spans="1:6" x14ac:dyDescent="0.2">
      <c r="A3974" s="91">
        <v>45786</v>
      </c>
      <c r="B3974" s="43">
        <v>4223620</v>
      </c>
      <c r="C3974" s="20" t="s">
        <v>431</v>
      </c>
      <c r="D3974" s="18">
        <v>1440000</v>
      </c>
      <c r="E3974" s="19"/>
      <c r="F3974" s="15">
        <f t="shared" si="62"/>
        <v>-1440000</v>
      </c>
    </row>
    <row r="3975" spans="1:6" x14ac:dyDescent="0.2">
      <c r="A3975" s="91">
        <v>45796</v>
      </c>
      <c r="B3975" s="43">
        <v>4118595</v>
      </c>
      <c r="C3975" s="20" t="s">
        <v>431</v>
      </c>
      <c r="D3975" s="18">
        <v>920000</v>
      </c>
      <c r="E3975" s="19"/>
      <c r="F3975" s="15">
        <f t="shared" si="62"/>
        <v>-920000</v>
      </c>
    </row>
    <row r="3976" spans="1:6" x14ac:dyDescent="0.2">
      <c r="A3976" s="91">
        <v>45889</v>
      </c>
      <c r="B3976" s="43">
        <v>4033119</v>
      </c>
      <c r="C3976" s="20" t="s">
        <v>431</v>
      </c>
      <c r="D3976" s="18">
        <v>253000</v>
      </c>
      <c r="E3976" s="19"/>
      <c r="F3976" s="15">
        <f t="shared" si="62"/>
        <v>-253000</v>
      </c>
    </row>
    <row r="3977" spans="1:6" x14ac:dyDescent="0.2">
      <c r="A3977" s="91">
        <v>45856</v>
      </c>
      <c r="B3977" s="43">
        <v>4172703</v>
      </c>
      <c r="C3977" s="20" t="s">
        <v>542</v>
      </c>
      <c r="D3977" s="18">
        <v>4890</v>
      </c>
      <c r="E3977" s="19"/>
      <c r="F3977" s="15">
        <f t="shared" si="62"/>
        <v>-4890</v>
      </c>
    </row>
    <row r="3978" spans="1:6" x14ac:dyDescent="0.2">
      <c r="A3978" s="91">
        <v>45856</v>
      </c>
      <c r="B3978" s="43">
        <v>4172743</v>
      </c>
      <c r="C3978" s="20" t="s">
        <v>548</v>
      </c>
      <c r="D3978" s="18">
        <v>814254.35</v>
      </c>
      <c r="E3978" s="19"/>
      <c r="F3978" s="15">
        <f t="shared" si="62"/>
        <v>-814254.35</v>
      </c>
    </row>
    <row r="3979" spans="1:6" x14ac:dyDescent="0.2">
      <c r="A3979" s="91">
        <v>45595</v>
      </c>
      <c r="B3979" s="43">
        <v>4024449</v>
      </c>
      <c r="C3979" s="20" t="s">
        <v>139</v>
      </c>
      <c r="D3979" s="18">
        <v>880077.58</v>
      </c>
      <c r="E3979" s="19"/>
      <c r="F3979" s="15">
        <f t="shared" si="62"/>
        <v>-880077.58</v>
      </c>
    </row>
    <row r="3980" spans="1:6" x14ac:dyDescent="0.2">
      <c r="A3980" s="91">
        <v>45611</v>
      </c>
      <c r="B3980" s="43">
        <v>4005367</v>
      </c>
      <c r="C3980" s="20" t="s">
        <v>139</v>
      </c>
      <c r="D3980" s="18">
        <v>9126</v>
      </c>
      <c r="E3980" s="19"/>
      <c r="F3980" s="15">
        <f t="shared" si="62"/>
        <v>-9126</v>
      </c>
    </row>
    <row r="3981" spans="1:6" x14ac:dyDescent="0.2">
      <c r="A3981" s="91">
        <v>45611</v>
      </c>
      <c r="B3981" s="43">
        <v>4005368</v>
      </c>
      <c r="C3981" s="20" t="s">
        <v>139</v>
      </c>
      <c r="D3981" s="18">
        <v>781652.25</v>
      </c>
      <c r="E3981" s="19"/>
      <c r="F3981" s="15">
        <f t="shared" si="62"/>
        <v>-781652.25</v>
      </c>
    </row>
    <row r="3982" spans="1:6" x14ac:dyDescent="0.2">
      <c r="A3982" s="91">
        <v>45631</v>
      </c>
      <c r="B3982" s="43">
        <v>4037501</v>
      </c>
      <c r="C3982" s="20" t="s">
        <v>139</v>
      </c>
      <c r="D3982" s="18">
        <v>806295.92</v>
      </c>
      <c r="E3982" s="19"/>
      <c r="F3982" s="15">
        <f t="shared" si="62"/>
        <v>-806295.92</v>
      </c>
    </row>
    <row r="3983" spans="1:6" x14ac:dyDescent="0.2">
      <c r="A3983" s="91">
        <v>45639</v>
      </c>
      <c r="B3983" s="43">
        <v>4052908</v>
      </c>
      <c r="C3983" s="20" t="s">
        <v>139</v>
      </c>
      <c r="D3983" s="18">
        <v>1049263.26</v>
      </c>
      <c r="E3983" s="19"/>
      <c r="F3983" s="15">
        <f t="shared" si="62"/>
        <v>-1049263.26</v>
      </c>
    </row>
    <row r="3984" spans="1:6" x14ac:dyDescent="0.2">
      <c r="A3984" s="91">
        <v>45642</v>
      </c>
      <c r="B3984" s="43">
        <v>4165318</v>
      </c>
      <c r="C3984" s="20" t="s">
        <v>139</v>
      </c>
      <c r="D3984" s="18">
        <v>96599.81</v>
      </c>
      <c r="E3984" s="19"/>
      <c r="F3984" s="15">
        <f t="shared" si="62"/>
        <v>-96599.81</v>
      </c>
    </row>
    <row r="3985" spans="1:8" x14ac:dyDescent="0.2">
      <c r="A3985" s="91">
        <v>45705</v>
      </c>
      <c r="B3985" s="43">
        <v>4064985</v>
      </c>
      <c r="C3985" s="20" t="s">
        <v>139</v>
      </c>
      <c r="D3985" s="18">
        <v>1032648.9</v>
      </c>
      <c r="E3985" s="19"/>
      <c r="F3985" s="15">
        <f t="shared" si="62"/>
        <v>-1032648.9</v>
      </c>
    </row>
    <row r="3986" spans="1:8" x14ac:dyDescent="0.2">
      <c r="A3986" s="91">
        <v>45735</v>
      </c>
      <c r="B3986" s="43">
        <v>4069435</v>
      </c>
      <c r="C3986" s="20" t="s">
        <v>139</v>
      </c>
      <c r="D3986" s="18">
        <v>965651.04</v>
      </c>
      <c r="E3986" s="19"/>
      <c r="F3986" s="15">
        <f t="shared" si="62"/>
        <v>-965651.04</v>
      </c>
    </row>
    <row r="3987" spans="1:8" x14ac:dyDescent="0.2">
      <c r="A3987" s="91">
        <v>45742</v>
      </c>
      <c r="B3987" s="43">
        <v>4090644</v>
      </c>
      <c r="C3987" s="20" t="s">
        <v>139</v>
      </c>
      <c r="D3987" s="18">
        <v>1178849.01</v>
      </c>
      <c r="E3987" s="19"/>
      <c r="F3987" s="15">
        <f t="shared" si="62"/>
        <v>-1178849.01</v>
      </c>
    </row>
    <row r="3988" spans="1:8" x14ac:dyDescent="0.2">
      <c r="A3988" s="91">
        <v>45742</v>
      </c>
      <c r="B3988" s="43">
        <v>4090646</v>
      </c>
      <c r="C3988" s="20" t="s">
        <v>139</v>
      </c>
      <c r="D3988" s="18">
        <v>495847.17</v>
      </c>
      <c r="E3988" s="19"/>
      <c r="F3988" s="15">
        <f t="shared" si="62"/>
        <v>-495847.17</v>
      </c>
    </row>
    <row r="3989" spans="1:8" x14ac:dyDescent="0.2">
      <c r="A3989" s="91">
        <v>45796</v>
      </c>
      <c r="B3989" s="43">
        <v>4118598</v>
      </c>
      <c r="C3989" s="20" t="s">
        <v>139</v>
      </c>
      <c r="D3989" s="18">
        <v>576823.44999999995</v>
      </c>
      <c r="E3989" s="19"/>
      <c r="F3989" s="15">
        <f t="shared" si="62"/>
        <v>-576823.44999999995</v>
      </c>
    </row>
    <row r="3990" spans="1:8" x14ac:dyDescent="0.2">
      <c r="A3990" s="91">
        <v>45800</v>
      </c>
      <c r="B3990" s="43">
        <v>4135166</v>
      </c>
      <c r="C3990" s="20" t="s">
        <v>139</v>
      </c>
      <c r="D3990" s="18">
        <v>1028762.67</v>
      </c>
      <c r="E3990" s="19"/>
      <c r="F3990" s="15">
        <f t="shared" si="62"/>
        <v>-1028762.67</v>
      </c>
    </row>
    <row r="3991" spans="1:8" x14ac:dyDescent="0.2">
      <c r="A3991" s="91">
        <v>45800</v>
      </c>
      <c r="B3991" s="43">
        <v>4135167</v>
      </c>
      <c r="C3991" s="20" t="s">
        <v>139</v>
      </c>
      <c r="D3991" s="18">
        <v>4890</v>
      </c>
      <c r="E3991" s="19"/>
      <c r="F3991" s="15">
        <f t="shared" si="62"/>
        <v>-4890</v>
      </c>
    </row>
    <row r="3992" spans="1:8" x14ac:dyDescent="0.2">
      <c r="A3992" s="91">
        <v>45800</v>
      </c>
      <c r="B3992" s="46">
        <v>4135168</v>
      </c>
      <c r="C3992" s="56" t="s">
        <v>139</v>
      </c>
      <c r="D3992" s="48">
        <v>914603.21</v>
      </c>
      <c r="E3992" s="49"/>
      <c r="F3992" s="15">
        <f t="shared" si="62"/>
        <v>-914603.21</v>
      </c>
    </row>
    <row r="3993" spans="1:8" x14ac:dyDescent="0.2">
      <c r="A3993" s="91">
        <v>45825</v>
      </c>
      <c r="B3993" s="44">
        <v>4126521</v>
      </c>
      <c r="C3993" s="57" t="s">
        <v>139</v>
      </c>
      <c r="D3993" s="23">
        <v>913315.25</v>
      </c>
      <c r="E3993" s="30"/>
      <c r="F3993" s="15">
        <f t="shared" si="62"/>
        <v>-913315.25</v>
      </c>
    </row>
    <row r="3994" spans="1:8" x14ac:dyDescent="0.2">
      <c r="A3994" s="91">
        <v>45825</v>
      </c>
      <c r="B3994" s="43">
        <v>4126522</v>
      </c>
      <c r="C3994" s="20" t="s">
        <v>139</v>
      </c>
      <c r="D3994" s="18">
        <v>896522.77</v>
      </c>
      <c r="E3994" s="19"/>
      <c r="F3994" s="15">
        <f t="shared" si="62"/>
        <v>-896522.77</v>
      </c>
    </row>
    <row r="3995" spans="1:8" x14ac:dyDescent="0.2">
      <c r="A3995" s="91">
        <v>45889</v>
      </c>
      <c r="B3995" s="43">
        <v>4033121</v>
      </c>
      <c r="C3995" s="20" t="s">
        <v>139</v>
      </c>
      <c r="D3995" s="18">
        <v>555331.49</v>
      </c>
      <c r="E3995" s="19"/>
      <c r="F3995" s="15">
        <f t="shared" si="62"/>
        <v>-555331.49</v>
      </c>
    </row>
    <row r="3996" spans="1:8" x14ac:dyDescent="0.2">
      <c r="A3996" s="91">
        <v>45800</v>
      </c>
      <c r="B3996" s="43">
        <v>4135165</v>
      </c>
      <c r="C3996" s="20" t="s">
        <v>457</v>
      </c>
      <c r="D3996" s="18">
        <v>480000</v>
      </c>
      <c r="E3996" s="19"/>
      <c r="F3996" s="15">
        <f t="shared" si="62"/>
        <v>-480000</v>
      </c>
    </row>
    <row r="3997" spans="1:8" x14ac:dyDescent="0.2">
      <c r="A3997" s="91">
        <v>45544</v>
      </c>
      <c r="B3997" s="16">
        <v>4070255</v>
      </c>
      <c r="C3997" s="20" t="s">
        <v>31</v>
      </c>
      <c r="D3997" s="18">
        <v>216000</v>
      </c>
      <c r="E3997" s="19"/>
      <c r="F3997" s="15">
        <f t="shared" si="62"/>
        <v>-216000</v>
      </c>
      <c r="H3997" s="10"/>
    </row>
    <row r="3998" spans="1:8" x14ac:dyDescent="0.2">
      <c r="A3998" s="91">
        <v>45583</v>
      </c>
      <c r="B3998" s="43">
        <v>4288192</v>
      </c>
      <c r="C3998" s="20" t="s">
        <v>31</v>
      </c>
      <c r="D3998" s="18">
        <v>251000</v>
      </c>
      <c r="E3998" s="19"/>
      <c r="F3998" s="15">
        <f t="shared" si="62"/>
        <v>-251000</v>
      </c>
    </row>
    <row r="3999" spans="1:8" x14ac:dyDescent="0.2">
      <c r="A3999" s="91">
        <v>45646</v>
      </c>
      <c r="B3999" s="43">
        <v>4066131</v>
      </c>
      <c r="C3999" s="20" t="s">
        <v>219</v>
      </c>
      <c r="D3999" s="18">
        <v>96000</v>
      </c>
      <c r="E3999" s="19"/>
      <c r="F3999" s="15">
        <f t="shared" si="62"/>
        <v>-96000</v>
      </c>
    </row>
    <row r="4000" spans="1:8" x14ac:dyDescent="0.2">
      <c r="A4000" s="91">
        <v>45833</v>
      </c>
      <c r="B4000" s="43">
        <v>4269880</v>
      </c>
      <c r="C4000" s="20" t="s">
        <v>503</v>
      </c>
      <c r="D4000" s="18">
        <v>150000</v>
      </c>
      <c r="E4000" s="19"/>
      <c r="F4000" s="15">
        <f t="shared" si="62"/>
        <v>-150000</v>
      </c>
    </row>
    <row r="4001" spans="1:6" x14ac:dyDescent="0.2">
      <c r="A4001" s="91">
        <v>45832</v>
      </c>
      <c r="B4001" s="43">
        <v>4211658</v>
      </c>
      <c r="C4001" s="20" t="s">
        <v>496</v>
      </c>
      <c r="D4001" s="18">
        <v>1922478.84</v>
      </c>
      <c r="E4001" s="19"/>
      <c r="F4001" s="15">
        <f t="shared" si="62"/>
        <v>-1922478.84</v>
      </c>
    </row>
    <row r="4002" spans="1:6" x14ac:dyDescent="0.2">
      <c r="A4002" s="91">
        <v>45673</v>
      </c>
      <c r="B4002" s="43">
        <v>4034246</v>
      </c>
      <c r="C4002" s="20" t="s">
        <v>252</v>
      </c>
      <c r="D4002" s="18">
        <v>300000</v>
      </c>
      <c r="E4002" s="19"/>
      <c r="F4002" s="15">
        <f t="shared" si="62"/>
        <v>-300000</v>
      </c>
    </row>
    <row r="4003" spans="1:6" x14ac:dyDescent="0.2">
      <c r="A4003" s="91">
        <v>45800</v>
      </c>
      <c r="B4003" s="43">
        <v>4135164</v>
      </c>
      <c r="C4003" s="20" t="s">
        <v>455</v>
      </c>
      <c r="D4003" s="18">
        <v>137500</v>
      </c>
      <c r="E4003" s="19"/>
      <c r="F4003" s="15">
        <f t="shared" si="62"/>
        <v>-137500</v>
      </c>
    </row>
    <row r="4004" spans="1:6" x14ac:dyDescent="0.2">
      <c r="A4004" s="91">
        <v>45692</v>
      </c>
      <c r="B4004" s="43">
        <v>4166333</v>
      </c>
      <c r="C4004" s="20" t="s">
        <v>290</v>
      </c>
      <c r="D4004" s="18">
        <v>386623.19</v>
      </c>
      <c r="E4004" s="19"/>
      <c r="F4004" s="15">
        <f t="shared" si="62"/>
        <v>-386623.19</v>
      </c>
    </row>
    <row r="4005" spans="1:6" x14ac:dyDescent="0.2">
      <c r="A4005" s="91">
        <v>45687</v>
      </c>
      <c r="B4005" s="43">
        <v>4137881</v>
      </c>
      <c r="C4005" s="20" t="s">
        <v>280</v>
      </c>
      <c r="D4005" s="18">
        <v>200000</v>
      </c>
      <c r="E4005" s="19"/>
      <c r="F4005" s="15">
        <f t="shared" si="62"/>
        <v>-200000</v>
      </c>
    </row>
    <row r="4006" spans="1:6" x14ac:dyDescent="0.2">
      <c r="A4006" s="91">
        <v>45692</v>
      </c>
      <c r="B4006" s="43">
        <v>4166335</v>
      </c>
      <c r="C4006" s="20" t="s">
        <v>280</v>
      </c>
      <c r="D4006" s="18">
        <v>100000</v>
      </c>
      <c r="E4006" s="19"/>
      <c r="F4006" s="15">
        <f t="shared" si="62"/>
        <v>-100000</v>
      </c>
    </row>
    <row r="4007" spans="1:6" x14ac:dyDescent="0.2">
      <c r="A4007" s="91">
        <v>45702</v>
      </c>
      <c r="B4007" s="43">
        <v>4233868</v>
      </c>
      <c r="C4007" s="20" t="s">
        <v>280</v>
      </c>
      <c r="D4007" s="18">
        <v>100000</v>
      </c>
      <c r="E4007" s="19"/>
      <c r="F4007" s="15">
        <f t="shared" si="62"/>
        <v>-100000</v>
      </c>
    </row>
    <row r="4008" spans="1:6" x14ac:dyDescent="0.2">
      <c r="A4008" s="91">
        <v>45709</v>
      </c>
      <c r="B4008" s="43">
        <v>4069596</v>
      </c>
      <c r="C4008" s="20" t="s">
        <v>280</v>
      </c>
      <c r="D4008" s="18">
        <v>100000</v>
      </c>
      <c r="E4008" s="19"/>
      <c r="F4008" s="15">
        <f t="shared" si="62"/>
        <v>-100000</v>
      </c>
    </row>
    <row r="4009" spans="1:6" x14ac:dyDescent="0.2">
      <c r="A4009" s="91">
        <v>45770</v>
      </c>
      <c r="B4009" s="43">
        <v>4283772</v>
      </c>
      <c r="C4009" s="20" t="s">
        <v>280</v>
      </c>
      <c r="D4009" s="18">
        <v>100000</v>
      </c>
      <c r="E4009" s="19"/>
      <c r="F4009" s="15">
        <f t="shared" si="62"/>
        <v>-100000</v>
      </c>
    </row>
    <row r="4010" spans="1:6" x14ac:dyDescent="0.2">
      <c r="A4010" s="91">
        <v>45825</v>
      </c>
      <c r="B4010" s="43">
        <v>4166947</v>
      </c>
      <c r="C4010" s="20" t="s">
        <v>280</v>
      </c>
      <c r="D4010" s="18">
        <v>120000</v>
      </c>
      <c r="E4010" s="19"/>
      <c r="F4010" s="15">
        <f t="shared" si="62"/>
        <v>-120000</v>
      </c>
    </row>
    <row r="4011" spans="1:6" x14ac:dyDescent="0.2">
      <c r="A4011" s="91">
        <v>45800</v>
      </c>
      <c r="B4011" s="43">
        <v>4135162</v>
      </c>
      <c r="C4011" s="20" t="s">
        <v>454</v>
      </c>
      <c r="D4011" s="18">
        <v>263235.5</v>
      </c>
      <c r="E4011" s="19"/>
      <c r="F4011" s="15">
        <f t="shared" si="62"/>
        <v>-263235.5</v>
      </c>
    </row>
    <row r="4012" spans="1:6" x14ac:dyDescent="0.2">
      <c r="A4012" s="91">
        <v>45695</v>
      </c>
      <c r="B4012" s="43">
        <v>4207987</v>
      </c>
      <c r="C4012" s="20" t="s">
        <v>293</v>
      </c>
      <c r="D4012" s="18">
        <v>6304972</v>
      </c>
      <c r="E4012" s="19"/>
      <c r="F4012" s="15">
        <f t="shared" si="62"/>
        <v>-6304972</v>
      </c>
    </row>
    <row r="4013" spans="1:6" x14ac:dyDescent="0.2">
      <c r="A4013" s="91">
        <v>45583</v>
      </c>
      <c r="B4013" s="43">
        <v>4288186</v>
      </c>
      <c r="C4013" s="20" t="s">
        <v>122</v>
      </c>
      <c r="D4013" s="18">
        <v>1340502.52</v>
      </c>
      <c r="E4013" s="19"/>
      <c r="F4013" s="15">
        <f t="shared" si="62"/>
        <v>-1340502.52</v>
      </c>
    </row>
    <row r="4014" spans="1:6" x14ac:dyDescent="0.2">
      <c r="A4014" s="91">
        <v>45744</v>
      </c>
      <c r="B4014" s="43">
        <v>4002726</v>
      </c>
      <c r="C4014" s="20" t="s">
        <v>369</v>
      </c>
      <c r="D4014" s="18">
        <v>22000</v>
      </c>
      <c r="E4014" s="19"/>
      <c r="F4014" s="15">
        <f t="shared" si="62"/>
        <v>-22000</v>
      </c>
    </row>
    <row r="4015" spans="1:6" x14ac:dyDescent="0.2">
      <c r="A4015" s="91">
        <v>45639</v>
      </c>
      <c r="B4015" s="43">
        <v>4052910</v>
      </c>
      <c r="C4015" s="20" t="s">
        <v>211</v>
      </c>
      <c r="D4015" s="18">
        <v>18000</v>
      </c>
      <c r="E4015" s="19"/>
      <c r="F4015" s="15">
        <f t="shared" si="62"/>
        <v>-18000</v>
      </c>
    </row>
    <row r="4016" spans="1:6" x14ac:dyDescent="0.2">
      <c r="A4016" s="91">
        <v>45833</v>
      </c>
      <c r="B4016" s="43">
        <v>4269882</v>
      </c>
      <c r="C4016" s="20" t="s">
        <v>504</v>
      </c>
      <c r="D4016" s="18">
        <v>295675</v>
      </c>
      <c r="E4016" s="19"/>
      <c r="F4016" s="15">
        <f t="shared" si="62"/>
        <v>-295675</v>
      </c>
    </row>
    <row r="4017" spans="1:6" x14ac:dyDescent="0.2">
      <c r="A4017" s="91">
        <v>45786</v>
      </c>
      <c r="B4017" s="43">
        <v>4223621</v>
      </c>
      <c r="C4017" s="20" t="s">
        <v>432</v>
      </c>
      <c r="D4017" s="18">
        <v>265675</v>
      </c>
      <c r="E4017" s="19"/>
      <c r="F4017" s="15">
        <f t="shared" si="62"/>
        <v>-265675</v>
      </c>
    </row>
    <row r="4018" spans="1:6" x14ac:dyDescent="0.2">
      <c r="A4018" s="91">
        <v>45705</v>
      </c>
      <c r="B4018" s="43">
        <v>4064986</v>
      </c>
      <c r="C4018" s="20" t="s">
        <v>309</v>
      </c>
      <c r="D4018" s="18">
        <v>279625</v>
      </c>
      <c r="E4018" s="19"/>
      <c r="F4018" s="15">
        <f t="shared" si="62"/>
        <v>-279625</v>
      </c>
    </row>
    <row r="4019" spans="1:6" x14ac:dyDescent="0.2">
      <c r="A4019" s="91">
        <v>45639</v>
      </c>
      <c r="B4019" s="46">
        <v>4052909</v>
      </c>
      <c r="C4019" s="56" t="s">
        <v>210</v>
      </c>
      <c r="D4019" s="48">
        <v>506034.95</v>
      </c>
      <c r="E4019" s="49"/>
      <c r="F4019" s="15">
        <f t="shared" si="62"/>
        <v>-506034.95</v>
      </c>
    </row>
    <row r="4020" spans="1:6" x14ac:dyDescent="0.2">
      <c r="A4020" s="91">
        <v>45660</v>
      </c>
      <c r="B4020" s="44">
        <v>4165469</v>
      </c>
      <c r="C4020" s="57" t="s">
        <v>230</v>
      </c>
      <c r="D4020" s="23">
        <v>298144</v>
      </c>
      <c r="E4020" s="24"/>
      <c r="F4020" s="15">
        <f t="shared" si="62"/>
        <v>-298144</v>
      </c>
    </row>
    <row r="4021" spans="1:6" x14ac:dyDescent="0.2">
      <c r="A4021" s="91">
        <v>45670</v>
      </c>
      <c r="B4021" s="43">
        <v>4143647</v>
      </c>
      <c r="C4021" s="20" t="s">
        <v>242</v>
      </c>
      <c r="D4021" s="18">
        <v>298144</v>
      </c>
      <c r="E4021" s="19"/>
      <c r="F4021" s="15">
        <f t="shared" si="62"/>
        <v>-298144</v>
      </c>
    </row>
    <row r="4022" spans="1:6" x14ac:dyDescent="0.2">
      <c r="A4022" s="91">
        <v>45786</v>
      </c>
      <c r="B4022" s="43">
        <v>4223618</v>
      </c>
      <c r="C4022" s="20" t="s">
        <v>242</v>
      </c>
      <c r="D4022" s="18">
        <v>564707</v>
      </c>
      <c r="E4022" s="19"/>
      <c r="F4022" s="15">
        <f t="shared" si="62"/>
        <v>-564707</v>
      </c>
    </row>
    <row r="4023" spans="1:6" x14ac:dyDescent="0.2">
      <c r="A4023" s="91">
        <v>45833</v>
      </c>
      <c r="B4023" s="43">
        <v>4269875</v>
      </c>
      <c r="C4023" s="20" t="s">
        <v>242</v>
      </c>
      <c r="D4023" s="18">
        <v>263235.5</v>
      </c>
      <c r="E4023" s="19"/>
      <c r="F4023" s="15">
        <f t="shared" si="62"/>
        <v>-263235.5</v>
      </c>
    </row>
    <row r="4024" spans="1:6" x14ac:dyDescent="0.2">
      <c r="A4024" s="91">
        <v>45702</v>
      </c>
      <c r="B4024" s="43">
        <v>4233862</v>
      </c>
      <c r="C4024" s="20" t="s">
        <v>306</v>
      </c>
      <c r="D4024" s="18">
        <v>105500</v>
      </c>
      <c r="E4024" s="19"/>
      <c r="F4024" s="15">
        <f t="shared" si="62"/>
        <v>-105500</v>
      </c>
    </row>
    <row r="4025" spans="1:6" x14ac:dyDescent="0.2">
      <c r="A4025" s="91">
        <v>45702</v>
      </c>
      <c r="B4025" s="43">
        <v>4233864</v>
      </c>
      <c r="C4025" s="20" t="s">
        <v>306</v>
      </c>
      <c r="D4025" s="18">
        <v>58000</v>
      </c>
      <c r="E4025" s="19"/>
      <c r="F4025" s="15">
        <f t="shared" si="62"/>
        <v>-58000</v>
      </c>
    </row>
    <row r="4026" spans="1:6" x14ac:dyDescent="0.2">
      <c r="A4026" s="91">
        <v>45856</v>
      </c>
      <c r="B4026" s="43">
        <v>4172702</v>
      </c>
      <c r="C4026" s="20" t="s">
        <v>544</v>
      </c>
      <c r="D4026" s="18">
        <v>200000</v>
      </c>
      <c r="E4026" s="19"/>
      <c r="F4026" s="15">
        <f t="shared" si="62"/>
        <v>-200000</v>
      </c>
    </row>
    <row r="4027" spans="1:6" x14ac:dyDescent="0.2">
      <c r="A4027" s="91">
        <v>45856</v>
      </c>
      <c r="B4027" s="43">
        <v>4172705</v>
      </c>
      <c r="C4027" s="20" t="s">
        <v>547</v>
      </c>
      <c r="D4027" s="18">
        <v>400000</v>
      </c>
      <c r="E4027" s="19"/>
      <c r="F4027" s="15">
        <f t="shared" si="62"/>
        <v>-400000</v>
      </c>
    </row>
    <row r="4028" spans="1:6" x14ac:dyDescent="0.2">
      <c r="A4028" s="91">
        <v>45833</v>
      </c>
      <c r="B4028" s="43">
        <v>4269874</v>
      </c>
      <c r="C4028" s="20" t="s">
        <v>501</v>
      </c>
      <c r="D4028" s="18">
        <v>150000</v>
      </c>
      <c r="E4028" s="19"/>
      <c r="F4028" s="15">
        <f t="shared" si="62"/>
        <v>-150000</v>
      </c>
    </row>
    <row r="4029" spans="1:6" x14ac:dyDescent="0.2">
      <c r="A4029" s="91">
        <v>45852</v>
      </c>
      <c r="B4029" s="43">
        <v>4143079</v>
      </c>
      <c r="C4029" s="20" t="s">
        <v>501</v>
      </c>
      <c r="D4029" s="18">
        <v>100000</v>
      </c>
      <c r="E4029" s="19"/>
      <c r="F4029" s="15">
        <f t="shared" si="62"/>
        <v>-100000</v>
      </c>
    </row>
    <row r="4030" spans="1:6" x14ac:dyDescent="0.2">
      <c r="A4030" s="91">
        <v>45645</v>
      </c>
      <c r="B4030" s="43">
        <v>4188688</v>
      </c>
      <c r="C4030" s="20" t="s">
        <v>218</v>
      </c>
      <c r="D4030" s="18">
        <v>2934520</v>
      </c>
      <c r="E4030" s="19"/>
      <c r="F4030" s="15">
        <f t="shared" si="62"/>
        <v>-2934520</v>
      </c>
    </row>
    <row r="4031" spans="1:6" x14ac:dyDescent="0.2">
      <c r="A4031" s="91">
        <v>45716</v>
      </c>
      <c r="B4031" s="43">
        <v>4185474</v>
      </c>
      <c r="C4031" s="20" t="s">
        <v>328</v>
      </c>
      <c r="D4031" s="25">
        <v>1024000</v>
      </c>
      <c r="E4031" s="19"/>
      <c r="F4031" s="15">
        <f t="shared" si="62"/>
        <v>-1024000</v>
      </c>
    </row>
    <row r="4032" spans="1:6" x14ac:dyDescent="0.2">
      <c r="A4032" s="91">
        <v>45863</v>
      </c>
      <c r="B4032" s="43">
        <v>4231769</v>
      </c>
      <c r="C4032" s="20" t="s">
        <v>554</v>
      </c>
      <c r="D4032" s="18">
        <v>580000</v>
      </c>
      <c r="E4032" s="19"/>
      <c r="F4032" s="15">
        <f t="shared" si="62"/>
        <v>-580000</v>
      </c>
    </row>
    <row r="4033" spans="1:6" x14ac:dyDescent="0.2">
      <c r="A4033" s="91">
        <v>45873</v>
      </c>
      <c r="B4033" s="43">
        <v>4159020</v>
      </c>
      <c r="C4033" s="20" t="s">
        <v>554</v>
      </c>
      <c r="D4033" s="18">
        <v>480000</v>
      </c>
      <c r="E4033" s="19"/>
      <c r="F4033" s="15">
        <f t="shared" si="62"/>
        <v>-480000</v>
      </c>
    </row>
    <row r="4034" spans="1:6" x14ac:dyDescent="0.2">
      <c r="A4034" s="91">
        <v>45873</v>
      </c>
      <c r="B4034" s="43">
        <v>4159021</v>
      </c>
      <c r="C4034" s="20" t="s">
        <v>554</v>
      </c>
      <c r="D4034" s="18">
        <v>370000</v>
      </c>
      <c r="E4034" s="19"/>
      <c r="F4034" s="15">
        <f t="shared" si="62"/>
        <v>-370000</v>
      </c>
    </row>
    <row r="4035" spans="1:6" x14ac:dyDescent="0.2">
      <c r="A4035" s="91">
        <v>45825</v>
      </c>
      <c r="B4035" s="43">
        <v>4166948</v>
      </c>
      <c r="C4035" s="20" t="s">
        <v>491</v>
      </c>
      <c r="D4035" s="18">
        <v>1280000</v>
      </c>
      <c r="E4035" s="19"/>
      <c r="F4035" s="15">
        <f t="shared" ref="F4035:F4098" si="63">+E4035-D4035</f>
        <v>-1280000</v>
      </c>
    </row>
    <row r="4036" spans="1:6" x14ac:dyDescent="0.2">
      <c r="A4036" s="91">
        <v>45833</v>
      </c>
      <c r="B4036" s="43">
        <v>4269876</v>
      </c>
      <c r="C4036" s="20" t="s">
        <v>491</v>
      </c>
      <c r="D4036" s="18">
        <v>1320000</v>
      </c>
      <c r="E4036" s="19"/>
      <c r="F4036" s="15">
        <f t="shared" si="63"/>
        <v>-1320000</v>
      </c>
    </row>
    <row r="4037" spans="1:6" x14ac:dyDescent="0.2">
      <c r="A4037" s="91">
        <v>45709</v>
      </c>
      <c r="B4037" s="43">
        <v>4069594</v>
      </c>
      <c r="C4037" s="20" t="s">
        <v>315</v>
      </c>
      <c r="D4037" s="18">
        <v>544500</v>
      </c>
      <c r="E4037" s="19"/>
      <c r="F4037" s="15">
        <f t="shared" si="63"/>
        <v>-544500</v>
      </c>
    </row>
    <row r="4038" spans="1:6" x14ac:dyDescent="0.2">
      <c r="A4038" s="91">
        <v>45723</v>
      </c>
      <c r="B4038" s="43">
        <v>4010039</v>
      </c>
      <c r="C4038" s="20" t="s">
        <v>315</v>
      </c>
      <c r="D4038" s="18">
        <v>539980</v>
      </c>
      <c r="E4038" s="19"/>
      <c r="F4038" s="15">
        <f t="shared" si="63"/>
        <v>-539980</v>
      </c>
    </row>
    <row r="4039" spans="1:6" x14ac:dyDescent="0.2">
      <c r="A4039" s="91">
        <v>45595</v>
      </c>
      <c r="B4039" s="43">
        <v>71180113</v>
      </c>
      <c r="C4039" s="20" t="s">
        <v>138</v>
      </c>
      <c r="D4039" s="19"/>
      <c r="E4039" s="18">
        <v>13700</v>
      </c>
      <c r="F4039" s="15">
        <f t="shared" si="63"/>
        <v>13700</v>
      </c>
    </row>
    <row r="4040" spans="1:6" x14ac:dyDescent="0.2">
      <c r="A4040" s="91">
        <v>45630</v>
      </c>
      <c r="B4040" s="43">
        <v>82481953</v>
      </c>
      <c r="C4040" s="20" t="s">
        <v>203</v>
      </c>
      <c r="D4040" s="19"/>
      <c r="E4040" s="18">
        <v>12000</v>
      </c>
      <c r="F4040" s="15">
        <f t="shared" si="63"/>
        <v>12000</v>
      </c>
    </row>
    <row r="4041" spans="1:6" x14ac:dyDescent="0.2">
      <c r="A4041" s="91">
        <v>45815</v>
      </c>
      <c r="B4041" s="43">
        <v>23085544</v>
      </c>
      <c r="C4041" s="20" t="s">
        <v>480</v>
      </c>
      <c r="D4041" s="19"/>
      <c r="E4041" s="18">
        <v>16000</v>
      </c>
      <c r="F4041" s="15">
        <f t="shared" si="63"/>
        <v>16000</v>
      </c>
    </row>
    <row r="4042" spans="1:6" x14ac:dyDescent="0.2">
      <c r="A4042" s="91">
        <v>45810</v>
      </c>
      <c r="B4042" s="46">
        <v>10099363</v>
      </c>
      <c r="C4042" s="56" t="s">
        <v>466</v>
      </c>
      <c r="D4042" s="62"/>
      <c r="E4042" s="63">
        <v>18800</v>
      </c>
      <c r="F4042" s="15">
        <f t="shared" si="63"/>
        <v>18800</v>
      </c>
    </row>
    <row r="4043" spans="1:6" x14ac:dyDescent="0.2">
      <c r="A4043" s="91">
        <v>45601</v>
      </c>
      <c r="B4043" s="44">
        <v>69148</v>
      </c>
      <c r="C4043" s="57" t="s">
        <v>145</v>
      </c>
      <c r="D4043" s="30"/>
      <c r="E4043" s="31">
        <v>4000</v>
      </c>
      <c r="F4043" s="15">
        <f t="shared" si="63"/>
        <v>4000</v>
      </c>
    </row>
    <row r="4044" spans="1:6" x14ac:dyDescent="0.2">
      <c r="A4044" s="91">
        <v>45603</v>
      </c>
      <c r="B4044" s="43">
        <v>38724253</v>
      </c>
      <c r="C4044" s="20" t="s">
        <v>148</v>
      </c>
      <c r="D4044" s="19"/>
      <c r="E4044" s="18">
        <v>16950</v>
      </c>
      <c r="F4044" s="15">
        <f t="shared" si="63"/>
        <v>16950</v>
      </c>
    </row>
    <row r="4045" spans="1:6" x14ac:dyDescent="0.2">
      <c r="A4045" s="91">
        <v>45762</v>
      </c>
      <c r="B4045" s="43">
        <v>646619</v>
      </c>
      <c r="C4045" s="20" t="s">
        <v>396</v>
      </c>
      <c r="D4045" s="19"/>
      <c r="E4045" s="18">
        <v>19000</v>
      </c>
      <c r="F4045" s="15">
        <f t="shared" si="63"/>
        <v>19000</v>
      </c>
    </row>
    <row r="4046" spans="1:6" x14ac:dyDescent="0.2">
      <c r="A4046" s="91">
        <v>45889</v>
      </c>
      <c r="B4046" s="43">
        <v>43425339</v>
      </c>
      <c r="C4046" s="20" t="s">
        <v>583</v>
      </c>
      <c r="D4046" s="19"/>
      <c r="E4046" s="18">
        <v>17000</v>
      </c>
      <c r="F4046" s="15">
        <f t="shared" si="63"/>
        <v>17000</v>
      </c>
    </row>
    <row r="4047" spans="1:6" x14ac:dyDescent="0.2">
      <c r="A4047" s="91">
        <v>45722</v>
      </c>
      <c r="B4047" s="43">
        <v>9717407</v>
      </c>
      <c r="C4047" s="20" t="s">
        <v>333</v>
      </c>
      <c r="D4047" s="19"/>
      <c r="E4047" s="18">
        <v>50800</v>
      </c>
      <c r="F4047" s="15">
        <f t="shared" si="63"/>
        <v>50800</v>
      </c>
    </row>
    <row r="4048" spans="1:6" x14ac:dyDescent="0.2">
      <c r="A4048" s="91">
        <v>45680</v>
      </c>
      <c r="B4048" s="43">
        <v>69624250</v>
      </c>
      <c r="C4048" s="20" t="s">
        <v>270</v>
      </c>
      <c r="D4048" s="19"/>
      <c r="E4048" s="18">
        <v>20250</v>
      </c>
      <c r="F4048" s="15">
        <f t="shared" si="63"/>
        <v>20250</v>
      </c>
    </row>
    <row r="4049" spans="1:6" x14ac:dyDescent="0.2">
      <c r="A4049" s="91">
        <v>45723</v>
      </c>
      <c r="B4049" s="43">
        <v>2617282</v>
      </c>
      <c r="C4049" s="20" t="s">
        <v>342</v>
      </c>
      <c r="D4049" s="19"/>
      <c r="E4049" s="18">
        <v>17000</v>
      </c>
      <c r="F4049" s="15">
        <f t="shared" si="63"/>
        <v>17000</v>
      </c>
    </row>
    <row r="4050" spans="1:6" x14ac:dyDescent="0.2">
      <c r="A4050" s="91">
        <v>45881</v>
      </c>
      <c r="B4050" s="43">
        <v>84660866</v>
      </c>
      <c r="C4050" s="20" t="s">
        <v>576</v>
      </c>
      <c r="D4050" s="19"/>
      <c r="E4050" s="18">
        <v>32000</v>
      </c>
      <c r="F4050" s="15">
        <f t="shared" si="63"/>
        <v>32000</v>
      </c>
    </row>
    <row r="4051" spans="1:6" x14ac:dyDescent="0.2">
      <c r="A4051" s="91">
        <v>45840</v>
      </c>
      <c r="B4051" s="43">
        <v>67402243</v>
      </c>
      <c r="C4051" s="20" t="s">
        <v>512</v>
      </c>
      <c r="D4051" s="19"/>
      <c r="E4051" s="18">
        <v>24300</v>
      </c>
      <c r="F4051" s="15">
        <f t="shared" si="63"/>
        <v>24300</v>
      </c>
    </row>
    <row r="4052" spans="1:6" x14ac:dyDescent="0.2">
      <c r="A4052" s="91">
        <v>45771</v>
      </c>
      <c r="B4052" s="43">
        <v>96874411</v>
      </c>
      <c r="C4052" s="20" t="s">
        <v>405</v>
      </c>
      <c r="D4052" s="19"/>
      <c r="E4052" s="18">
        <v>16000</v>
      </c>
      <c r="F4052" s="15">
        <f t="shared" si="63"/>
        <v>16000</v>
      </c>
    </row>
    <row r="4053" spans="1:6" x14ac:dyDescent="0.2">
      <c r="A4053" s="91">
        <v>45884</v>
      </c>
      <c r="B4053" s="43">
        <v>14482404</v>
      </c>
      <c r="C4053" s="20" t="s">
        <v>579</v>
      </c>
      <c r="D4053" s="19"/>
      <c r="E4053" s="18">
        <v>57800</v>
      </c>
      <c r="F4053" s="15">
        <f t="shared" si="63"/>
        <v>57800</v>
      </c>
    </row>
    <row r="4054" spans="1:6" x14ac:dyDescent="0.2">
      <c r="A4054" s="91">
        <v>45649</v>
      </c>
      <c r="B4054" s="43">
        <v>2336534</v>
      </c>
      <c r="C4054" s="20" t="s">
        <v>221</v>
      </c>
      <c r="D4054" s="19"/>
      <c r="E4054" s="18">
        <v>15278</v>
      </c>
      <c r="F4054" s="15">
        <f t="shared" si="63"/>
        <v>15278</v>
      </c>
    </row>
    <row r="4055" spans="1:6" x14ac:dyDescent="0.2">
      <c r="A4055" s="91">
        <v>45666</v>
      </c>
      <c r="B4055" s="43">
        <v>40560710</v>
      </c>
      <c r="C4055" s="20" t="s">
        <v>240</v>
      </c>
      <c r="D4055" s="19"/>
      <c r="E4055" s="18">
        <v>17000</v>
      </c>
      <c r="F4055" s="15">
        <f t="shared" si="63"/>
        <v>17000</v>
      </c>
    </row>
    <row r="4056" spans="1:6" x14ac:dyDescent="0.2">
      <c r="A4056" s="91">
        <v>45629</v>
      </c>
      <c r="B4056" s="43">
        <v>84746120</v>
      </c>
      <c r="C4056" s="20" t="s">
        <v>201</v>
      </c>
      <c r="D4056" s="19"/>
      <c r="E4056" s="18">
        <v>14000</v>
      </c>
      <c r="F4056" s="15">
        <f t="shared" si="63"/>
        <v>14000</v>
      </c>
    </row>
    <row r="4057" spans="1:6" x14ac:dyDescent="0.2">
      <c r="A4057" s="91">
        <v>45728</v>
      </c>
      <c r="B4057" s="43">
        <v>99449486</v>
      </c>
      <c r="C4057" s="20" t="s">
        <v>348</v>
      </c>
      <c r="D4057" s="19"/>
      <c r="E4057" s="18">
        <v>17200</v>
      </c>
      <c r="F4057" s="15">
        <f t="shared" si="63"/>
        <v>17200</v>
      </c>
    </row>
    <row r="4058" spans="1:6" x14ac:dyDescent="0.2">
      <c r="A4058" s="91">
        <v>45698</v>
      </c>
      <c r="B4058" s="43">
        <v>96349705</v>
      </c>
      <c r="C4058" s="20" t="s">
        <v>294</v>
      </c>
      <c r="D4058" s="19"/>
      <c r="E4058" s="18">
        <v>27000</v>
      </c>
      <c r="F4058" s="15">
        <f t="shared" si="63"/>
        <v>27000</v>
      </c>
    </row>
    <row r="4059" spans="1:6" x14ac:dyDescent="0.2">
      <c r="A4059" s="91">
        <v>45812</v>
      </c>
      <c r="B4059" s="43">
        <v>76206233</v>
      </c>
      <c r="C4059" s="20" t="s">
        <v>475</v>
      </c>
      <c r="D4059" s="19"/>
      <c r="E4059" s="18">
        <v>24300</v>
      </c>
      <c r="F4059" s="15">
        <f t="shared" si="63"/>
        <v>24300</v>
      </c>
    </row>
    <row r="4060" spans="1:6" x14ac:dyDescent="0.2">
      <c r="A4060" s="91">
        <v>45784</v>
      </c>
      <c r="B4060" s="43">
        <v>95009579</v>
      </c>
      <c r="C4060" s="20" t="s">
        <v>426</v>
      </c>
      <c r="D4060" s="19"/>
      <c r="E4060" s="18">
        <v>16000</v>
      </c>
      <c r="F4060" s="15">
        <f t="shared" si="63"/>
        <v>16000</v>
      </c>
    </row>
    <row r="4061" spans="1:6" x14ac:dyDescent="0.2">
      <c r="A4061" s="91">
        <v>45701</v>
      </c>
      <c r="B4061" s="43">
        <v>27851207</v>
      </c>
      <c r="C4061" s="20" t="s">
        <v>301</v>
      </c>
      <c r="D4061" s="19"/>
      <c r="E4061" s="18">
        <v>65000</v>
      </c>
      <c r="F4061" s="15">
        <f t="shared" si="63"/>
        <v>65000</v>
      </c>
    </row>
    <row r="4062" spans="1:6" x14ac:dyDescent="0.2">
      <c r="A4062" s="91">
        <v>45692</v>
      </c>
      <c r="B4062" s="43">
        <v>43040759</v>
      </c>
      <c r="C4062" s="20" t="s">
        <v>285</v>
      </c>
      <c r="D4062" s="19"/>
      <c r="E4062" s="18">
        <v>25000</v>
      </c>
      <c r="F4062" s="15">
        <f t="shared" si="63"/>
        <v>25000</v>
      </c>
    </row>
    <row r="4063" spans="1:6" x14ac:dyDescent="0.2">
      <c r="A4063" s="91">
        <v>45811</v>
      </c>
      <c r="B4063" s="43">
        <v>98973003</v>
      </c>
      <c r="C4063" s="20" t="s">
        <v>472</v>
      </c>
      <c r="D4063" s="19"/>
      <c r="E4063" s="18">
        <v>19000</v>
      </c>
      <c r="F4063" s="15">
        <f t="shared" si="63"/>
        <v>19000</v>
      </c>
    </row>
    <row r="4064" spans="1:6" x14ac:dyDescent="0.2">
      <c r="A4064" s="91">
        <v>45672</v>
      </c>
      <c r="B4064" s="43">
        <v>10695316</v>
      </c>
      <c r="C4064" s="20" t="s">
        <v>250</v>
      </c>
      <c r="D4064" s="19"/>
      <c r="E4064" s="18">
        <v>17000</v>
      </c>
      <c r="F4064" s="15">
        <f t="shared" si="63"/>
        <v>17000</v>
      </c>
    </row>
    <row r="4065" spans="1:8" x14ac:dyDescent="0.2">
      <c r="A4065" s="91">
        <v>45773</v>
      </c>
      <c r="B4065" s="43">
        <v>20457760</v>
      </c>
      <c r="C4065" s="20" t="s">
        <v>412</v>
      </c>
      <c r="D4065" s="19"/>
      <c r="E4065" s="18">
        <v>16000</v>
      </c>
      <c r="F4065" s="15">
        <f t="shared" si="63"/>
        <v>16000</v>
      </c>
    </row>
    <row r="4066" spans="1:8" x14ac:dyDescent="0.2">
      <c r="A4066" s="91">
        <v>45799</v>
      </c>
      <c r="B4066" s="43">
        <v>80188761</v>
      </c>
      <c r="C4066" s="20" t="s">
        <v>450</v>
      </c>
      <c r="D4066" s="19"/>
      <c r="E4066" s="18">
        <v>18500</v>
      </c>
      <c r="F4066" s="15">
        <f t="shared" si="63"/>
        <v>18500</v>
      </c>
    </row>
    <row r="4067" spans="1:8" x14ac:dyDescent="0.2">
      <c r="A4067" s="91">
        <v>45791</v>
      </c>
      <c r="B4067" s="43">
        <v>96263005</v>
      </c>
      <c r="C4067" s="20" t="s">
        <v>440</v>
      </c>
      <c r="D4067" s="19"/>
      <c r="E4067" s="18">
        <v>26200</v>
      </c>
      <c r="F4067" s="15">
        <f t="shared" si="63"/>
        <v>26200</v>
      </c>
    </row>
    <row r="4068" spans="1:8" x14ac:dyDescent="0.2">
      <c r="A4068" s="91">
        <v>45846</v>
      </c>
      <c r="B4068" s="46">
        <v>26520161</v>
      </c>
      <c r="C4068" s="56" t="s">
        <v>528</v>
      </c>
      <c r="D4068" s="62"/>
      <c r="E4068" s="63">
        <v>17000</v>
      </c>
      <c r="F4068" s="15">
        <f t="shared" si="63"/>
        <v>17000</v>
      </c>
    </row>
    <row r="4069" spans="1:8" x14ac:dyDescent="0.2">
      <c r="A4069" s="91">
        <v>45897</v>
      </c>
      <c r="B4069" s="44">
        <v>1374045</v>
      </c>
      <c r="C4069" s="57" t="s">
        <v>593</v>
      </c>
      <c r="D4069" s="30"/>
      <c r="E4069" s="31">
        <v>19800</v>
      </c>
      <c r="F4069" s="15">
        <f t="shared" si="63"/>
        <v>19800</v>
      </c>
    </row>
    <row r="4070" spans="1:8" x14ac:dyDescent="0.2">
      <c r="A4070" s="91">
        <v>45722</v>
      </c>
      <c r="B4070" s="43">
        <v>15114</v>
      </c>
      <c r="C4070" s="20" t="s">
        <v>336</v>
      </c>
      <c r="D4070" s="19"/>
      <c r="E4070" s="18">
        <v>16000</v>
      </c>
      <c r="F4070" s="15">
        <f t="shared" si="63"/>
        <v>16000</v>
      </c>
    </row>
    <row r="4071" spans="1:8" x14ac:dyDescent="0.2">
      <c r="A4071" s="91">
        <v>45889</v>
      </c>
      <c r="B4071" s="43">
        <v>404405</v>
      </c>
      <c r="C4071" s="20" t="s">
        <v>581</v>
      </c>
      <c r="D4071" s="19"/>
      <c r="E4071" s="18">
        <v>17000</v>
      </c>
      <c r="F4071" s="15">
        <f t="shared" si="63"/>
        <v>17000</v>
      </c>
    </row>
    <row r="4072" spans="1:8" x14ac:dyDescent="0.2">
      <c r="A4072" s="91">
        <v>45546</v>
      </c>
      <c r="B4072" s="16">
        <v>151124</v>
      </c>
      <c r="C4072" s="20" t="s">
        <v>38</v>
      </c>
      <c r="D4072" s="19"/>
      <c r="E4072" s="18">
        <v>30591</v>
      </c>
      <c r="F4072" s="15">
        <f t="shared" si="63"/>
        <v>30591</v>
      </c>
      <c r="H4072" s="10"/>
    </row>
    <row r="4073" spans="1:8" x14ac:dyDescent="0.2">
      <c r="A4073" s="91">
        <v>45580</v>
      </c>
      <c r="B4073" s="43">
        <v>444804</v>
      </c>
      <c r="C4073" s="20" t="s">
        <v>38</v>
      </c>
      <c r="D4073" s="19"/>
      <c r="E4073" s="18">
        <v>69804.899999999994</v>
      </c>
      <c r="F4073" s="15">
        <f t="shared" si="63"/>
        <v>69804.899999999994</v>
      </c>
    </row>
    <row r="4074" spans="1:8" x14ac:dyDescent="0.2">
      <c r="A4074" s="91">
        <v>45610</v>
      </c>
      <c r="B4074" s="43">
        <v>871459</v>
      </c>
      <c r="C4074" s="20" t="s">
        <v>38</v>
      </c>
      <c r="D4074" s="19"/>
      <c r="E4074" s="18">
        <v>23829</v>
      </c>
      <c r="F4074" s="15">
        <f t="shared" si="63"/>
        <v>23829</v>
      </c>
    </row>
    <row r="4075" spans="1:8" x14ac:dyDescent="0.2">
      <c r="A4075" s="91">
        <v>45638</v>
      </c>
      <c r="B4075" s="43">
        <v>163353</v>
      </c>
      <c r="C4075" s="20" t="s">
        <v>38</v>
      </c>
      <c r="D4075" s="19"/>
      <c r="E4075" s="18">
        <v>99351.23</v>
      </c>
      <c r="F4075" s="15">
        <f t="shared" si="63"/>
        <v>99351.23</v>
      </c>
    </row>
    <row r="4076" spans="1:8" x14ac:dyDescent="0.2">
      <c r="A4076" s="91">
        <v>45671</v>
      </c>
      <c r="B4076" s="43">
        <v>852274</v>
      </c>
      <c r="C4076" s="20" t="s">
        <v>244</v>
      </c>
      <c r="D4076" s="19"/>
      <c r="E4076" s="18">
        <v>56232</v>
      </c>
      <c r="F4076" s="15">
        <f t="shared" si="63"/>
        <v>56232</v>
      </c>
    </row>
    <row r="4077" spans="1:8" x14ac:dyDescent="0.2">
      <c r="A4077" s="91">
        <v>45701</v>
      </c>
      <c r="B4077" s="43">
        <v>48025</v>
      </c>
      <c r="C4077" s="20" t="s">
        <v>302</v>
      </c>
      <c r="D4077" s="19"/>
      <c r="E4077" s="18">
        <v>14666.65</v>
      </c>
      <c r="F4077" s="15">
        <f t="shared" si="63"/>
        <v>14666.65</v>
      </c>
    </row>
    <row r="4078" spans="1:8" x14ac:dyDescent="0.2">
      <c r="A4078" s="91">
        <v>45727</v>
      </c>
      <c r="B4078" s="43">
        <v>229685</v>
      </c>
      <c r="C4078" s="20" t="s">
        <v>346</v>
      </c>
      <c r="D4078" s="19"/>
      <c r="E4078" s="18">
        <v>24473.69</v>
      </c>
      <c r="F4078" s="15">
        <f t="shared" si="63"/>
        <v>24473.69</v>
      </c>
    </row>
    <row r="4079" spans="1:8" x14ac:dyDescent="0.2">
      <c r="A4079" s="91">
        <v>45814</v>
      </c>
      <c r="B4079" s="43">
        <v>750358</v>
      </c>
      <c r="C4079" s="20" t="s">
        <v>478</v>
      </c>
      <c r="D4079" s="19"/>
      <c r="E4079" s="18">
        <v>36042.730000000003</v>
      </c>
      <c r="F4079" s="15">
        <f t="shared" si="63"/>
        <v>36042.730000000003</v>
      </c>
    </row>
    <row r="4080" spans="1:8" x14ac:dyDescent="0.2">
      <c r="A4080" s="91">
        <v>45852</v>
      </c>
      <c r="B4080" s="43">
        <v>971450</v>
      </c>
      <c r="C4080" s="20" t="s">
        <v>531</v>
      </c>
      <c r="D4080" s="19"/>
      <c r="E4080" s="18">
        <v>37224</v>
      </c>
      <c r="F4080" s="15">
        <f t="shared" si="63"/>
        <v>37224</v>
      </c>
    </row>
    <row r="4081" spans="1:8" x14ac:dyDescent="0.2">
      <c r="A4081" s="91">
        <v>45881</v>
      </c>
      <c r="B4081" s="43">
        <v>227211</v>
      </c>
      <c r="C4081" s="20" t="s">
        <v>577</v>
      </c>
      <c r="D4081" s="19"/>
      <c r="E4081" s="18">
        <v>38895.910000000003</v>
      </c>
      <c r="F4081" s="15">
        <f t="shared" si="63"/>
        <v>38895.910000000003</v>
      </c>
    </row>
    <row r="4082" spans="1:8" x14ac:dyDescent="0.2">
      <c r="A4082" s="91">
        <v>45818</v>
      </c>
      <c r="B4082" s="43">
        <v>844182</v>
      </c>
      <c r="C4082" s="20" t="s">
        <v>485</v>
      </c>
      <c r="D4082" s="19"/>
      <c r="E4082" s="18">
        <v>20694.37</v>
      </c>
      <c r="F4082" s="15">
        <f t="shared" si="63"/>
        <v>20694.37</v>
      </c>
    </row>
    <row r="4083" spans="1:8" x14ac:dyDescent="0.2">
      <c r="A4083" s="91">
        <v>45894</v>
      </c>
      <c r="B4083" s="43">
        <v>719628</v>
      </c>
      <c r="C4083" s="20" t="s">
        <v>589</v>
      </c>
      <c r="D4083" s="19"/>
      <c r="E4083" s="18">
        <v>101088.8</v>
      </c>
      <c r="F4083" s="15">
        <f t="shared" si="63"/>
        <v>101088.8</v>
      </c>
    </row>
    <row r="4084" spans="1:8" x14ac:dyDescent="0.2">
      <c r="A4084" s="91">
        <v>45856</v>
      </c>
      <c r="B4084" s="43">
        <v>120050</v>
      </c>
      <c r="C4084" s="20" t="s">
        <v>541</v>
      </c>
      <c r="D4084" s="19"/>
      <c r="E4084" s="18">
        <v>486443.4</v>
      </c>
      <c r="F4084" s="15">
        <f t="shared" si="63"/>
        <v>486443.4</v>
      </c>
    </row>
    <row r="4085" spans="1:8" x14ac:dyDescent="0.2">
      <c r="A4085" s="91">
        <v>45555</v>
      </c>
      <c r="B4085" s="16">
        <v>271491</v>
      </c>
      <c r="C4085" s="20" t="s">
        <v>74</v>
      </c>
      <c r="D4085" s="19"/>
      <c r="E4085" s="18">
        <v>19540.22</v>
      </c>
      <c r="F4085" s="15">
        <f t="shared" si="63"/>
        <v>19540.22</v>
      </c>
      <c r="H4085" s="10"/>
    </row>
    <row r="4086" spans="1:8" x14ac:dyDescent="0.2">
      <c r="A4086" s="91">
        <v>45672</v>
      </c>
      <c r="B4086" s="43">
        <v>438193</v>
      </c>
      <c r="C4086" s="20" t="s">
        <v>249</v>
      </c>
      <c r="D4086" s="19"/>
      <c r="E4086" s="18">
        <v>31279.5</v>
      </c>
      <c r="F4086" s="15">
        <f t="shared" si="63"/>
        <v>31279.5</v>
      </c>
    </row>
    <row r="4087" spans="1:8" x14ac:dyDescent="0.2">
      <c r="A4087" s="91">
        <v>45660</v>
      </c>
      <c r="B4087" s="43">
        <v>780712</v>
      </c>
      <c r="C4087" s="20" t="s">
        <v>229</v>
      </c>
      <c r="D4087" s="19"/>
      <c r="E4087" s="18">
        <v>86166.52</v>
      </c>
      <c r="F4087" s="15">
        <f t="shared" si="63"/>
        <v>86166.52</v>
      </c>
    </row>
    <row r="4088" spans="1:8" x14ac:dyDescent="0.2">
      <c r="A4088" s="91">
        <v>45552</v>
      </c>
      <c r="B4088" s="16">
        <v>228199</v>
      </c>
      <c r="C4088" s="20" t="s">
        <v>52</v>
      </c>
      <c r="D4088" s="19"/>
      <c r="E4088" s="18">
        <v>11660</v>
      </c>
      <c r="F4088" s="15">
        <f t="shared" si="63"/>
        <v>11660</v>
      </c>
      <c r="H4088" s="10"/>
    </row>
    <row r="4089" spans="1:8" x14ac:dyDescent="0.2">
      <c r="A4089" s="91">
        <v>45617</v>
      </c>
      <c r="B4089" s="43">
        <v>941511</v>
      </c>
      <c r="C4089" s="20" t="s">
        <v>181</v>
      </c>
      <c r="D4089" s="19"/>
      <c r="E4089" s="18">
        <v>142953.4</v>
      </c>
      <c r="F4089" s="15">
        <f t="shared" si="63"/>
        <v>142953.4</v>
      </c>
    </row>
    <row r="4090" spans="1:8" x14ac:dyDescent="0.2">
      <c r="A4090" s="91">
        <v>45730</v>
      </c>
      <c r="B4090" s="43">
        <v>259510</v>
      </c>
      <c r="C4090" s="20" t="s">
        <v>351</v>
      </c>
      <c r="D4090" s="19"/>
      <c r="E4090" s="18">
        <v>30631.1</v>
      </c>
      <c r="F4090" s="15">
        <f t="shared" si="63"/>
        <v>30631.1</v>
      </c>
    </row>
    <row r="4091" spans="1:8" x14ac:dyDescent="0.2">
      <c r="A4091" s="91">
        <v>45887</v>
      </c>
      <c r="B4091" s="43">
        <v>445934</v>
      </c>
      <c r="C4091" s="20" t="s">
        <v>351</v>
      </c>
      <c r="D4091" s="19"/>
      <c r="E4091" s="18">
        <v>29020.9</v>
      </c>
      <c r="F4091" s="15">
        <f t="shared" si="63"/>
        <v>29020.9</v>
      </c>
    </row>
    <row r="4092" spans="1:8" x14ac:dyDescent="0.2">
      <c r="A4092" s="91">
        <v>45672</v>
      </c>
      <c r="B4092" s="43">
        <v>858424</v>
      </c>
      <c r="C4092" s="20" t="s">
        <v>248</v>
      </c>
      <c r="D4092" s="19"/>
      <c r="E4092" s="18">
        <v>6200</v>
      </c>
      <c r="F4092" s="15">
        <f t="shared" si="63"/>
        <v>6200</v>
      </c>
    </row>
    <row r="4093" spans="1:8" x14ac:dyDescent="0.2">
      <c r="A4093" s="91">
        <v>45709</v>
      </c>
      <c r="B4093" s="43">
        <v>96332</v>
      </c>
      <c r="C4093" s="20" t="s">
        <v>248</v>
      </c>
      <c r="D4093" s="19"/>
      <c r="E4093" s="18">
        <v>7200</v>
      </c>
      <c r="F4093" s="15">
        <f t="shared" si="63"/>
        <v>7200</v>
      </c>
    </row>
    <row r="4094" spans="1:8" x14ac:dyDescent="0.2">
      <c r="A4094" s="91">
        <v>45860</v>
      </c>
      <c r="B4094" s="43">
        <v>268629</v>
      </c>
      <c r="C4094" s="20" t="s">
        <v>248</v>
      </c>
      <c r="D4094" s="19"/>
      <c r="E4094" s="18">
        <v>42200</v>
      </c>
      <c r="F4094" s="15">
        <f t="shared" si="63"/>
        <v>42200</v>
      </c>
    </row>
    <row r="4095" spans="1:8" x14ac:dyDescent="0.2">
      <c r="A4095" s="91">
        <v>45860</v>
      </c>
      <c r="B4095" s="46">
        <v>335642</v>
      </c>
      <c r="C4095" s="56" t="s">
        <v>248</v>
      </c>
      <c r="D4095" s="62"/>
      <c r="E4095" s="63">
        <v>18000</v>
      </c>
      <c r="F4095" s="15">
        <f t="shared" si="63"/>
        <v>18000</v>
      </c>
    </row>
    <row r="4096" spans="1:8" x14ac:dyDescent="0.2">
      <c r="A4096" s="91">
        <v>45643</v>
      </c>
      <c r="B4096" s="44">
        <v>674647</v>
      </c>
      <c r="C4096" s="57" t="s">
        <v>215</v>
      </c>
      <c r="D4096" s="30"/>
      <c r="E4096" s="31">
        <v>721025.43</v>
      </c>
      <c r="F4096" s="15">
        <f t="shared" si="63"/>
        <v>721025.43</v>
      </c>
    </row>
    <row r="4097" spans="1:8" x14ac:dyDescent="0.2">
      <c r="A4097" s="91">
        <v>45679</v>
      </c>
      <c r="B4097" s="43">
        <v>903675</v>
      </c>
      <c r="C4097" s="20" t="s">
        <v>267</v>
      </c>
      <c r="D4097" s="19"/>
      <c r="E4097" s="18">
        <v>293535.3</v>
      </c>
      <c r="F4097" s="15">
        <f t="shared" si="63"/>
        <v>293535.3</v>
      </c>
    </row>
    <row r="4098" spans="1:8" x14ac:dyDescent="0.2">
      <c r="A4098" s="91">
        <v>45705</v>
      </c>
      <c r="B4098" s="43">
        <v>70390</v>
      </c>
      <c r="C4098" s="20" t="s">
        <v>308</v>
      </c>
      <c r="D4098" s="25"/>
      <c r="E4098" s="25">
        <v>1101360.57</v>
      </c>
      <c r="F4098" s="15">
        <f t="shared" si="63"/>
        <v>1101360.57</v>
      </c>
    </row>
    <row r="4099" spans="1:8" x14ac:dyDescent="0.2">
      <c r="A4099" s="91">
        <v>45743</v>
      </c>
      <c r="B4099" s="43">
        <v>339357</v>
      </c>
      <c r="C4099" s="20" t="s">
        <v>364</v>
      </c>
      <c r="D4099" s="19"/>
      <c r="E4099" s="18">
        <v>148801.35</v>
      </c>
      <c r="F4099" s="15">
        <f t="shared" ref="F4099:F4162" si="64">+E4099-D4099</f>
        <v>148801.35</v>
      </c>
    </row>
    <row r="4100" spans="1:8" x14ac:dyDescent="0.2">
      <c r="A4100" s="91">
        <v>45768</v>
      </c>
      <c r="B4100" s="43">
        <v>130877</v>
      </c>
      <c r="C4100" s="20" t="s">
        <v>400</v>
      </c>
      <c r="D4100" s="19"/>
      <c r="E4100" s="18">
        <v>273783.40000000002</v>
      </c>
      <c r="F4100" s="15">
        <f t="shared" si="64"/>
        <v>273783.40000000002</v>
      </c>
    </row>
    <row r="4101" spans="1:8" x14ac:dyDescent="0.2">
      <c r="A4101" s="91">
        <v>45796</v>
      </c>
      <c r="B4101" s="43">
        <v>115148</v>
      </c>
      <c r="C4101" s="20" t="s">
        <v>446</v>
      </c>
      <c r="D4101" s="25"/>
      <c r="E4101" s="25">
        <v>1054704.24</v>
      </c>
      <c r="F4101" s="15">
        <f t="shared" si="64"/>
        <v>1054704.24</v>
      </c>
    </row>
    <row r="4102" spans="1:8" x14ac:dyDescent="0.2">
      <c r="A4102" s="91">
        <v>45831</v>
      </c>
      <c r="B4102" s="43">
        <v>219129</v>
      </c>
      <c r="C4102" s="20" t="s">
        <v>494</v>
      </c>
      <c r="D4102" s="19"/>
      <c r="E4102" s="18">
        <v>369077.85</v>
      </c>
      <c r="F4102" s="15">
        <f t="shared" si="64"/>
        <v>369077.85</v>
      </c>
    </row>
    <row r="4103" spans="1:8" x14ac:dyDescent="0.2">
      <c r="A4103" s="91">
        <v>45889</v>
      </c>
      <c r="B4103" s="43">
        <v>553128</v>
      </c>
      <c r="C4103" s="20" t="s">
        <v>582</v>
      </c>
      <c r="D4103" s="25"/>
      <c r="E4103" s="25">
        <v>2322960.0699999998</v>
      </c>
      <c r="F4103" s="15">
        <f t="shared" si="64"/>
        <v>2322960.0699999998</v>
      </c>
    </row>
    <row r="4104" spans="1:8" x14ac:dyDescent="0.2">
      <c r="A4104" s="91">
        <v>45611</v>
      </c>
      <c r="B4104" s="43">
        <v>817119</v>
      </c>
      <c r="C4104" s="20" t="s">
        <v>161</v>
      </c>
      <c r="D4104" s="19"/>
      <c r="E4104" s="18">
        <v>139910.28</v>
      </c>
      <c r="F4104" s="15">
        <f t="shared" si="64"/>
        <v>139910.28</v>
      </c>
    </row>
    <row r="4105" spans="1:8" x14ac:dyDescent="0.2">
      <c r="A4105" s="91">
        <v>45643</v>
      </c>
      <c r="B4105" s="43">
        <v>669262</v>
      </c>
      <c r="C4105" s="20" t="s">
        <v>216</v>
      </c>
      <c r="D4105" s="19"/>
      <c r="E4105" s="18">
        <v>6500</v>
      </c>
      <c r="F4105" s="15">
        <f t="shared" si="64"/>
        <v>6500</v>
      </c>
    </row>
    <row r="4106" spans="1:8" x14ac:dyDescent="0.2">
      <c r="A4106" s="91">
        <v>45793</v>
      </c>
      <c r="B4106" s="43">
        <v>51665</v>
      </c>
      <c r="C4106" s="20" t="s">
        <v>216</v>
      </c>
      <c r="D4106" s="19"/>
      <c r="E4106" s="18">
        <v>29900</v>
      </c>
      <c r="F4106" s="15">
        <f t="shared" si="64"/>
        <v>29900</v>
      </c>
    </row>
    <row r="4107" spans="1:8" x14ac:dyDescent="0.2">
      <c r="A4107" s="91">
        <v>45853</v>
      </c>
      <c r="B4107" s="43">
        <v>66730</v>
      </c>
      <c r="C4107" s="20" t="s">
        <v>535</v>
      </c>
      <c r="D4107" s="19"/>
      <c r="E4107" s="18">
        <v>26239</v>
      </c>
      <c r="F4107" s="15">
        <f t="shared" si="64"/>
        <v>26239</v>
      </c>
    </row>
    <row r="4108" spans="1:8" x14ac:dyDescent="0.2">
      <c r="A4108" s="91">
        <v>45707</v>
      </c>
      <c r="B4108" s="43">
        <v>83765</v>
      </c>
      <c r="C4108" s="20" t="s">
        <v>311</v>
      </c>
      <c r="D4108" s="19"/>
      <c r="E4108" s="18">
        <v>19900</v>
      </c>
      <c r="F4108" s="15">
        <f t="shared" si="64"/>
        <v>19900</v>
      </c>
    </row>
    <row r="4109" spans="1:8" x14ac:dyDescent="0.2">
      <c r="A4109" s="91">
        <v>45789</v>
      </c>
      <c r="B4109" s="43">
        <v>891049</v>
      </c>
      <c r="C4109" s="20" t="s">
        <v>436</v>
      </c>
      <c r="D4109" s="19"/>
      <c r="E4109" s="18">
        <v>22600</v>
      </c>
      <c r="F4109" s="15">
        <f t="shared" si="64"/>
        <v>22600</v>
      </c>
    </row>
    <row r="4110" spans="1:8" x14ac:dyDescent="0.2">
      <c r="A4110" s="91">
        <v>45554</v>
      </c>
      <c r="B4110" s="16">
        <v>192468</v>
      </c>
      <c r="C4110" s="20" t="s">
        <v>72</v>
      </c>
      <c r="D4110" s="19"/>
      <c r="E4110" s="18">
        <v>118373.7</v>
      </c>
      <c r="F4110" s="15">
        <f t="shared" si="64"/>
        <v>118373.7</v>
      </c>
      <c r="H4110" s="10"/>
    </row>
    <row r="4111" spans="1:8" x14ac:dyDescent="0.2">
      <c r="A4111" s="91">
        <v>45596</v>
      </c>
      <c r="B4111" s="43">
        <v>632005</v>
      </c>
      <c r="C4111" s="20" t="s">
        <v>72</v>
      </c>
      <c r="D4111" s="19"/>
      <c r="E4111" s="18">
        <v>11972.94</v>
      </c>
      <c r="F4111" s="15">
        <f t="shared" si="64"/>
        <v>11972.94</v>
      </c>
    </row>
    <row r="4112" spans="1:8" x14ac:dyDescent="0.2">
      <c r="A4112" s="91">
        <v>45582</v>
      </c>
      <c r="B4112" s="43">
        <v>565322</v>
      </c>
      <c r="C4112" s="20" t="s">
        <v>120</v>
      </c>
      <c r="D4112" s="19"/>
      <c r="E4112" s="18">
        <v>8262</v>
      </c>
      <c r="F4112" s="15">
        <f t="shared" si="64"/>
        <v>8262</v>
      </c>
    </row>
    <row r="4113" spans="1:6" x14ac:dyDescent="0.2">
      <c r="A4113" s="91">
        <v>45801</v>
      </c>
      <c r="B4113" s="43">
        <v>43489716</v>
      </c>
      <c r="C4113" s="20" t="s">
        <v>458</v>
      </c>
      <c r="D4113" s="19"/>
      <c r="E4113" s="18">
        <v>16000</v>
      </c>
      <c r="F4113" s="15">
        <f t="shared" si="64"/>
        <v>16000</v>
      </c>
    </row>
    <row r="4114" spans="1:6" x14ac:dyDescent="0.2">
      <c r="A4114" s="91">
        <v>45757</v>
      </c>
      <c r="B4114" s="43">
        <v>38403824</v>
      </c>
      <c r="C4114" s="20" t="s">
        <v>385</v>
      </c>
      <c r="D4114" s="19"/>
      <c r="E4114" s="18">
        <v>16000</v>
      </c>
      <c r="F4114" s="15">
        <f t="shared" si="64"/>
        <v>16000</v>
      </c>
    </row>
    <row r="4115" spans="1:6" x14ac:dyDescent="0.2">
      <c r="A4115" s="91">
        <v>45759</v>
      </c>
      <c r="B4115" s="43">
        <v>93101335</v>
      </c>
      <c r="C4115" s="20" t="s">
        <v>395</v>
      </c>
      <c r="D4115" s="19"/>
      <c r="E4115" s="18">
        <v>16000</v>
      </c>
      <c r="F4115" s="15">
        <f t="shared" si="64"/>
        <v>16000</v>
      </c>
    </row>
    <row r="4116" spans="1:6" x14ac:dyDescent="0.2">
      <c r="A4116" s="91">
        <v>45783</v>
      </c>
      <c r="B4116" s="43">
        <v>24231291</v>
      </c>
      <c r="C4116" s="20" t="s">
        <v>423</v>
      </c>
      <c r="D4116" s="19"/>
      <c r="E4116" s="18">
        <v>19000</v>
      </c>
      <c r="F4116" s="15">
        <f t="shared" si="64"/>
        <v>19000</v>
      </c>
    </row>
    <row r="4117" spans="1:6" x14ac:dyDescent="0.2">
      <c r="A4117" s="91">
        <v>45789</v>
      </c>
      <c r="B4117" s="43">
        <v>28424095</v>
      </c>
      <c r="C4117" s="20" t="s">
        <v>435</v>
      </c>
      <c r="D4117" s="19"/>
      <c r="E4117" s="18">
        <v>18000</v>
      </c>
      <c r="F4117" s="15">
        <f t="shared" si="64"/>
        <v>18000</v>
      </c>
    </row>
    <row r="4118" spans="1:6" x14ac:dyDescent="0.2">
      <c r="A4118" s="91">
        <v>45618</v>
      </c>
      <c r="B4118" s="43">
        <v>537767</v>
      </c>
      <c r="C4118" s="20" t="s">
        <v>183</v>
      </c>
      <c r="D4118" s="19"/>
      <c r="E4118" s="18">
        <v>5000</v>
      </c>
      <c r="F4118" s="15">
        <f t="shared" si="64"/>
        <v>5000</v>
      </c>
    </row>
    <row r="4119" spans="1:6" x14ac:dyDescent="0.2">
      <c r="A4119" s="91">
        <v>45686</v>
      </c>
      <c r="B4119" s="43">
        <v>940993</v>
      </c>
      <c r="C4119" s="20" t="s">
        <v>183</v>
      </c>
      <c r="D4119" s="25"/>
      <c r="E4119" s="25">
        <v>20000000</v>
      </c>
      <c r="F4119" s="15">
        <f t="shared" si="64"/>
        <v>20000000</v>
      </c>
    </row>
    <row r="4120" spans="1:6" x14ac:dyDescent="0.2">
      <c r="A4120" s="91">
        <v>45827</v>
      </c>
      <c r="B4120" s="43">
        <v>161301</v>
      </c>
      <c r="C4120" s="20" t="s">
        <v>183</v>
      </c>
      <c r="D4120" s="25"/>
      <c r="E4120" s="25">
        <v>100000000</v>
      </c>
      <c r="F4120" s="15">
        <f t="shared" si="64"/>
        <v>100000000</v>
      </c>
    </row>
    <row r="4121" spans="1:6" x14ac:dyDescent="0.2">
      <c r="A4121" s="91">
        <v>45645</v>
      </c>
      <c r="B4121" s="43">
        <v>691967</v>
      </c>
      <c r="C4121" s="20" t="s">
        <v>217</v>
      </c>
      <c r="D4121" s="25"/>
      <c r="E4121" s="25">
        <v>50000000</v>
      </c>
      <c r="F4121" s="15">
        <f t="shared" si="64"/>
        <v>50000000</v>
      </c>
    </row>
    <row r="4122" spans="1:6" x14ac:dyDescent="0.2">
      <c r="A4122" s="91">
        <v>45649</v>
      </c>
      <c r="B4122" s="46">
        <v>722545</v>
      </c>
      <c r="C4122" s="56" t="s">
        <v>217</v>
      </c>
      <c r="D4122" s="52"/>
      <c r="E4122" s="52">
        <v>80000000</v>
      </c>
      <c r="F4122" s="15">
        <f t="shared" si="64"/>
        <v>80000000</v>
      </c>
    </row>
    <row r="4123" spans="1:6" x14ac:dyDescent="0.2">
      <c r="A4123" s="91">
        <v>45659</v>
      </c>
      <c r="B4123" s="44">
        <v>762371</v>
      </c>
      <c r="C4123" s="57" t="s">
        <v>217</v>
      </c>
      <c r="D4123" s="53"/>
      <c r="E4123" s="29">
        <v>100000000</v>
      </c>
      <c r="F4123" s="15">
        <f t="shared" si="64"/>
        <v>100000000</v>
      </c>
    </row>
    <row r="4124" spans="1:6" x14ac:dyDescent="0.2">
      <c r="A4124" s="91">
        <v>45661</v>
      </c>
      <c r="B4124" s="43">
        <v>776554</v>
      </c>
      <c r="C4124" s="20" t="s">
        <v>217</v>
      </c>
      <c r="D4124" s="25"/>
      <c r="E4124" s="25">
        <v>10000000</v>
      </c>
      <c r="F4124" s="15">
        <f t="shared" si="64"/>
        <v>10000000</v>
      </c>
    </row>
    <row r="4125" spans="1:6" x14ac:dyDescent="0.2">
      <c r="A4125" s="91">
        <v>45663</v>
      </c>
      <c r="B4125" s="43">
        <v>784502</v>
      </c>
      <c r="C4125" s="20" t="s">
        <v>217</v>
      </c>
      <c r="D4125" s="25"/>
      <c r="E4125" s="25">
        <v>30000000</v>
      </c>
      <c r="F4125" s="15">
        <f t="shared" si="64"/>
        <v>30000000</v>
      </c>
    </row>
    <row r="4126" spans="1:6" x14ac:dyDescent="0.2">
      <c r="A4126" s="91">
        <v>45673</v>
      </c>
      <c r="B4126" s="43">
        <v>862606</v>
      </c>
      <c r="C4126" s="20" t="s">
        <v>217</v>
      </c>
      <c r="D4126" s="25"/>
      <c r="E4126" s="25">
        <v>40000000</v>
      </c>
      <c r="F4126" s="15">
        <f t="shared" si="64"/>
        <v>40000000</v>
      </c>
    </row>
    <row r="4127" spans="1:6" x14ac:dyDescent="0.2">
      <c r="A4127" s="91">
        <v>45677</v>
      </c>
      <c r="B4127" s="43">
        <v>881264</v>
      </c>
      <c r="C4127" s="20" t="s">
        <v>217</v>
      </c>
      <c r="D4127" s="25"/>
      <c r="E4127" s="25">
        <v>100000000</v>
      </c>
      <c r="F4127" s="15">
        <f t="shared" si="64"/>
        <v>100000000</v>
      </c>
    </row>
    <row r="4128" spans="1:6" x14ac:dyDescent="0.2">
      <c r="A4128" s="91">
        <v>45681</v>
      </c>
      <c r="B4128" s="43">
        <v>918451</v>
      </c>
      <c r="C4128" s="20" t="s">
        <v>217</v>
      </c>
      <c r="D4128" s="25"/>
      <c r="E4128" s="25">
        <v>100000000</v>
      </c>
      <c r="F4128" s="15">
        <f t="shared" si="64"/>
        <v>100000000</v>
      </c>
    </row>
    <row r="4129" spans="1:6" x14ac:dyDescent="0.2">
      <c r="A4129" s="91">
        <v>45705</v>
      </c>
      <c r="B4129" s="43">
        <v>78107</v>
      </c>
      <c r="C4129" s="20" t="s">
        <v>217</v>
      </c>
      <c r="D4129" s="25"/>
      <c r="E4129" s="25">
        <v>100000000</v>
      </c>
      <c r="F4129" s="15">
        <f t="shared" si="64"/>
        <v>100000000</v>
      </c>
    </row>
    <row r="4130" spans="1:6" x14ac:dyDescent="0.2">
      <c r="A4130" s="91">
        <v>45712</v>
      </c>
      <c r="B4130" s="43">
        <v>121698</v>
      </c>
      <c r="C4130" s="20" t="s">
        <v>217</v>
      </c>
      <c r="D4130" s="25"/>
      <c r="E4130" s="25">
        <v>40000000</v>
      </c>
      <c r="F4130" s="15">
        <f t="shared" si="64"/>
        <v>40000000</v>
      </c>
    </row>
    <row r="4131" spans="1:6" x14ac:dyDescent="0.2">
      <c r="A4131" s="91">
        <v>45715</v>
      </c>
      <c r="B4131" s="43">
        <v>137073</v>
      </c>
      <c r="C4131" s="20" t="s">
        <v>217</v>
      </c>
      <c r="D4131" s="25"/>
      <c r="E4131" s="25">
        <v>145000000</v>
      </c>
      <c r="F4131" s="15">
        <f t="shared" si="64"/>
        <v>145000000</v>
      </c>
    </row>
    <row r="4132" spans="1:6" x14ac:dyDescent="0.2">
      <c r="A4132" s="91">
        <v>45734</v>
      </c>
      <c r="B4132" s="43">
        <v>289723</v>
      </c>
      <c r="C4132" s="20" t="s">
        <v>217</v>
      </c>
      <c r="D4132" s="25"/>
      <c r="E4132" s="25">
        <v>40000000</v>
      </c>
      <c r="F4132" s="15">
        <f t="shared" si="64"/>
        <v>40000000</v>
      </c>
    </row>
    <row r="4133" spans="1:6" x14ac:dyDescent="0.2">
      <c r="A4133" s="91">
        <v>45741</v>
      </c>
      <c r="B4133" s="43">
        <v>334856</v>
      </c>
      <c r="C4133" s="20" t="s">
        <v>217</v>
      </c>
      <c r="D4133" s="25"/>
      <c r="E4133" s="25">
        <v>50000000</v>
      </c>
      <c r="F4133" s="15">
        <f t="shared" si="64"/>
        <v>50000000</v>
      </c>
    </row>
    <row r="4134" spans="1:6" x14ac:dyDescent="0.2">
      <c r="A4134" s="91">
        <v>45742</v>
      </c>
      <c r="B4134" s="43">
        <v>341452</v>
      </c>
      <c r="C4134" s="20" t="s">
        <v>217</v>
      </c>
      <c r="D4134" s="25"/>
      <c r="E4134" s="25">
        <v>70000000</v>
      </c>
      <c r="F4134" s="15">
        <f t="shared" si="64"/>
        <v>70000000</v>
      </c>
    </row>
    <row r="4135" spans="1:6" x14ac:dyDescent="0.2">
      <c r="A4135" s="91">
        <v>45744</v>
      </c>
      <c r="B4135" s="43">
        <v>351984</v>
      </c>
      <c r="C4135" s="20" t="s">
        <v>217</v>
      </c>
      <c r="D4135" s="25"/>
      <c r="E4135" s="25">
        <v>150000000</v>
      </c>
      <c r="F4135" s="15">
        <f t="shared" si="64"/>
        <v>150000000</v>
      </c>
    </row>
    <row r="4136" spans="1:6" x14ac:dyDescent="0.2">
      <c r="A4136" s="91">
        <v>45762</v>
      </c>
      <c r="B4136" s="43">
        <v>14918</v>
      </c>
      <c r="C4136" s="20" t="s">
        <v>217</v>
      </c>
      <c r="D4136" s="25"/>
      <c r="E4136" s="25">
        <v>40000000</v>
      </c>
      <c r="F4136" s="15">
        <f t="shared" si="64"/>
        <v>40000000</v>
      </c>
    </row>
    <row r="4137" spans="1:6" x14ac:dyDescent="0.2">
      <c r="A4137" s="91">
        <v>45764</v>
      </c>
      <c r="B4137" s="43">
        <v>85683</v>
      </c>
      <c r="C4137" s="20" t="s">
        <v>217</v>
      </c>
      <c r="D4137" s="25"/>
      <c r="E4137" s="25">
        <v>40000000</v>
      </c>
      <c r="F4137" s="15">
        <f t="shared" si="64"/>
        <v>40000000</v>
      </c>
    </row>
    <row r="4138" spans="1:6" x14ac:dyDescent="0.2">
      <c r="A4138" s="91">
        <v>45786</v>
      </c>
      <c r="B4138" s="43">
        <v>819411</v>
      </c>
      <c r="C4138" s="20" t="s">
        <v>217</v>
      </c>
      <c r="D4138" s="25"/>
      <c r="E4138" s="25">
        <v>6000000</v>
      </c>
      <c r="F4138" s="15">
        <f t="shared" si="64"/>
        <v>6000000</v>
      </c>
    </row>
    <row r="4139" spans="1:6" x14ac:dyDescent="0.2">
      <c r="A4139" s="91">
        <v>45793</v>
      </c>
      <c r="B4139" s="43">
        <v>46282</v>
      </c>
      <c r="C4139" s="20" t="s">
        <v>217</v>
      </c>
      <c r="D4139" s="25"/>
      <c r="E4139" s="25">
        <v>50000000</v>
      </c>
      <c r="F4139" s="15">
        <f t="shared" si="64"/>
        <v>50000000</v>
      </c>
    </row>
    <row r="4140" spans="1:6" x14ac:dyDescent="0.2">
      <c r="A4140" s="91">
        <v>45796</v>
      </c>
      <c r="B4140" s="43">
        <v>102225</v>
      </c>
      <c r="C4140" s="20" t="s">
        <v>217</v>
      </c>
      <c r="D4140" s="25"/>
      <c r="E4140" s="25">
        <v>200000000</v>
      </c>
      <c r="F4140" s="15">
        <f t="shared" si="64"/>
        <v>200000000</v>
      </c>
    </row>
    <row r="4141" spans="1:6" x14ac:dyDescent="0.2">
      <c r="A4141" s="91">
        <v>45798</v>
      </c>
      <c r="B4141" s="43">
        <v>170732</v>
      </c>
      <c r="C4141" s="20" t="s">
        <v>217</v>
      </c>
      <c r="D4141" s="25"/>
      <c r="E4141" s="25">
        <v>85000000</v>
      </c>
      <c r="F4141" s="15">
        <f t="shared" si="64"/>
        <v>85000000</v>
      </c>
    </row>
    <row r="4142" spans="1:6" x14ac:dyDescent="0.2">
      <c r="A4142" s="91">
        <v>45804</v>
      </c>
      <c r="B4142" s="43">
        <v>343653</v>
      </c>
      <c r="C4142" s="20" t="s">
        <v>217</v>
      </c>
      <c r="D4142" s="25"/>
      <c r="E4142" s="25">
        <v>3000000</v>
      </c>
      <c r="F4142" s="15">
        <f t="shared" si="64"/>
        <v>3000000</v>
      </c>
    </row>
    <row r="4143" spans="1:6" x14ac:dyDescent="0.2">
      <c r="A4143" s="91">
        <v>45821</v>
      </c>
      <c r="B4143" s="43">
        <v>17894</v>
      </c>
      <c r="C4143" s="20" t="s">
        <v>217</v>
      </c>
      <c r="D4143" s="25"/>
      <c r="E4143" s="25">
        <v>50000000</v>
      </c>
      <c r="F4143" s="15">
        <f t="shared" si="64"/>
        <v>50000000</v>
      </c>
    </row>
    <row r="4144" spans="1:6" x14ac:dyDescent="0.2">
      <c r="A4144" s="91">
        <v>45825</v>
      </c>
      <c r="B4144" s="43">
        <v>52251</v>
      </c>
      <c r="C4144" s="20" t="s">
        <v>217</v>
      </c>
      <c r="D4144" s="25"/>
      <c r="E4144" s="25">
        <v>150000000</v>
      </c>
      <c r="F4144" s="15">
        <f t="shared" si="64"/>
        <v>150000000</v>
      </c>
    </row>
    <row r="4145" spans="1:6" x14ac:dyDescent="0.2">
      <c r="A4145" s="91">
        <v>45855</v>
      </c>
      <c r="B4145" s="46">
        <v>64397</v>
      </c>
      <c r="C4145" s="56" t="s">
        <v>217</v>
      </c>
      <c r="D4145" s="52"/>
      <c r="E4145" s="88">
        <v>200000000</v>
      </c>
      <c r="F4145" s="15">
        <f t="shared" si="64"/>
        <v>200000000</v>
      </c>
    </row>
    <row r="4146" spans="1:6" x14ac:dyDescent="0.2">
      <c r="A4146" s="91">
        <v>45859</v>
      </c>
      <c r="B4146" s="44">
        <v>224978</v>
      </c>
      <c r="C4146" s="57" t="s">
        <v>217</v>
      </c>
      <c r="D4146" s="53"/>
      <c r="E4146" s="29">
        <v>135000000</v>
      </c>
      <c r="F4146" s="15">
        <f t="shared" si="64"/>
        <v>135000000</v>
      </c>
    </row>
    <row r="4147" spans="1:6" x14ac:dyDescent="0.2">
      <c r="A4147" s="91">
        <v>45866</v>
      </c>
      <c r="B4147" s="43">
        <v>497224</v>
      </c>
      <c r="C4147" s="20" t="s">
        <v>217</v>
      </c>
      <c r="D4147" s="25"/>
      <c r="E4147" s="25">
        <v>176000000</v>
      </c>
      <c r="F4147" s="15">
        <f t="shared" si="64"/>
        <v>176000000</v>
      </c>
    </row>
    <row r="4148" spans="1:6" x14ac:dyDescent="0.2">
      <c r="A4148" s="91">
        <v>45867</v>
      </c>
      <c r="B4148" s="43">
        <v>565345</v>
      </c>
      <c r="C4148" s="20" t="s">
        <v>217</v>
      </c>
      <c r="D4148" s="25"/>
      <c r="E4148" s="25">
        <v>175000000</v>
      </c>
      <c r="F4148" s="15">
        <f t="shared" si="64"/>
        <v>175000000</v>
      </c>
    </row>
    <row r="4149" spans="1:6" x14ac:dyDescent="0.2">
      <c r="A4149" s="91">
        <v>45888</v>
      </c>
      <c r="B4149" s="43">
        <v>535379</v>
      </c>
      <c r="C4149" s="20" t="s">
        <v>217</v>
      </c>
      <c r="D4149" s="25"/>
      <c r="E4149" s="25">
        <v>10000000</v>
      </c>
      <c r="F4149" s="15">
        <f t="shared" si="64"/>
        <v>10000000</v>
      </c>
    </row>
    <row r="4150" spans="1:6" x14ac:dyDescent="0.2">
      <c r="A4150" s="91">
        <v>45888</v>
      </c>
      <c r="B4150" s="43">
        <v>552909</v>
      </c>
      <c r="C4150" s="20" t="s">
        <v>217</v>
      </c>
      <c r="D4150" s="25"/>
      <c r="E4150" s="25">
        <v>30000000</v>
      </c>
      <c r="F4150" s="15">
        <f t="shared" si="64"/>
        <v>30000000</v>
      </c>
    </row>
    <row r="4151" spans="1:6" x14ac:dyDescent="0.2">
      <c r="A4151" s="91">
        <v>45889</v>
      </c>
      <c r="B4151" s="43">
        <v>618746</v>
      </c>
      <c r="C4151" s="20" t="s">
        <v>217</v>
      </c>
      <c r="D4151" s="25"/>
      <c r="E4151" s="25">
        <v>50000000</v>
      </c>
      <c r="F4151" s="15">
        <f t="shared" si="64"/>
        <v>50000000</v>
      </c>
    </row>
    <row r="4152" spans="1:6" x14ac:dyDescent="0.2">
      <c r="A4152" s="91">
        <v>45889</v>
      </c>
      <c r="B4152" s="43">
        <v>619191</v>
      </c>
      <c r="C4152" s="20" t="s">
        <v>217</v>
      </c>
      <c r="D4152" s="25"/>
      <c r="E4152" s="25">
        <v>100000000</v>
      </c>
      <c r="F4152" s="15">
        <f t="shared" si="64"/>
        <v>100000000</v>
      </c>
    </row>
    <row r="4153" spans="1:6" x14ac:dyDescent="0.2">
      <c r="A4153" s="91">
        <v>45890</v>
      </c>
      <c r="B4153" s="43">
        <v>591334</v>
      </c>
      <c r="C4153" s="20" t="s">
        <v>217</v>
      </c>
      <c r="D4153" s="25"/>
      <c r="E4153" s="25">
        <v>150000000</v>
      </c>
      <c r="F4153" s="15">
        <f t="shared" si="64"/>
        <v>150000000</v>
      </c>
    </row>
    <row r="4154" spans="1:6" x14ac:dyDescent="0.2">
      <c r="A4154" s="91">
        <v>45894</v>
      </c>
      <c r="B4154" s="43">
        <v>745042</v>
      </c>
      <c r="C4154" s="20" t="s">
        <v>217</v>
      </c>
      <c r="D4154" s="25"/>
      <c r="E4154" s="25">
        <v>56000000</v>
      </c>
      <c r="F4154" s="15">
        <f t="shared" si="64"/>
        <v>56000000</v>
      </c>
    </row>
    <row r="4155" spans="1:6" x14ac:dyDescent="0.2">
      <c r="A4155" s="91">
        <v>45896</v>
      </c>
      <c r="B4155" s="43">
        <v>871007</v>
      </c>
      <c r="C4155" s="20" t="s">
        <v>217</v>
      </c>
      <c r="D4155" s="25"/>
      <c r="E4155" s="25">
        <v>60000000</v>
      </c>
      <c r="F4155" s="15">
        <f t="shared" si="64"/>
        <v>60000000</v>
      </c>
    </row>
    <row r="4156" spans="1:6" x14ac:dyDescent="0.2">
      <c r="A4156" s="91">
        <v>45723</v>
      </c>
      <c r="B4156" s="43">
        <v>201578</v>
      </c>
      <c r="C4156" s="20" t="s">
        <v>340</v>
      </c>
      <c r="D4156" s="25"/>
      <c r="E4156" s="25">
        <v>15000000</v>
      </c>
      <c r="F4156" s="15">
        <f t="shared" si="64"/>
        <v>15000000</v>
      </c>
    </row>
    <row r="4157" spans="1:6" x14ac:dyDescent="0.2">
      <c r="A4157" s="91">
        <v>45663</v>
      </c>
      <c r="B4157" s="43">
        <v>791783</v>
      </c>
      <c r="C4157" s="20" t="s">
        <v>234</v>
      </c>
      <c r="D4157" s="25"/>
      <c r="E4157" s="25">
        <v>10000000</v>
      </c>
      <c r="F4157" s="15">
        <f t="shared" si="64"/>
        <v>10000000</v>
      </c>
    </row>
    <row r="4158" spans="1:6" x14ac:dyDescent="0.2">
      <c r="A4158" s="91">
        <v>45692</v>
      </c>
      <c r="B4158" s="43">
        <v>980559</v>
      </c>
      <c r="C4158" s="20" t="s">
        <v>234</v>
      </c>
      <c r="D4158" s="25"/>
      <c r="E4158" s="25">
        <v>150000000</v>
      </c>
      <c r="F4158" s="15">
        <f t="shared" si="64"/>
        <v>150000000</v>
      </c>
    </row>
    <row r="4159" spans="1:6" x14ac:dyDescent="0.2">
      <c r="A4159" s="91">
        <v>45750</v>
      </c>
      <c r="B4159" s="43">
        <v>512651</v>
      </c>
      <c r="C4159" s="20" t="s">
        <v>234</v>
      </c>
      <c r="D4159" s="25"/>
      <c r="E4159" s="25">
        <v>100000000</v>
      </c>
      <c r="F4159" s="15">
        <f t="shared" si="64"/>
        <v>100000000</v>
      </c>
    </row>
    <row r="4160" spans="1:6" x14ac:dyDescent="0.2">
      <c r="A4160" s="91">
        <v>45840</v>
      </c>
      <c r="B4160" s="43">
        <v>558345</v>
      </c>
      <c r="C4160" s="20" t="s">
        <v>234</v>
      </c>
      <c r="D4160" s="25"/>
      <c r="E4160" s="25">
        <v>49000000</v>
      </c>
      <c r="F4160" s="15">
        <f t="shared" si="64"/>
        <v>49000000</v>
      </c>
    </row>
    <row r="4161" spans="1:8" x14ac:dyDescent="0.2">
      <c r="A4161" s="91">
        <v>45840</v>
      </c>
      <c r="B4161" s="43">
        <v>5748464</v>
      </c>
      <c r="C4161" s="20" t="s">
        <v>513</v>
      </c>
      <c r="D4161" s="19"/>
      <c r="E4161" s="18">
        <v>17000</v>
      </c>
      <c r="F4161" s="15">
        <f t="shared" si="64"/>
        <v>17000</v>
      </c>
    </row>
    <row r="4162" spans="1:8" x14ac:dyDescent="0.2">
      <c r="A4162" s="91">
        <v>45893</v>
      </c>
      <c r="B4162" s="43">
        <v>79609631</v>
      </c>
      <c r="C4162" s="20" t="s">
        <v>588</v>
      </c>
      <c r="D4162" s="19"/>
      <c r="E4162" s="18">
        <v>22100</v>
      </c>
      <c r="F4162" s="15">
        <f t="shared" si="64"/>
        <v>22100</v>
      </c>
    </row>
    <row r="4163" spans="1:8" x14ac:dyDescent="0.2">
      <c r="A4163" s="91">
        <v>45806</v>
      </c>
      <c r="B4163" s="43">
        <v>37154</v>
      </c>
      <c r="C4163" s="20" t="s">
        <v>461</v>
      </c>
      <c r="D4163" s="19"/>
      <c r="E4163" s="18">
        <v>26200</v>
      </c>
      <c r="F4163" s="15">
        <f t="shared" ref="F4163:F4226" si="65">+E4163-D4163</f>
        <v>26200</v>
      </c>
    </row>
    <row r="4164" spans="1:8" x14ac:dyDescent="0.2">
      <c r="A4164" s="91">
        <v>45537</v>
      </c>
      <c r="B4164" s="16">
        <v>24307</v>
      </c>
      <c r="C4164" s="20" t="s">
        <v>10</v>
      </c>
      <c r="D4164" s="25"/>
      <c r="E4164" s="25">
        <v>5000000</v>
      </c>
      <c r="F4164" s="15">
        <f t="shared" si="65"/>
        <v>5000000</v>
      </c>
      <c r="H4164" s="10"/>
    </row>
    <row r="4165" spans="1:8" x14ac:dyDescent="0.2">
      <c r="A4165" s="91">
        <v>45552</v>
      </c>
      <c r="B4165" s="16">
        <v>140338</v>
      </c>
      <c r="C4165" s="20" t="s">
        <v>10</v>
      </c>
      <c r="D4165" s="25"/>
      <c r="E4165" s="25">
        <v>20000000</v>
      </c>
      <c r="F4165" s="15">
        <f t="shared" si="65"/>
        <v>20000000</v>
      </c>
      <c r="H4165" s="10"/>
    </row>
    <row r="4166" spans="1:8" x14ac:dyDescent="0.2">
      <c r="A4166" s="91">
        <v>45552</v>
      </c>
      <c r="B4166" s="16">
        <v>154892</v>
      </c>
      <c r="C4166" s="20" t="s">
        <v>10</v>
      </c>
      <c r="D4166" s="25"/>
      <c r="E4166" s="25">
        <v>20000000</v>
      </c>
      <c r="F4166" s="15">
        <f t="shared" si="65"/>
        <v>20000000</v>
      </c>
      <c r="H4166" s="10"/>
    </row>
    <row r="4167" spans="1:8" x14ac:dyDescent="0.2">
      <c r="A4167" s="91">
        <v>45552</v>
      </c>
      <c r="B4167" s="16">
        <v>165164</v>
      </c>
      <c r="C4167" s="20" t="s">
        <v>10</v>
      </c>
      <c r="D4167" s="25"/>
      <c r="E4167" s="25">
        <v>20000000</v>
      </c>
      <c r="F4167" s="15">
        <f t="shared" si="65"/>
        <v>20000000</v>
      </c>
      <c r="H4167" s="10"/>
    </row>
    <row r="4168" spans="1:8" x14ac:dyDescent="0.2">
      <c r="A4168" s="91">
        <v>45552</v>
      </c>
      <c r="B4168" s="16">
        <v>223572</v>
      </c>
      <c r="C4168" s="20" t="s">
        <v>10</v>
      </c>
      <c r="D4168" s="25"/>
      <c r="E4168" s="25">
        <v>20000000</v>
      </c>
      <c r="F4168" s="15">
        <f t="shared" si="65"/>
        <v>20000000</v>
      </c>
      <c r="H4168" s="10"/>
    </row>
    <row r="4169" spans="1:8" x14ac:dyDescent="0.2">
      <c r="A4169" s="91">
        <v>45558</v>
      </c>
      <c r="B4169" s="16">
        <v>221906</v>
      </c>
      <c r="C4169" s="20" t="s">
        <v>10</v>
      </c>
      <c r="D4169" s="25"/>
      <c r="E4169" s="25">
        <v>20000000</v>
      </c>
      <c r="F4169" s="15">
        <f t="shared" si="65"/>
        <v>20000000</v>
      </c>
      <c r="H4169" s="10"/>
    </row>
    <row r="4170" spans="1:8" x14ac:dyDescent="0.2">
      <c r="A4170" s="91">
        <v>45558</v>
      </c>
      <c r="B4170" s="16">
        <v>202388</v>
      </c>
      <c r="C4170" s="20" t="s">
        <v>10</v>
      </c>
      <c r="D4170" s="25"/>
      <c r="E4170" s="25">
        <v>20000000</v>
      </c>
      <c r="F4170" s="15">
        <f t="shared" si="65"/>
        <v>20000000</v>
      </c>
      <c r="H4170" s="10"/>
    </row>
    <row r="4171" spans="1:8" x14ac:dyDescent="0.2">
      <c r="A4171" s="91">
        <v>45558</v>
      </c>
      <c r="B4171" s="67">
        <v>225347</v>
      </c>
      <c r="C4171" s="56" t="s">
        <v>10</v>
      </c>
      <c r="D4171" s="52"/>
      <c r="E4171" s="88">
        <v>20000000</v>
      </c>
      <c r="F4171" s="15">
        <f t="shared" si="65"/>
        <v>20000000</v>
      </c>
      <c r="H4171" s="10"/>
    </row>
    <row r="4172" spans="1:8" x14ac:dyDescent="0.2">
      <c r="A4172" s="91">
        <v>45558</v>
      </c>
      <c r="B4172" s="21">
        <v>225364</v>
      </c>
      <c r="C4172" s="57" t="s">
        <v>10</v>
      </c>
      <c r="D4172" s="53"/>
      <c r="E4172" s="29">
        <v>20000000</v>
      </c>
      <c r="F4172" s="15">
        <f t="shared" si="65"/>
        <v>20000000</v>
      </c>
      <c r="H4172" s="10"/>
    </row>
    <row r="4173" spans="1:8" x14ac:dyDescent="0.2">
      <c r="A4173" s="91">
        <v>45558</v>
      </c>
      <c r="B4173" s="16">
        <v>222012</v>
      </c>
      <c r="C4173" s="20" t="s">
        <v>10</v>
      </c>
      <c r="D4173" s="25"/>
      <c r="E4173" s="25">
        <v>20000000</v>
      </c>
      <c r="F4173" s="15">
        <f t="shared" si="65"/>
        <v>20000000</v>
      </c>
      <c r="H4173" s="10"/>
    </row>
    <row r="4174" spans="1:8" x14ac:dyDescent="0.2">
      <c r="A4174" s="91">
        <v>45560</v>
      </c>
      <c r="B4174" s="16">
        <v>221655</v>
      </c>
      <c r="C4174" s="20" t="s">
        <v>10</v>
      </c>
      <c r="D4174" s="25"/>
      <c r="E4174" s="25">
        <v>20000000</v>
      </c>
      <c r="F4174" s="15">
        <f t="shared" si="65"/>
        <v>20000000</v>
      </c>
      <c r="H4174" s="10"/>
    </row>
    <row r="4175" spans="1:8" x14ac:dyDescent="0.2">
      <c r="A4175" s="91">
        <v>45560</v>
      </c>
      <c r="B4175" s="16">
        <v>310392</v>
      </c>
      <c r="C4175" s="20" t="s">
        <v>10</v>
      </c>
      <c r="D4175" s="25"/>
      <c r="E4175" s="25">
        <v>20000000</v>
      </c>
      <c r="F4175" s="15">
        <f t="shared" si="65"/>
        <v>20000000</v>
      </c>
      <c r="H4175" s="10"/>
    </row>
    <row r="4176" spans="1:8" x14ac:dyDescent="0.2">
      <c r="A4176" s="91">
        <v>45560</v>
      </c>
      <c r="B4176" s="16">
        <v>221684</v>
      </c>
      <c r="C4176" s="20" t="s">
        <v>10</v>
      </c>
      <c r="D4176" s="25"/>
      <c r="E4176" s="25">
        <v>20000000</v>
      </c>
      <c r="F4176" s="15">
        <f t="shared" si="65"/>
        <v>20000000</v>
      </c>
      <c r="H4176" s="10"/>
    </row>
    <row r="4177" spans="1:8" x14ac:dyDescent="0.2">
      <c r="A4177" s="91">
        <v>45562</v>
      </c>
      <c r="B4177" s="16">
        <v>256650</v>
      </c>
      <c r="C4177" s="20" t="s">
        <v>10</v>
      </c>
      <c r="D4177" s="25"/>
      <c r="E4177" s="25">
        <v>20000000</v>
      </c>
      <c r="F4177" s="15">
        <f t="shared" si="65"/>
        <v>20000000</v>
      </c>
      <c r="H4177" s="10"/>
    </row>
    <row r="4178" spans="1:8" x14ac:dyDescent="0.2">
      <c r="A4178" s="91">
        <v>45562</v>
      </c>
      <c r="B4178" s="16">
        <v>276491</v>
      </c>
      <c r="C4178" s="20" t="s">
        <v>10</v>
      </c>
      <c r="D4178" s="25"/>
      <c r="E4178" s="25">
        <v>20000000</v>
      </c>
      <c r="F4178" s="15">
        <f t="shared" si="65"/>
        <v>20000000</v>
      </c>
      <c r="H4178" s="10"/>
    </row>
    <row r="4179" spans="1:8" x14ac:dyDescent="0.2">
      <c r="A4179" s="91">
        <v>45567</v>
      </c>
      <c r="B4179" s="43">
        <v>304850</v>
      </c>
      <c r="C4179" s="20" t="s">
        <v>10</v>
      </c>
      <c r="D4179" s="25"/>
      <c r="E4179" s="25">
        <v>20000000</v>
      </c>
      <c r="F4179" s="15">
        <f t="shared" si="65"/>
        <v>20000000</v>
      </c>
    </row>
    <row r="4180" spans="1:8" x14ac:dyDescent="0.2">
      <c r="A4180" s="91">
        <v>45567</v>
      </c>
      <c r="B4180" s="43">
        <v>324956</v>
      </c>
      <c r="C4180" s="20" t="s">
        <v>10</v>
      </c>
      <c r="D4180" s="25"/>
      <c r="E4180" s="25">
        <v>20000000</v>
      </c>
      <c r="F4180" s="15">
        <f t="shared" si="65"/>
        <v>20000000</v>
      </c>
    </row>
    <row r="4181" spans="1:8" x14ac:dyDescent="0.2">
      <c r="A4181" s="91">
        <v>45567</v>
      </c>
      <c r="B4181" s="43">
        <v>304911</v>
      </c>
      <c r="C4181" s="20" t="s">
        <v>10</v>
      </c>
      <c r="D4181" s="25"/>
      <c r="E4181" s="25">
        <v>20000000</v>
      </c>
      <c r="F4181" s="15">
        <f t="shared" si="65"/>
        <v>20000000</v>
      </c>
    </row>
    <row r="4182" spans="1:8" x14ac:dyDescent="0.2">
      <c r="A4182" s="91">
        <v>45567</v>
      </c>
      <c r="B4182" s="43">
        <v>325007</v>
      </c>
      <c r="C4182" s="20" t="s">
        <v>10</v>
      </c>
      <c r="D4182" s="25"/>
      <c r="E4182" s="25">
        <v>10000000</v>
      </c>
      <c r="F4182" s="15">
        <f t="shared" si="65"/>
        <v>10000000</v>
      </c>
    </row>
    <row r="4183" spans="1:8" x14ac:dyDescent="0.2">
      <c r="A4183" s="91">
        <v>45581</v>
      </c>
      <c r="B4183" s="43">
        <v>542690</v>
      </c>
      <c r="C4183" s="20" t="s">
        <v>10</v>
      </c>
      <c r="D4183" s="25"/>
      <c r="E4183" s="25">
        <v>20000000</v>
      </c>
      <c r="F4183" s="15">
        <f t="shared" si="65"/>
        <v>20000000</v>
      </c>
    </row>
    <row r="4184" spans="1:8" x14ac:dyDescent="0.2">
      <c r="A4184" s="91">
        <v>45581</v>
      </c>
      <c r="B4184" s="43">
        <v>475306</v>
      </c>
      <c r="C4184" s="20" t="s">
        <v>10</v>
      </c>
      <c r="D4184" s="25"/>
      <c r="E4184" s="25">
        <v>20000000</v>
      </c>
      <c r="F4184" s="15">
        <f t="shared" si="65"/>
        <v>20000000</v>
      </c>
    </row>
    <row r="4185" spans="1:8" x14ac:dyDescent="0.2">
      <c r="A4185" s="91">
        <v>45581</v>
      </c>
      <c r="B4185" s="43">
        <v>456710</v>
      </c>
      <c r="C4185" s="20" t="s">
        <v>10</v>
      </c>
      <c r="D4185" s="25"/>
      <c r="E4185" s="25">
        <v>20000000</v>
      </c>
      <c r="F4185" s="15">
        <f t="shared" si="65"/>
        <v>20000000</v>
      </c>
    </row>
    <row r="4186" spans="1:8" x14ac:dyDescent="0.2">
      <c r="A4186" s="91">
        <v>45581</v>
      </c>
      <c r="B4186" s="43">
        <v>456734</v>
      </c>
      <c r="C4186" s="20" t="s">
        <v>10</v>
      </c>
      <c r="D4186" s="25"/>
      <c r="E4186" s="25">
        <v>20000000</v>
      </c>
      <c r="F4186" s="15">
        <f t="shared" si="65"/>
        <v>20000000</v>
      </c>
    </row>
    <row r="4187" spans="1:8" x14ac:dyDescent="0.2">
      <c r="A4187" s="91">
        <v>45593</v>
      </c>
      <c r="B4187" s="43">
        <v>659643</v>
      </c>
      <c r="C4187" s="20" t="s">
        <v>10</v>
      </c>
      <c r="D4187" s="25"/>
      <c r="E4187" s="25">
        <v>20000000</v>
      </c>
      <c r="F4187" s="15">
        <f t="shared" si="65"/>
        <v>20000000</v>
      </c>
    </row>
    <row r="4188" spans="1:8" x14ac:dyDescent="0.2">
      <c r="A4188" s="91">
        <v>45593</v>
      </c>
      <c r="B4188" s="43">
        <v>659787</v>
      </c>
      <c r="C4188" s="20" t="s">
        <v>10</v>
      </c>
      <c r="D4188" s="25"/>
      <c r="E4188" s="25">
        <v>20000000</v>
      </c>
      <c r="F4188" s="15">
        <f t="shared" si="65"/>
        <v>20000000</v>
      </c>
    </row>
    <row r="4189" spans="1:8" x14ac:dyDescent="0.2">
      <c r="A4189" s="91">
        <v>45593</v>
      </c>
      <c r="B4189" s="43">
        <v>659837</v>
      </c>
      <c r="C4189" s="20" t="s">
        <v>10</v>
      </c>
      <c r="D4189" s="25"/>
      <c r="E4189" s="25">
        <v>20000000</v>
      </c>
      <c r="F4189" s="15">
        <f t="shared" si="65"/>
        <v>20000000</v>
      </c>
    </row>
    <row r="4190" spans="1:8" x14ac:dyDescent="0.2">
      <c r="A4190" s="91">
        <v>45593</v>
      </c>
      <c r="B4190" s="43">
        <v>598459</v>
      </c>
      <c r="C4190" s="20" t="s">
        <v>10</v>
      </c>
      <c r="D4190" s="25"/>
      <c r="E4190" s="25">
        <v>20000000</v>
      </c>
      <c r="F4190" s="15">
        <f t="shared" si="65"/>
        <v>20000000</v>
      </c>
    </row>
    <row r="4191" spans="1:8" x14ac:dyDescent="0.2">
      <c r="A4191" s="91">
        <v>45593</v>
      </c>
      <c r="B4191" s="43">
        <v>572515</v>
      </c>
      <c r="C4191" s="20" t="s">
        <v>10</v>
      </c>
      <c r="D4191" s="25"/>
      <c r="E4191" s="25">
        <v>20000000</v>
      </c>
      <c r="F4191" s="15">
        <f t="shared" si="65"/>
        <v>20000000</v>
      </c>
    </row>
    <row r="4192" spans="1:8" x14ac:dyDescent="0.2">
      <c r="A4192" s="91">
        <v>45595</v>
      </c>
      <c r="B4192" s="43">
        <v>678707</v>
      </c>
      <c r="C4192" s="20" t="s">
        <v>10</v>
      </c>
      <c r="D4192" s="25"/>
      <c r="E4192" s="25">
        <v>20000000</v>
      </c>
      <c r="F4192" s="15">
        <f t="shared" si="65"/>
        <v>20000000</v>
      </c>
    </row>
    <row r="4193" spans="1:6" x14ac:dyDescent="0.2">
      <c r="A4193" s="91">
        <v>45595</v>
      </c>
      <c r="B4193" s="43">
        <v>610868</v>
      </c>
      <c r="C4193" s="20" t="s">
        <v>10</v>
      </c>
      <c r="D4193" s="25"/>
      <c r="E4193" s="25">
        <v>20000000</v>
      </c>
      <c r="F4193" s="15">
        <f t="shared" si="65"/>
        <v>20000000</v>
      </c>
    </row>
    <row r="4194" spans="1:6" x14ac:dyDescent="0.2">
      <c r="A4194" s="91">
        <v>45595</v>
      </c>
      <c r="B4194" s="43">
        <v>610884</v>
      </c>
      <c r="C4194" s="20" t="s">
        <v>10</v>
      </c>
      <c r="D4194" s="25"/>
      <c r="E4194" s="25">
        <v>20000000</v>
      </c>
      <c r="F4194" s="15">
        <f t="shared" si="65"/>
        <v>20000000</v>
      </c>
    </row>
    <row r="4195" spans="1:6" x14ac:dyDescent="0.2">
      <c r="A4195" s="91">
        <v>45595</v>
      </c>
      <c r="B4195" s="43">
        <v>678754</v>
      </c>
      <c r="C4195" s="20" t="s">
        <v>10</v>
      </c>
      <c r="D4195" s="25"/>
      <c r="E4195" s="25">
        <v>20000000</v>
      </c>
      <c r="F4195" s="15">
        <f t="shared" si="65"/>
        <v>20000000</v>
      </c>
    </row>
    <row r="4196" spans="1:6" x14ac:dyDescent="0.2">
      <c r="A4196" s="91">
        <v>45595</v>
      </c>
      <c r="B4196" s="43">
        <v>610903</v>
      </c>
      <c r="C4196" s="20" t="s">
        <v>10</v>
      </c>
      <c r="D4196" s="25"/>
      <c r="E4196" s="25">
        <v>20000000</v>
      </c>
      <c r="F4196" s="15">
        <f t="shared" si="65"/>
        <v>20000000</v>
      </c>
    </row>
    <row r="4197" spans="1:6" x14ac:dyDescent="0.2">
      <c r="A4197" s="91">
        <v>45600</v>
      </c>
      <c r="B4197" s="43">
        <v>725887</v>
      </c>
      <c r="C4197" s="20" t="s">
        <v>10</v>
      </c>
      <c r="D4197" s="25"/>
      <c r="E4197" s="25">
        <v>20000000</v>
      </c>
      <c r="F4197" s="15">
        <f t="shared" si="65"/>
        <v>20000000</v>
      </c>
    </row>
    <row r="4198" spans="1:6" x14ac:dyDescent="0.2">
      <c r="A4198" s="91">
        <v>45600</v>
      </c>
      <c r="B4198" s="46">
        <v>725914</v>
      </c>
      <c r="C4198" s="56" t="s">
        <v>10</v>
      </c>
      <c r="D4198" s="52"/>
      <c r="E4198" s="88">
        <v>20000000</v>
      </c>
      <c r="F4198" s="15">
        <f t="shared" si="65"/>
        <v>20000000</v>
      </c>
    </row>
    <row r="4199" spans="1:6" x14ac:dyDescent="0.2">
      <c r="A4199" s="91">
        <v>45600</v>
      </c>
      <c r="B4199" s="44">
        <v>665950</v>
      </c>
      <c r="C4199" s="57" t="s">
        <v>10</v>
      </c>
      <c r="D4199" s="53"/>
      <c r="E4199" s="29">
        <v>20000000</v>
      </c>
      <c r="F4199" s="15">
        <f t="shared" si="65"/>
        <v>20000000</v>
      </c>
    </row>
    <row r="4200" spans="1:6" x14ac:dyDescent="0.2">
      <c r="A4200" s="91">
        <v>45600</v>
      </c>
      <c r="B4200" s="43">
        <v>725962</v>
      </c>
      <c r="C4200" s="20" t="s">
        <v>10</v>
      </c>
      <c r="D4200" s="25"/>
      <c r="E4200" s="25">
        <v>20000000</v>
      </c>
      <c r="F4200" s="15">
        <f t="shared" si="65"/>
        <v>20000000</v>
      </c>
    </row>
    <row r="4201" spans="1:6" x14ac:dyDescent="0.2">
      <c r="A4201" s="91">
        <v>45600</v>
      </c>
      <c r="B4201" s="43">
        <v>725971</v>
      </c>
      <c r="C4201" s="20" t="s">
        <v>10</v>
      </c>
      <c r="D4201" s="25"/>
      <c r="E4201" s="25">
        <v>3000000</v>
      </c>
      <c r="F4201" s="15">
        <f t="shared" si="65"/>
        <v>3000000</v>
      </c>
    </row>
    <row r="4202" spans="1:6" x14ac:dyDescent="0.2">
      <c r="A4202" s="91">
        <v>45611</v>
      </c>
      <c r="B4202" s="43">
        <v>890225</v>
      </c>
      <c r="C4202" s="20" t="s">
        <v>10</v>
      </c>
      <c r="D4202" s="25"/>
      <c r="E4202" s="25">
        <v>20000000</v>
      </c>
      <c r="F4202" s="15">
        <f t="shared" si="65"/>
        <v>20000000</v>
      </c>
    </row>
    <row r="4203" spans="1:6" x14ac:dyDescent="0.2">
      <c r="A4203" s="91">
        <v>45611</v>
      </c>
      <c r="B4203" s="43">
        <v>822819</v>
      </c>
      <c r="C4203" s="20" t="s">
        <v>10</v>
      </c>
      <c r="D4203" s="25"/>
      <c r="E4203" s="25">
        <v>20000000</v>
      </c>
      <c r="F4203" s="15">
        <f t="shared" si="65"/>
        <v>20000000</v>
      </c>
    </row>
    <row r="4204" spans="1:6" x14ac:dyDescent="0.2">
      <c r="A4204" s="91">
        <v>45611</v>
      </c>
      <c r="B4204" s="43">
        <v>799032</v>
      </c>
      <c r="C4204" s="20" t="s">
        <v>10</v>
      </c>
      <c r="D4204" s="25"/>
      <c r="E4204" s="25">
        <v>20000000</v>
      </c>
      <c r="F4204" s="15">
        <f t="shared" si="65"/>
        <v>20000000</v>
      </c>
    </row>
    <row r="4205" spans="1:6" x14ac:dyDescent="0.2">
      <c r="A4205" s="91">
        <v>45611</v>
      </c>
      <c r="B4205" s="43">
        <v>825805</v>
      </c>
      <c r="C4205" s="20" t="s">
        <v>10</v>
      </c>
      <c r="D4205" s="25"/>
      <c r="E4205" s="25">
        <v>20000000</v>
      </c>
      <c r="F4205" s="15">
        <f t="shared" si="65"/>
        <v>20000000</v>
      </c>
    </row>
    <row r="4206" spans="1:6" x14ac:dyDescent="0.2">
      <c r="A4206" s="91">
        <v>45611</v>
      </c>
      <c r="B4206" s="43">
        <v>822845</v>
      </c>
      <c r="C4206" s="20" t="s">
        <v>10</v>
      </c>
      <c r="D4206" s="25"/>
      <c r="E4206" s="25">
        <v>20000000</v>
      </c>
      <c r="F4206" s="15">
        <f t="shared" si="65"/>
        <v>20000000</v>
      </c>
    </row>
    <row r="4207" spans="1:6" x14ac:dyDescent="0.2">
      <c r="A4207" s="91">
        <v>45611</v>
      </c>
      <c r="B4207" s="43">
        <v>825828</v>
      </c>
      <c r="C4207" s="20" t="s">
        <v>10</v>
      </c>
      <c r="D4207" s="25"/>
      <c r="E4207" s="25">
        <v>20000000</v>
      </c>
      <c r="F4207" s="15">
        <f t="shared" si="65"/>
        <v>20000000</v>
      </c>
    </row>
    <row r="4208" spans="1:6" x14ac:dyDescent="0.2">
      <c r="A4208" s="91">
        <v>45622</v>
      </c>
      <c r="B4208" s="43">
        <v>912633</v>
      </c>
      <c r="C4208" s="20" t="s">
        <v>10</v>
      </c>
      <c r="D4208" s="25"/>
      <c r="E4208" s="25">
        <v>20000000</v>
      </c>
      <c r="F4208" s="15">
        <f t="shared" si="65"/>
        <v>20000000</v>
      </c>
    </row>
    <row r="4209" spans="1:6" x14ac:dyDescent="0.2">
      <c r="A4209" s="91">
        <v>45622</v>
      </c>
      <c r="B4209" s="43">
        <v>909958</v>
      </c>
      <c r="C4209" s="20" t="s">
        <v>10</v>
      </c>
      <c r="D4209" s="25"/>
      <c r="E4209" s="25">
        <v>20000000</v>
      </c>
      <c r="F4209" s="15">
        <f t="shared" si="65"/>
        <v>20000000</v>
      </c>
    </row>
    <row r="4210" spans="1:6" x14ac:dyDescent="0.2">
      <c r="A4210" s="91">
        <v>45622</v>
      </c>
      <c r="B4210" s="43">
        <v>977564</v>
      </c>
      <c r="C4210" s="20" t="s">
        <v>10</v>
      </c>
      <c r="D4210" s="25"/>
      <c r="E4210" s="25">
        <v>20000000</v>
      </c>
      <c r="F4210" s="15">
        <f t="shared" si="65"/>
        <v>20000000</v>
      </c>
    </row>
    <row r="4211" spans="1:6" x14ac:dyDescent="0.2">
      <c r="A4211" s="91">
        <v>45622</v>
      </c>
      <c r="B4211" s="43">
        <v>977624</v>
      </c>
      <c r="C4211" s="20" t="s">
        <v>10</v>
      </c>
      <c r="D4211" s="25"/>
      <c r="E4211" s="25">
        <v>20000000</v>
      </c>
      <c r="F4211" s="15">
        <f t="shared" si="65"/>
        <v>20000000</v>
      </c>
    </row>
    <row r="4212" spans="1:6" x14ac:dyDescent="0.2">
      <c r="A4212" s="91">
        <v>45622</v>
      </c>
      <c r="B4212" s="43">
        <v>912668</v>
      </c>
      <c r="C4212" s="20" t="s">
        <v>10</v>
      </c>
      <c r="D4212" s="25"/>
      <c r="E4212" s="25">
        <v>20000000</v>
      </c>
      <c r="F4212" s="15">
        <f t="shared" si="65"/>
        <v>20000000</v>
      </c>
    </row>
    <row r="4213" spans="1:6" x14ac:dyDescent="0.2">
      <c r="A4213" s="91">
        <v>45625</v>
      </c>
      <c r="B4213" s="43">
        <v>17237</v>
      </c>
      <c r="C4213" s="20" t="s">
        <v>10</v>
      </c>
      <c r="D4213" s="25"/>
      <c r="E4213" s="25">
        <v>20000000</v>
      </c>
      <c r="F4213" s="15">
        <f t="shared" si="65"/>
        <v>20000000</v>
      </c>
    </row>
    <row r="4214" spans="1:6" x14ac:dyDescent="0.2">
      <c r="A4214" s="91">
        <v>45625</v>
      </c>
      <c r="B4214" s="43">
        <v>953509</v>
      </c>
      <c r="C4214" s="20" t="s">
        <v>10</v>
      </c>
      <c r="D4214" s="25"/>
      <c r="E4214" s="25">
        <v>20000000</v>
      </c>
      <c r="F4214" s="15">
        <f t="shared" si="65"/>
        <v>20000000</v>
      </c>
    </row>
    <row r="4215" spans="1:6" x14ac:dyDescent="0.2">
      <c r="A4215" s="91">
        <v>45625</v>
      </c>
      <c r="B4215" s="43">
        <v>953520</v>
      </c>
      <c r="C4215" s="20" t="s">
        <v>10</v>
      </c>
      <c r="D4215" s="25"/>
      <c r="E4215" s="25">
        <v>20000000</v>
      </c>
      <c r="F4215" s="15">
        <f t="shared" si="65"/>
        <v>20000000</v>
      </c>
    </row>
    <row r="4216" spans="1:6" x14ac:dyDescent="0.2">
      <c r="A4216" s="91">
        <v>45629</v>
      </c>
      <c r="B4216" s="43">
        <v>975365</v>
      </c>
      <c r="C4216" s="20" t="s">
        <v>10</v>
      </c>
      <c r="D4216" s="25"/>
      <c r="E4216" s="25">
        <v>20000000</v>
      </c>
      <c r="F4216" s="15">
        <f t="shared" si="65"/>
        <v>20000000</v>
      </c>
    </row>
    <row r="4217" spans="1:6" x14ac:dyDescent="0.2">
      <c r="A4217" s="91">
        <v>45629</v>
      </c>
      <c r="B4217" s="43">
        <v>43094</v>
      </c>
      <c r="C4217" s="20" t="s">
        <v>10</v>
      </c>
      <c r="D4217" s="25"/>
      <c r="E4217" s="25">
        <v>20000000</v>
      </c>
      <c r="F4217" s="15">
        <f t="shared" si="65"/>
        <v>20000000</v>
      </c>
    </row>
    <row r="4218" spans="1:6" x14ac:dyDescent="0.2">
      <c r="A4218" s="91">
        <v>45629</v>
      </c>
      <c r="B4218" s="43">
        <v>978685</v>
      </c>
      <c r="C4218" s="20" t="s">
        <v>10</v>
      </c>
      <c r="D4218" s="25"/>
      <c r="E4218" s="25">
        <v>20000000</v>
      </c>
      <c r="F4218" s="15">
        <f t="shared" si="65"/>
        <v>20000000</v>
      </c>
    </row>
    <row r="4219" spans="1:6" x14ac:dyDescent="0.2">
      <c r="A4219" s="91">
        <v>45629</v>
      </c>
      <c r="B4219" s="43">
        <v>43119</v>
      </c>
      <c r="C4219" s="20" t="s">
        <v>10</v>
      </c>
      <c r="D4219" s="25"/>
      <c r="E4219" s="25">
        <v>20000000</v>
      </c>
      <c r="F4219" s="15">
        <f t="shared" si="65"/>
        <v>20000000</v>
      </c>
    </row>
    <row r="4220" spans="1:6" x14ac:dyDescent="0.2">
      <c r="A4220" s="91">
        <v>45629</v>
      </c>
      <c r="B4220" s="43">
        <v>978712</v>
      </c>
      <c r="C4220" s="20" t="s">
        <v>10</v>
      </c>
      <c r="D4220" s="25"/>
      <c r="E4220" s="25">
        <v>20000000</v>
      </c>
      <c r="F4220" s="15">
        <f t="shared" si="65"/>
        <v>20000000</v>
      </c>
    </row>
    <row r="4221" spans="1:6" x14ac:dyDescent="0.2">
      <c r="A4221" s="91">
        <v>45639</v>
      </c>
      <c r="B4221" s="46">
        <v>88317</v>
      </c>
      <c r="C4221" s="56" t="s">
        <v>10</v>
      </c>
      <c r="D4221" s="52"/>
      <c r="E4221" s="88">
        <v>20000000</v>
      </c>
      <c r="F4221" s="15">
        <f t="shared" si="65"/>
        <v>20000000</v>
      </c>
    </row>
    <row r="4222" spans="1:6" x14ac:dyDescent="0.2">
      <c r="A4222" s="91">
        <v>45639</v>
      </c>
      <c r="B4222" s="44">
        <v>112087</v>
      </c>
      <c r="C4222" s="57" t="s">
        <v>10</v>
      </c>
      <c r="D4222" s="53"/>
      <c r="E4222" s="29">
        <v>20000000</v>
      </c>
      <c r="F4222" s="15">
        <f t="shared" si="65"/>
        <v>20000000</v>
      </c>
    </row>
    <row r="4223" spans="1:6" x14ac:dyDescent="0.2">
      <c r="A4223" s="91">
        <v>45639</v>
      </c>
      <c r="B4223" s="43">
        <v>88381</v>
      </c>
      <c r="C4223" s="20" t="s">
        <v>10</v>
      </c>
      <c r="D4223" s="25"/>
      <c r="E4223" s="25">
        <v>20000000</v>
      </c>
      <c r="F4223" s="15">
        <f t="shared" si="65"/>
        <v>20000000</v>
      </c>
    </row>
    <row r="4224" spans="1:6" x14ac:dyDescent="0.2">
      <c r="A4224" s="91">
        <v>45639</v>
      </c>
      <c r="B4224" s="43">
        <v>117356</v>
      </c>
      <c r="C4224" s="20" t="s">
        <v>10</v>
      </c>
      <c r="D4224" s="25"/>
      <c r="E4224" s="25">
        <v>20000000</v>
      </c>
      <c r="F4224" s="15">
        <f t="shared" si="65"/>
        <v>20000000</v>
      </c>
    </row>
    <row r="4225" spans="1:6" x14ac:dyDescent="0.2">
      <c r="A4225" s="91">
        <v>45817</v>
      </c>
      <c r="B4225" s="43">
        <v>93132053</v>
      </c>
      <c r="C4225" s="20" t="s">
        <v>483</v>
      </c>
      <c r="D4225" s="19"/>
      <c r="E4225" s="18">
        <v>16900</v>
      </c>
      <c r="F4225" s="15">
        <f t="shared" si="65"/>
        <v>16900</v>
      </c>
    </row>
    <row r="4226" spans="1:6" x14ac:dyDescent="0.2">
      <c r="A4226" s="91">
        <v>45675</v>
      </c>
      <c r="B4226" s="43">
        <v>56561</v>
      </c>
      <c r="C4226" s="20" t="s">
        <v>258</v>
      </c>
      <c r="D4226" s="19"/>
      <c r="E4226" s="18">
        <v>15000</v>
      </c>
      <c r="F4226" s="15">
        <f t="shared" si="65"/>
        <v>15000</v>
      </c>
    </row>
    <row r="4227" spans="1:6" x14ac:dyDescent="0.2">
      <c r="A4227" s="91">
        <v>45772</v>
      </c>
      <c r="B4227" s="43">
        <v>6852</v>
      </c>
      <c r="C4227" s="20" t="s">
        <v>410</v>
      </c>
      <c r="D4227" s="25"/>
      <c r="E4227" s="25">
        <v>60000000</v>
      </c>
      <c r="F4227" s="15">
        <f t="shared" ref="F4227:F4232" si="66">+E4227-D4227</f>
        <v>60000000</v>
      </c>
    </row>
    <row r="4228" spans="1:6" x14ac:dyDescent="0.2">
      <c r="A4228" s="91">
        <v>45772</v>
      </c>
      <c r="B4228" s="43">
        <v>6853</v>
      </c>
      <c r="C4228" s="20" t="s">
        <v>410</v>
      </c>
      <c r="D4228" s="25"/>
      <c r="E4228" s="25">
        <v>60000000</v>
      </c>
      <c r="F4228" s="15">
        <f t="shared" si="66"/>
        <v>60000000</v>
      </c>
    </row>
    <row r="4229" spans="1:6" x14ac:dyDescent="0.2">
      <c r="A4229" s="91">
        <v>45776</v>
      </c>
      <c r="B4229" s="43">
        <v>13684</v>
      </c>
      <c r="C4229" s="20" t="s">
        <v>416</v>
      </c>
      <c r="D4229" s="25"/>
      <c r="E4229" s="25">
        <v>50000000</v>
      </c>
      <c r="F4229" s="15">
        <f t="shared" si="66"/>
        <v>50000000</v>
      </c>
    </row>
    <row r="4230" spans="1:6" x14ac:dyDescent="0.2">
      <c r="A4230" s="91">
        <v>45776</v>
      </c>
      <c r="B4230" s="43">
        <v>13685</v>
      </c>
      <c r="C4230" s="20" t="s">
        <v>416</v>
      </c>
      <c r="D4230" s="25"/>
      <c r="E4230" s="25">
        <v>50000000</v>
      </c>
      <c r="F4230" s="15">
        <f t="shared" si="66"/>
        <v>50000000</v>
      </c>
    </row>
    <row r="4231" spans="1:6" x14ac:dyDescent="0.2">
      <c r="A4231" s="91">
        <v>45721</v>
      </c>
      <c r="B4231" s="45"/>
      <c r="C4231" s="17" t="s">
        <v>331</v>
      </c>
      <c r="D4231" s="18">
        <v>568.25</v>
      </c>
      <c r="E4231" s="19"/>
      <c r="F4231" s="15">
        <f t="shared" si="66"/>
        <v>-568.25</v>
      </c>
    </row>
    <row r="4232" spans="1:6" x14ac:dyDescent="0.2">
      <c r="A4232" s="91">
        <v>45722</v>
      </c>
      <c r="B4232" s="45"/>
      <c r="C4232" s="17" t="s">
        <v>331</v>
      </c>
      <c r="D4232" s="18">
        <v>1152.5</v>
      </c>
      <c r="E4232" s="19"/>
      <c r="F4232" s="15">
        <f t="shared" si="66"/>
        <v>-1152.5</v>
      </c>
    </row>
    <row r="4233" spans="1:6" x14ac:dyDescent="0.2">
      <c r="A4233" s="95"/>
      <c r="B4233" s="78"/>
      <c r="C4233" s="85"/>
      <c r="D4233" s="85"/>
      <c r="E4233" s="85"/>
      <c r="F4233" s="37"/>
    </row>
    <row r="4234" spans="1:6" x14ac:dyDescent="0.2">
      <c r="A4234" s="95"/>
      <c r="B4234" s="68"/>
      <c r="C4234" s="20"/>
      <c r="D4234" s="20"/>
      <c r="E4234" s="20"/>
    </row>
    <row r="4235" spans="1:6" x14ac:dyDescent="0.2">
      <c r="A4235" s="95"/>
      <c r="B4235" s="68"/>
      <c r="C4235" s="20"/>
      <c r="D4235" s="20"/>
      <c r="E4235" s="20"/>
    </row>
    <row r="4236" spans="1:6" x14ac:dyDescent="0.2">
      <c r="A4236" s="95"/>
      <c r="B4236" s="68"/>
      <c r="C4236" s="20"/>
      <c r="D4236" s="20"/>
      <c r="E4236" s="20"/>
    </row>
    <row r="4237" spans="1:6" x14ac:dyDescent="0.2">
      <c r="A4237" s="95"/>
      <c r="B4237" s="68"/>
      <c r="C4237" s="20"/>
      <c r="D4237" s="20"/>
      <c r="E4237" s="20"/>
    </row>
    <row r="4238" spans="1:6" x14ac:dyDescent="0.2">
      <c r="A4238" s="95"/>
      <c r="B4238" s="68"/>
      <c r="C4238" s="20"/>
      <c r="D4238" s="20"/>
      <c r="E4238" s="20"/>
    </row>
    <row r="4239" spans="1:6" x14ac:dyDescent="0.2">
      <c r="A4239" s="95"/>
      <c r="B4239" s="68"/>
      <c r="C4239" s="20"/>
      <c r="D4239" s="20"/>
      <c r="E4239" s="20"/>
    </row>
    <row r="4240" spans="1:6" x14ac:dyDescent="0.2">
      <c r="A4240" s="95"/>
      <c r="B4240" s="68"/>
      <c r="C4240" s="20"/>
      <c r="D4240" s="20"/>
      <c r="E4240" s="20"/>
    </row>
    <row r="4241" spans="1:5" x14ac:dyDescent="0.2">
      <c r="A4241" s="95"/>
      <c r="B4241" s="68"/>
      <c r="C4241" s="20"/>
      <c r="D4241" s="20"/>
      <c r="E4241" s="20"/>
    </row>
    <row r="4242" spans="1:5" x14ac:dyDescent="0.2">
      <c r="A4242" s="95"/>
      <c r="B4242" s="68"/>
      <c r="C4242" s="20"/>
      <c r="D4242" s="20"/>
      <c r="E4242" s="20"/>
    </row>
    <row r="4243" spans="1:5" x14ac:dyDescent="0.2">
      <c r="A4243" s="95"/>
      <c r="B4243" s="68"/>
      <c r="C4243" s="20"/>
      <c r="D4243" s="20"/>
      <c r="E4243" s="20"/>
    </row>
    <row r="4244" spans="1:5" x14ac:dyDescent="0.2">
      <c r="A4244" s="95"/>
      <c r="B4244" s="79"/>
      <c r="C4244" s="56"/>
      <c r="D4244" s="56"/>
      <c r="E4244" s="56"/>
    </row>
    <row r="4245" spans="1:5" x14ac:dyDescent="0.2">
      <c r="A4245" s="95"/>
      <c r="B4245" s="75"/>
      <c r="C4245" s="57"/>
      <c r="D4245" s="57"/>
      <c r="E4245" s="28"/>
    </row>
    <row r="4246" spans="1:5" x14ac:dyDescent="0.2">
      <c r="A4246" s="95"/>
      <c r="B4246" s="68"/>
      <c r="C4246" s="20"/>
      <c r="D4246" s="20"/>
      <c r="E4246" s="20"/>
    </row>
    <row r="4247" spans="1:5" x14ac:dyDescent="0.2">
      <c r="A4247" s="95"/>
      <c r="B4247" s="68"/>
      <c r="C4247" s="20"/>
      <c r="D4247" s="20"/>
      <c r="E4247" s="20"/>
    </row>
    <row r="4248" spans="1:5" x14ac:dyDescent="0.2">
      <c r="A4248" s="95"/>
      <c r="B4248" s="68"/>
      <c r="C4248" s="20"/>
      <c r="D4248" s="20"/>
      <c r="E4248" s="20"/>
    </row>
    <row r="4249" spans="1:5" x14ac:dyDescent="0.2">
      <c r="A4249" s="95"/>
      <c r="B4249" s="68"/>
      <c r="C4249" s="20"/>
      <c r="D4249" s="20"/>
      <c r="E4249" s="20"/>
    </row>
    <row r="4250" spans="1:5" x14ac:dyDescent="0.2">
      <c r="A4250" s="95"/>
      <c r="B4250" s="68"/>
      <c r="C4250" s="20"/>
      <c r="D4250" s="20"/>
      <c r="E4250" s="20"/>
    </row>
    <row r="4251" spans="1:5" x14ac:dyDescent="0.2">
      <c r="A4251" s="95"/>
      <c r="B4251" s="68"/>
      <c r="C4251" s="20"/>
      <c r="D4251" s="20"/>
      <c r="E4251" s="20"/>
    </row>
    <row r="4252" spans="1:5" x14ac:dyDescent="0.2">
      <c r="A4252" s="95"/>
      <c r="B4252" s="68"/>
      <c r="C4252" s="20"/>
      <c r="D4252" s="20"/>
      <c r="E4252" s="20"/>
    </row>
    <row r="4253" spans="1:5" x14ac:dyDescent="0.2">
      <c r="A4253" s="95"/>
      <c r="B4253" s="82"/>
      <c r="C4253" s="83"/>
      <c r="D4253" s="83"/>
      <c r="E4253" s="83"/>
    </row>
  </sheetData>
  <sortState xmlns:xlrd2="http://schemas.microsoft.com/office/spreadsheetml/2017/richdata2" ref="A2:H4253">
    <sortCondition ref="C2:C425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43659-440B-4505-AFE7-0EB81A3448B3}">
  <dimension ref="A1:W152"/>
  <sheetViews>
    <sheetView topLeftCell="J1" workbookViewId="0">
      <selection activeCell="U6" sqref="U6"/>
    </sheetView>
  </sheetViews>
  <sheetFormatPr baseColWidth="10" defaultColWidth="11.5" defaultRowHeight="11.25" x14ac:dyDescent="0.2"/>
  <cols>
    <col min="1" max="1" width="14" style="110" bestFit="1" customWidth="1"/>
    <col min="2" max="2" width="8.33203125" style="110" bestFit="1" customWidth="1"/>
    <col min="3" max="3" width="10.83203125" style="110" bestFit="1" customWidth="1"/>
    <col min="4" max="4" width="12.5" style="110" bestFit="1" customWidth="1"/>
    <col min="5" max="5" width="17.1640625" style="110" bestFit="1" customWidth="1"/>
    <col min="6" max="6" width="9.6640625" style="110" bestFit="1" customWidth="1"/>
    <col min="7" max="7" width="10.5" style="119" bestFit="1" customWidth="1"/>
    <col min="8" max="8" width="9.6640625" style="113" bestFit="1" customWidth="1"/>
    <col min="9" max="9" width="39.6640625" style="113" bestFit="1" customWidth="1"/>
    <col min="10" max="10" width="13.83203125" style="113" bestFit="1" customWidth="1"/>
    <col min="11" max="11" width="23.1640625" style="113" bestFit="1" customWidth="1"/>
    <col min="12" max="12" width="5" style="113" bestFit="1" customWidth="1"/>
    <col min="13" max="13" width="22.83203125" style="113" bestFit="1" customWidth="1"/>
    <col min="14" max="14" width="5.6640625" style="113" bestFit="1" customWidth="1"/>
    <col min="15" max="15" width="22" style="113" bestFit="1" customWidth="1"/>
    <col min="16" max="16" width="32.5" style="102" bestFit="1" customWidth="1"/>
    <col min="17" max="17" width="10.5" style="102" bestFit="1" customWidth="1"/>
    <col min="18" max="18" width="8.1640625" style="102" bestFit="1" customWidth="1"/>
    <col min="19" max="19" width="7" style="102" bestFit="1" customWidth="1"/>
    <col min="20" max="20" width="8.5" style="102" bestFit="1" customWidth="1"/>
    <col min="21" max="21" width="15.5" style="102" customWidth="1"/>
    <col min="22" max="16384" width="11.5" style="102"/>
  </cols>
  <sheetData>
    <row r="1" spans="1:23" x14ac:dyDescent="0.2">
      <c r="A1" s="101" t="s">
        <v>603</v>
      </c>
      <c r="B1" s="102"/>
      <c r="C1" s="102"/>
      <c r="D1" s="102"/>
      <c r="E1" s="102"/>
      <c r="F1" s="102"/>
      <c r="G1" s="103"/>
      <c r="H1" s="104"/>
      <c r="I1" s="104"/>
      <c r="J1" s="104"/>
      <c r="K1" s="104"/>
      <c r="L1" s="104"/>
      <c r="M1" s="104"/>
      <c r="N1" s="104"/>
      <c r="O1" s="104"/>
    </row>
    <row r="2" spans="1:23" x14ac:dyDescent="0.2">
      <c r="A2" s="101" t="s">
        <v>604</v>
      </c>
      <c r="B2" s="102"/>
      <c r="C2" s="102"/>
      <c r="D2" s="102"/>
      <c r="E2" s="102"/>
      <c r="F2" s="102"/>
      <c r="G2" s="103"/>
      <c r="H2" s="104"/>
      <c r="I2" s="104"/>
      <c r="J2" s="104"/>
      <c r="K2" s="104"/>
      <c r="L2" s="104"/>
      <c r="M2" s="104"/>
      <c r="N2" s="104"/>
      <c r="O2" s="104"/>
    </row>
    <row r="3" spans="1:23" x14ac:dyDescent="0.2">
      <c r="A3" s="102" t="s">
        <v>605</v>
      </c>
      <c r="B3" s="102"/>
      <c r="C3" s="102"/>
      <c r="D3" s="102"/>
      <c r="E3" s="102"/>
      <c r="F3" s="102"/>
      <c r="G3" s="103"/>
      <c r="H3" s="104"/>
      <c r="I3" s="104"/>
      <c r="J3" s="104"/>
      <c r="K3" s="104"/>
      <c r="L3" s="104"/>
      <c r="M3" s="104"/>
      <c r="N3" s="104"/>
      <c r="O3" s="104"/>
      <c r="U3" s="105" t="s">
        <v>600</v>
      </c>
    </row>
    <row r="4" spans="1:23" x14ac:dyDescent="0.2">
      <c r="A4" s="102" t="s">
        <v>606</v>
      </c>
      <c r="B4" s="102"/>
      <c r="C4" s="102"/>
      <c r="D4" s="102"/>
      <c r="E4" s="102"/>
      <c r="F4" s="102"/>
      <c r="G4" s="103"/>
      <c r="H4" s="104"/>
      <c r="I4" s="104"/>
      <c r="J4" s="104"/>
      <c r="K4" s="104"/>
      <c r="L4" s="104"/>
      <c r="M4" s="104"/>
      <c r="N4" s="104"/>
      <c r="O4" s="104"/>
      <c r="U4" s="106">
        <f>+SUM(U7:U924)</f>
        <v>343944176.09999996</v>
      </c>
    </row>
    <row r="5" spans="1:23" x14ac:dyDescent="0.2">
      <c r="A5" s="102" t="s">
        <v>607</v>
      </c>
      <c r="B5" s="102"/>
      <c r="C5" s="102"/>
      <c r="D5" s="102"/>
      <c r="E5" s="102"/>
      <c r="F5" s="102"/>
      <c r="G5" s="103"/>
      <c r="H5" s="104"/>
      <c r="I5" s="104"/>
      <c r="J5" s="104"/>
      <c r="K5" s="104"/>
      <c r="L5" s="104"/>
      <c r="M5" s="104"/>
      <c r="N5" s="104"/>
      <c r="O5" s="104"/>
    </row>
    <row r="6" spans="1:23" x14ac:dyDescent="0.2">
      <c r="A6" s="107" t="s">
        <v>608</v>
      </c>
      <c r="B6" s="107" t="s">
        <v>609</v>
      </c>
      <c r="C6" s="107" t="s">
        <v>610</v>
      </c>
      <c r="D6" s="107" t="s">
        <v>611</v>
      </c>
      <c r="E6" s="107" t="s">
        <v>612</v>
      </c>
      <c r="F6" s="107" t="s">
        <v>613</v>
      </c>
      <c r="G6" s="108" t="s">
        <v>614</v>
      </c>
      <c r="H6" s="107" t="s">
        <v>613</v>
      </c>
      <c r="I6" s="108" t="s">
        <v>615</v>
      </c>
      <c r="J6" s="108" t="s">
        <v>616</v>
      </c>
      <c r="K6" s="108" t="s">
        <v>617</v>
      </c>
      <c r="L6" s="108" t="s">
        <v>618</v>
      </c>
      <c r="M6" s="108" t="s">
        <v>619</v>
      </c>
      <c r="N6" s="108" t="s">
        <v>620</v>
      </c>
      <c r="O6" s="108" t="s">
        <v>621</v>
      </c>
      <c r="P6" s="108" t="s">
        <v>622</v>
      </c>
      <c r="Q6" s="109" t="s">
        <v>623</v>
      </c>
      <c r="R6" s="109" t="s">
        <v>624</v>
      </c>
      <c r="S6" s="109" t="s">
        <v>625</v>
      </c>
      <c r="T6" s="109" t="s">
        <v>626</v>
      </c>
      <c r="U6" s="109" t="s">
        <v>627</v>
      </c>
    </row>
    <row r="7" spans="1:23" s="115" customFormat="1" x14ac:dyDescent="0.2">
      <c r="A7" s="115">
        <v>45121</v>
      </c>
      <c r="B7" s="115">
        <v>1</v>
      </c>
      <c r="C7" s="115">
        <v>9235916</v>
      </c>
      <c r="D7" s="111">
        <v>45497</v>
      </c>
      <c r="E7" s="111">
        <v>45498</v>
      </c>
      <c r="F7" s="112">
        <v>187500</v>
      </c>
      <c r="G7" s="116">
        <v>31594</v>
      </c>
      <c r="H7" s="112">
        <v>187500</v>
      </c>
      <c r="I7" s="117" t="s">
        <v>640</v>
      </c>
      <c r="J7" s="117" t="s">
        <v>641</v>
      </c>
      <c r="K7" s="117" t="s">
        <v>640</v>
      </c>
      <c r="L7" s="117" t="s">
        <v>642</v>
      </c>
      <c r="M7" s="117" t="s">
        <v>643</v>
      </c>
      <c r="N7" s="117" t="s">
        <v>644</v>
      </c>
      <c r="O7" s="117" t="s">
        <v>645</v>
      </c>
      <c r="P7" s="117" t="s">
        <v>640</v>
      </c>
      <c r="Q7" s="114">
        <v>0</v>
      </c>
      <c r="R7" s="114">
        <v>0</v>
      </c>
      <c r="S7" s="114">
        <v>0</v>
      </c>
      <c r="T7" s="114">
        <v>0</v>
      </c>
      <c r="U7" s="114">
        <f t="shared" ref="U7:U38" si="0">+H7-Q7-R7-S7-T7</f>
        <v>187500</v>
      </c>
      <c r="V7" s="118" t="s">
        <v>819</v>
      </c>
      <c r="W7" s="111">
        <v>45498</v>
      </c>
    </row>
    <row r="8" spans="1:23" s="115" customFormat="1" x14ac:dyDescent="0.2">
      <c r="A8" s="115">
        <v>45562</v>
      </c>
      <c r="B8" s="115">
        <v>1</v>
      </c>
      <c r="C8" s="115">
        <v>9236148</v>
      </c>
      <c r="D8" s="111">
        <v>45525</v>
      </c>
      <c r="E8" s="111">
        <v>45526</v>
      </c>
      <c r="F8" s="112">
        <v>296861</v>
      </c>
      <c r="G8" s="116">
        <v>31658</v>
      </c>
      <c r="H8" s="112">
        <v>296861</v>
      </c>
      <c r="I8" s="117" t="s">
        <v>801</v>
      </c>
      <c r="J8" s="117" t="s">
        <v>802</v>
      </c>
      <c r="K8" s="117" t="s">
        <v>801</v>
      </c>
      <c r="L8" s="117" t="s">
        <v>700</v>
      </c>
      <c r="M8" s="117" t="s">
        <v>701</v>
      </c>
      <c r="N8" s="117" t="s">
        <v>702</v>
      </c>
      <c r="O8" s="117" t="s">
        <v>701</v>
      </c>
      <c r="P8" s="117" t="s">
        <v>801</v>
      </c>
      <c r="Q8" s="114">
        <v>0</v>
      </c>
      <c r="R8" s="114">
        <v>0</v>
      </c>
      <c r="S8" s="114">
        <v>0</v>
      </c>
      <c r="T8" s="114">
        <v>0</v>
      </c>
      <c r="U8" s="114">
        <f t="shared" si="0"/>
        <v>296861</v>
      </c>
      <c r="V8" s="118" t="s">
        <v>819</v>
      </c>
      <c r="W8" s="111">
        <v>45526</v>
      </c>
    </row>
    <row r="9" spans="1:23" s="115" customFormat="1" x14ac:dyDescent="0.2">
      <c r="A9" s="115">
        <v>45563</v>
      </c>
      <c r="B9" s="115">
        <v>1</v>
      </c>
      <c r="C9" s="115">
        <v>9236148</v>
      </c>
      <c r="D9" s="111">
        <v>45525</v>
      </c>
      <c r="E9" s="111">
        <v>45526</v>
      </c>
      <c r="F9" s="112">
        <v>296861</v>
      </c>
      <c r="G9" s="116">
        <v>31659</v>
      </c>
      <c r="H9" s="112">
        <v>296861</v>
      </c>
      <c r="I9" s="117" t="s">
        <v>801</v>
      </c>
      <c r="J9" s="117" t="s">
        <v>802</v>
      </c>
      <c r="K9" s="117" t="s">
        <v>801</v>
      </c>
      <c r="L9" s="117" t="s">
        <v>700</v>
      </c>
      <c r="M9" s="117" t="s">
        <v>701</v>
      </c>
      <c r="N9" s="117" t="s">
        <v>702</v>
      </c>
      <c r="O9" s="117" t="s">
        <v>701</v>
      </c>
      <c r="P9" s="117" t="s">
        <v>801</v>
      </c>
      <c r="Q9" s="114">
        <v>0</v>
      </c>
      <c r="R9" s="114">
        <v>0</v>
      </c>
      <c r="S9" s="114">
        <v>0</v>
      </c>
      <c r="T9" s="114">
        <v>0</v>
      </c>
      <c r="U9" s="114">
        <f t="shared" si="0"/>
        <v>296861</v>
      </c>
      <c r="V9" s="118" t="s">
        <v>819</v>
      </c>
      <c r="W9" s="111">
        <v>45526</v>
      </c>
    </row>
    <row r="10" spans="1:23" s="115" customFormat="1" x14ac:dyDescent="0.2">
      <c r="A10" s="115">
        <v>44062</v>
      </c>
      <c r="B10" s="115">
        <v>1</v>
      </c>
      <c r="C10" s="115">
        <v>9235370</v>
      </c>
      <c r="D10" s="111">
        <v>45436</v>
      </c>
      <c r="E10" s="111">
        <v>45531</v>
      </c>
      <c r="F10" s="112">
        <v>93857.13</v>
      </c>
      <c r="G10" s="116">
        <v>31418</v>
      </c>
      <c r="H10" s="112">
        <v>93857.13</v>
      </c>
      <c r="I10" s="117" t="s">
        <v>751</v>
      </c>
      <c r="J10" s="117" t="s">
        <v>752</v>
      </c>
      <c r="K10" s="117" t="s">
        <v>751</v>
      </c>
      <c r="L10" s="117" t="s">
        <v>656</v>
      </c>
      <c r="M10" s="117" t="s">
        <v>657</v>
      </c>
      <c r="N10" s="117" t="s">
        <v>753</v>
      </c>
      <c r="O10" s="117" t="s">
        <v>754</v>
      </c>
      <c r="P10" s="117" t="s">
        <v>751</v>
      </c>
      <c r="Q10" s="114">
        <v>0</v>
      </c>
      <c r="R10" s="114">
        <v>0</v>
      </c>
      <c r="S10" s="114">
        <v>0</v>
      </c>
      <c r="T10" s="114">
        <v>0</v>
      </c>
      <c r="U10" s="114">
        <f t="shared" si="0"/>
        <v>93857.13</v>
      </c>
      <c r="V10" s="118" t="s">
        <v>819</v>
      </c>
      <c r="W10" s="111">
        <v>45531</v>
      </c>
    </row>
    <row r="11" spans="1:23" s="115" customFormat="1" x14ac:dyDescent="0.2">
      <c r="A11" s="115">
        <v>44040</v>
      </c>
      <c r="B11" s="115">
        <v>1</v>
      </c>
      <c r="C11" s="115">
        <v>9235354</v>
      </c>
      <c r="D11" s="111">
        <v>45436</v>
      </c>
      <c r="E11" s="111">
        <v>45531</v>
      </c>
      <c r="F11" s="112">
        <v>126627.9</v>
      </c>
      <c r="G11" s="116">
        <v>31397</v>
      </c>
      <c r="H11" s="112">
        <v>126627.9</v>
      </c>
      <c r="I11" s="117" t="s">
        <v>663</v>
      </c>
      <c r="J11" s="117" t="s">
        <v>664</v>
      </c>
      <c r="K11" s="117" t="s">
        <v>663</v>
      </c>
      <c r="L11" s="117" t="s">
        <v>665</v>
      </c>
      <c r="M11" s="117" t="s">
        <v>666</v>
      </c>
      <c r="N11" s="117" t="s">
        <v>658</v>
      </c>
      <c r="O11" s="117" t="s">
        <v>659</v>
      </c>
      <c r="P11" s="117" t="s">
        <v>663</v>
      </c>
      <c r="Q11" s="114">
        <v>0</v>
      </c>
      <c r="R11" s="114">
        <v>0</v>
      </c>
      <c r="S11" s="114">
        <v>0</v>
      </c>
      <c r="T11" s="114">
        <v>0</v>
      </c>
      <c r="U11" s="114">
        <f t="shared" si="0"/>
        <v>126627.9</v>
      </c>
      <c r="V11" s="118" t="s">
        <v>819</v>
      </c>
      <c r="W11" s="111">
        <v>45531</v>
      </c>
    </row>
    <row r="12" spans="1:23" s="115" customFormat="1" x14ac:dyDescent="0.2">
      <c r="A12" s="115">
        <v>44043</v>
      </c>
      <c r="B12" s="115">
        <v>1</v>
      </c>
      <c r="C12" s="115">
        <v>9235356</v>
      </c>
      <c r="D12" s="111">
        <v>45436</v>
      </c>
      <c r="E12" s="111">
        <v>45531</v>
      </c>
      <c r="F12" s="112">
        <v>128188.42</v>
      </c>
      <c r="G12" s="116">
        <v>31400</v>
      </c>
      <c r="H12" s="112">
        <v>128188.42</v>
      </c>
      <c r="I12" s="117" t="s">
        <v>776</v>
      </c>
      <c r="J12" s="117" t="s">
        <v>777</v>
      </c>
      <c r="K12" s="117" t="s">
        <v>776</v>
      </c>
      <c r="L12" s="117" t="s">
        <v>660</v>
      </c>
      <c r="M12" s="117" t="s">
        <v>661</v>
      </c>
      <c r="N12" s="117" t="s">
        <v>662</v>
      </c>
      <c r="O12" s="117" t="s">
        <v>661</v>
      </c>
      <c r="P12" s="117" t="s">
        <v>776</v>
      </c>
      <c r="Q12" s="114">
        <v>0</v>
      </c>
      <c r="R12" s="114">
        <v>0</v>
      </c>
      <c r="S12" s="114">
        <v>0</v>
      </c>
      <c r="T12" s="114">
        <v>0</v>
      </c>
      <c r="U12" s="114">
        <f t="shared" si="0"/>
        <v>128188.42</v>
      </c>
      <c r="V12" s="118" t="s">
        <v>819</v>
      </c>
      <c r="W12" s="111">
        <v>45531</v>
      </c>
    </row>
    <row r="13" spans="1:23" s="115" customFormat="1" x14ac:dyDescent="0.2">
      <c r="A13" s="115">
        <v>44058</v>
      </c>
      <c r="B13" s="115">
        <v>1</v>
      </c>
      <c r="C13" s="115">
        <v>9235366</v>
      </c>
      <c r="D13" s="111">
        <v>45436</v>
      </c>
      <c r="E13" s="111">
        <v>45531</v>
      </c>
      <c r="F13" s="112">
        <v>452529.61</v>
      </c>
      <c r="G13" s="116">
        <v>31414</v>
      </c>
      <c r="H13" s="112">
        <v>452529.61</v>
      </c>
      <c r="I13" s="117" t="s">
        <v>628</v>
      </c>
      <c r="J13" s="117" t="s">
        <v>629</v>
      </c>
      <c r="K13" s="117" t="s">
        <v>628</v>
      </c>
      <c r="L13" s="117" t="s">
        <v>630</v>
      </c>
      <c r="M13" s="117" t="s">
        <v>631</v>
      </c>
      <c r="N13" s="117" t="s">
        <v>632</v>
      </c>
      <c r="O13" s="117" t="s">
        <v>633</v>
      </c>
      <c r="P13" s="117" t="s">
        <v>628</v>
      </c>
      <c r="Q13" s="114">
        <v>0</v>
      </c>
      <c r="R13" s="114">
        <v>0</v>
      </c>
      <c r="S13" s="114">
        <v>0</v>
      </c>
      <c r="T13" s="114">
        <v>0</v>
      </c>
      <c r="U13" s="114">
        <f t="shared" si="0"/>
        <v>452529.61</v>
      </c>
      <c r="V13" s="118" t="s">
        <v>819</v>
      </c>
      <c r="W13" s="111">
        <v>45531</v>
      </c>
    </row>
    <row r="14" spans="1:23" s="115" customFormat="1" x14ac:dyDescent="0.2">
      <c r="A14" s="115">
        <v>44054</v>
      </c>
      <c r="B14" s="115">
        <v>1</v>
      </c>
      <c r="C14" s="115">
        <v>9235364</v>
      </c>
      <c r="D14" s="111">
        <v>45436</v>
      </c>
      <c r="E14" s="111">
        <v>45531</v>
      </c>
      <c r="F14" s="112">
        <v>483772.02</v>
      </c>
      <c r="G14" s="116">
        <v>31410</v>
      </c>
      <c r="H14" s="112">
        <v>483772.02</v>
      </c>
      <c r="I14" s="117" t="s">
        <v>698</v>
      </c>
      <c r="J14" s="117" t="s">
        <v>699</v>
      </c>
      <c r="K14" s="117" t="s">
        <v>698</v>
      </c>
      <c r="L14" s="117" t="s">
        <v>700</v>
      </c>
      <c r="M14" s="117" t="s">
        <v>701</v>
      </c>
      <c r="N14" s="117" t="s">
        <v>702</v>
      </c>
      <c r="O14" s="117" t="s">
        <v>701</v>
      </c>
      <c r="P14" s="117" t="s">
        <v>698</v>
      </c>
      <c r="Q14" s="114">
        <v>0</v>
      </c>
      <c r="R14" s="114">
        <v>0</v>
      </c>
      <c r="S14" s="114">
        <v>0</v>
      </c>
      <c r="T14" s="114">
        <v>0</v>
      </c>
      <c r="U14" s="114">
        <f t="shared" si="0"/>
        <v>483772.02</v>
      </c>
      <c r="V14" s="118" t="s">
        <v>819</v>
      </c>
      <c r="W14" s="111">
        <v>45531</v>
      </c>
    </row>
    <row r="15" spans="1:23" s="115" customFormat="1" x14ac:dyDescent="0.2">
      <c r="A15" s="115">
        <v>44060</v>
      </c>
      <c r="B15" s="115">
        <v>1</v>
      </c>
      <c r="C15" s="115">
        <v>9235368</v>
      </c>
      <c r="D15" s="111">
        <v>45436</v>
      </c>
      <c r="E15" s="111">
        <v>45531</v>
      </c>
      <c r="F15" s="112">
        <v>1152775.74</v>
      </c>
      <c r="G15" s="116">
        <v>31416</v>
      </c>
      <c r="H15" s="112">
        <v>1152775.74</v>
      </c>
      <c r="I15" s="117" t="s">
        <v>805</v>
      </c>
      <c r="J15" s="117" t="s">
        <v>806</v>
      </c>
      <c r="K15" s="117" t="s">
        <v>805</v>
      </c>
      <c r="L15" s="117" t="s">
        <v>728</v>
      </c>
      <c r="M15" s="117" t="s">
        <v>729</v>
      </c>
      <c r="N15" s="117" t="s">
        <v>778</v>
      </c>
      <c r="O15" s="117" t="s">
        <v>731</v>
      </c>
      <c r="P15" s="117" t="s">
        <v>805</v>
      </c>
      <c r="Q15" s="114">
        <v>0</v>
      </c>
      <c r="R15" s="114">
        <v>0</v>
      </c>
      <c r="S15" s="114">
        <v>0</v>
      </c>
      <c r="T15" s="114">
        <v>0</v>
      </c>
      <c r="U15" s="114">
        <f t="shared" si="0"/>
        <v>1152775.74</v>
      </c>
      <c r="V15" s="118" t="s">
        <v>819</v>
      </c>
      <c r="W15" s="111">
        <v>45531</v>
      </c>
    </row>
    <row r="16" spans="1:23" s="115" customFormat="1" x14ac:dyDescent="0.2">
      <c r="A16" s="115">
        <v>44064</v>
      </c>
      <c r="B16" s="115">
        <v>1</v>
      </c>
      <c r="C16" s="115">
        <v>9235371</v>
      </c>
      <c r="D16" s="111">
        <v>45436</v>
      </c>
      <c r="E16" s="111">
        <v>45531</v>
      </c>
      <c r="F16" s="112">
        <v>8687627.5</v>
      </c>
      <c r="G16" s="116">
        <v>31419</v>
      </c>
      <c r="H16" s="112">
        <v>8687627.5</v>
      </c>
      <c r="I16" s="117" t="s">
        <v>820</v>
      </c>
      <c r="J16" s="117" t="s">
        <v>821</v>
      </c>
      <c r="K16" s="117" t="s">
        <v>820</v>
      </c>
      <c r="L16" s="117" t="s">
        <v>809</v>
      </c>
      <c r="M16" s="117" t="s">
        <v>810</v>
      </c>
      <c r="N16" s="117" t="s">
        <v>811</v>
      </c>
      <c r="O16" s="117" t="s">
        <v>812</v>
      </c>
      <c r="P16" s="117" t="s">
        <v>820</v>
      </c>
      <c r="Q16" s="114">
        <v>0</v>
      </c>
      <c r="R16" s="114">
        <v>0</v>
      </c>
      <c r="S16" s="114">
        <v>0</v>
      </c>
      <c r="T16" s="114">
        <v>0</v>
      </c>
      <c r="U16" s="114">
        <f t="shared" si="0"/>
        <v>8687627.5</v>
      </c>
      <c r="V16" s="118" t="s">
        <v>819</v>
      </c>
      <c r="W16" s="111">
        <v>45531</v>
      </c>
    </row>
    <row r="17" spans="1:23" s="115" customFormat="1" x14ac:dyDescent="0.2">
      <c r="A17" s="115">
        <v>45351</v>
      </c>
      <c r="B17" s="115">
        <v>1</v>
      </c>
      <c r="C17" s="115">
        <v>9236054</v>
      </c>
      <c r="D17" s="111">
        <v>45512</v>
      </c>
      <c r="E17" s="111">
        <v>45532</v>
      </c>
      <c r="F17" s="112">
        <v>72348.31</v>
      </c>
      <c r="G17" s="116">
        <v>31637</v>
      </c>
      <c r="H17" s="112">
        <v>72348.31</v>
      </c>
      <c r="I17" s="117" t="s">
        <v>713</v>
      </c>
      <c r="J17" s="117" t="s">
        <v>714</v>
      </c>
      <c r="K17" s="117" t="s">
        <v>713</v>
      </c>
      <c r="L17" s="117" t="s">
        <v>630</v>
      </c>
      <c r="M17" s="117" t="s">
        <v>631</v>
      </c>
      <c r="N17" s="117" t="s">
        <v>632</v>
      </c>
      <c r="O17" s="117" t="s">
        <v>633</v>
      </c>
      <c r="P17" s="117" t="s">
        <v>713</v>
      </c>
      <c r="Q17" s="114">
        <v>0</v>
      </c>
      <c r="R17" s="114">
        <v>0</v>
      </c>
      <c r="S17" s="114">
        <v>0</v>
      </c>
      <c r="T17" s="114">
        <v>0</v>
      </c>
      <c r="U17" s="114">
        <f t="shared" si="0"/>
        <v>72348.31</v>
      </c>
      <c r="V17" s="118" t="s">
        <v>819</v>
      </c>
      <c r="W17" s="111">
        <v>45532</v>
      </c>
    </row>
    <row r="18" spans="1:23" s="115" customFormat="1" x14ac:dyDescent="0.2">
      <c r="A18" s="115">
        <v>44466</v>
      </c>
      <c r="B18" s="115">
        <v>1</v>
      </c>
      <c r="C18" s="115">
        <v>9235578</v>
      </c>
      <c r="D18" s="111">
        <v>45453</v>
      </c>
      <c r="E18" s="111">
        <v>45533</v>
      </c>
      <c r="F18" s="112">
        <v>42470.15</v>
      </c>
      <c r="G18" s="116">
        <v>31456</v>
      </c>
      <c r="H18" s="112">
        <v>42470.15</v>
      </c>
      <c r="I18" s="117" t="s">
        <v>776</v>
      </c>
      <c r="J18" s="117" t="s">
        <v>777</v>
      </c>
      <c r="K18" s="117" t="s">
        <v>776</v>
      </c>
      <c r="L18" s="117" t="s">
        <v>660</v>
      </c>
      <c r="M18" s="117" t="s">
        <v>661</v>
      </c>
      <c r="N18" s="117" t="s">
        <v>662</v>
      </c>
      <c r="O18" s="117" t="s">
        <v>661</v>
      </c>
      <c r="P18" s="117" t="s">
        <v>776</v>
      </c>
      <c r="Q18" s="114">
        <v>0</v>
      </c>
      <c r="R18" s="114">
        <v>0</v>
      </c>
      <c r="S18" s="114">
        <v>0</v>
      </c>
      <c r="T18" s="114">
        <v>0</v>
      </c>
      <c r="U18" s="114">
        <f t="shared" si="0"/>
        <v>42470.15</v>
      </c>
      <c r="V18" s="118" t="s">
        <v>819</v>
      </c>
      <c r="W18" s="111">
        <v>45533</v>
      </c>
    </row>
    <row r="19" spans="1:23" s="115" customFormat="1" x14ac:dyDescent="0.2">
      <c r="A19" s="115">
        <v>45102</v>
      </c>
      <c r="B19" s="115">
        <v>1</v>
      </c>
      <c r="C19" s="115">
        <v>9235900</v>
      </c>
      <c r="D19" s="111">
        <v>45497</v>
      </c>
      <c r="E19" s="111">
        <v>45533</v>
      </c>
      <c r="F19" s="112">
        <v>49370</v>
      </c>
      <c r="G19" s="116">
        <v>31576</v>
      </c>
      <c r="H19" s="112">
        <v>49370</v>
      </c>
      <c r="I19" s="117" t="s">
        <v>797</v>
      </c>
      <c r="J19" s="117" t="s">
        <v>798</v>
      </c>
      <c r="K19" s="117" t="s">
        <v>797</v>
      </c>
      <c r="L19" s="117" t="s">
        <v>656</v>
      </c>
      <c r="M19" s="117" t="s">
        <v>657</v>
      </c>
      <c r="N19" s="117" t="s">
        <v>799</v>
      </c>
      <c r="O19" s="117" t="s">
        <v>800</v>
      </c>
      <c r="P19" s="117" t="s">
        <v>797</v>
      </c>
      <c r="Q19" s="114">
        <v>0</v>
      </c>
      <c r="R19" s="114">
        <v>0</v>
      </c>
      <c r="S19" s="114">
        <v>0</v>
      </c>
      <c r="T19" s="114">
        <v>0</v>
      </c>
      <c r="U19" s="114">
        <f t="shared" si="0"/>
        <v>49370</v>
      </c>
      <c r="V19" s="118" t="s">
        <v>819</v>
      </c>
      <c r="W19" s="111">
        <v>45533</v>
      </c>
    </row>
    <row r="20" spans="1:23" s="115" customFormat="1" x14ac:dyDescent="0.2">
      <c r="A20" s="115">
        <v>45579</v>
      </c>
      <c r="B20" s="115">
        <v>1</v>
      </c>
      <c r="C20" s="115">
        <v>9236158</v>
      </c>
      <c r="D20" s="111">
        <v>45526</v>
      </c>
      <c r="E20" s="111">
        <v>45533</v>
      </c>
      <c r="F20" s="112">
        <v>50999.99</v>
      </c>
      <c r="G20" s="116">
        <v>31671</v>
      </c>
      <c r="H20" s="112">
        <v>50999.99</v>
      </c>
      <c r="I20" s="117" t="s">
        <v>815</v>
      </c>
      <c r="J20" s="117" t="s">
        <v>816</v>
      </c>
      <c r="K20" s="117" t="s">
        <v>815</v>
      </c>
      <c r="L20" s="117" t="s">
        <v>651</v>
      </c>
      <c r="M20" s="117" t="s">
        <v>652</v>
      </c>
      <c r="N20" s="117" t="s">
        <v>653</v>
      </c>
      <c r="O20" s="117" t="s">
        <v>652</v>
      </c>
      <c r="P20" s="117" t="s">
        <v>815</v>
      </c>
      <c r="Q20" s="114">
        <v>0</v>
      </c>
      <c r="R20" s="114">
        <v>0</v>
      </c>
      <c r="S20" s="114">
        <v>0</v>
      </c>
      <c r="T20" s="114">
        <v>0</v>
      </c>
      <c r="U20" s="114">
        <f t="shared" si="0"/>
        <v>50999.99</v>
      </c>
      <c r="V20" s="118" t="s">
        <v>819</v>
      </c>
      <c r="W20" s="111">
        <v>45533</v>
      </c>
    </row>
    <row r="21" spans="1:23" s="115" customFormat="1" x14ac:dyDescent="0.2">
      <c r="A21" s="115">
        <v>44934</v>
      </c>
      <c r="B21" s="115">
        <v>1</v>
      </c>
      <c r="C21" s="115">
        <v>9235816</v>
      </c>
      <c r="D21" s="111">
        <v>45488</v>
      </c>
      <c r="E21" s="111">
        <v>45533</v>
      </c>
      <c r="F21" s="112">
        <v>72000</v>
      </c>
      <c r="G21" s="116">
        <v>31547</v>
      </c>
      <c r="H21" s="112">
        <v>72000</v>
      </c>
      <c r="I21" s="117" t="s">
        <v>813</v>
      </c>
      <c r="J21" s="117" t="s">
        <v>814</v>
      </c>
      <c r="K21" s="117" t="s">
        <v>813</v>
      </c>
      <c r="L21" s="117" t="s">
        <v>722</v>
      </c>
      <c r="M21" s="117" t="s">
        <v>723</v>
      </c>
      <c r="N21" s="117" t="s">
        <v>724</v>
      </c>
      <c r="O21" s="117" t="s">
        <v>725</v>
      </c>
      <c r="P21" s="117" t="s">
        <v>813</v>
      </c>
      <c r="Q21" s="114">
        <v>0</v>
      </c>
      <c r="R21" s="114">
        <v>0</v>
      </c>
      <c r="S21" s="114">
        <v>0</v>
      </c>
      <c r="T21" s="114">
        <v>0</v>
      </c>
      <c r="U21" s="114">
        <f t="shared" si="0"/>
        <v>72000</v>
      </c>
      <c r="V21" s="118" t="s">
        <v>819</v>
      </c>
      <c r="W21" s="111">
        <v>45533</v>
      </c>
    </row>
    <row r="22" spans="1:23" s="115" customFormat="1" x14ac:dyDescent="0.2">
      <c r="A22" s="115">
        <v>45342</v>
      </c>
      <c r="B22" s="115">
        <v>1</v>
      </c>
      <c r="C22" s="115">
        <v>9236047</v>
      </c>
      <c r="D22" s="111">
        <v>45512</v>
      </c>
      <c r="E22" s="111">
        <v>45533</v>
      </c>
      <c r="F22" s="112">
        <v>106622.51</v>
      </c>
      <c r="G22" s="116">
        <v>31629</v>
      </c>
      <c r="H22" s="112">
        <v>106622.51</v>
      </c>
      <c r="I22" s="117" t="s">
        <v>787</v>
      </c>
      <c r="J22" s="117" t="s">
        <v>788</v>
      </c>
      <c r="K22" s="117" t="s">
        <v>787</v>
      </c>
      <c r="L22" s="117" t="s">
        <v>789</v>
      </c>
      <c r="M22" s="117" t="s">
        <v>790</v>
      </c>
      <c r="N22" s="117" t="s">
        <v>681</v>
      </c>
      <c r="O22" s="117" t="s">
        <v>682</v>
      </c>
      <c r="P22" s="117" t="s">
        <v>787</v>
      </c>
      <c r="Q22" s="114">
        <v>0</v>
      </c>
      <c r="R22" s="114">
        <v>0</v>
      </c>
      <c r="S22" s="114">
        <v>0</v>
      </c>
      <c r="T22" s="114">
        <v>0</v>
      </c>
      <c r="U22" s="114">
        <f t="shared" si="0"/>
        <v>106622.51</v>
      </c>
      <c r="V22" s="118" t="s">
        <v>819</v>
      </c>
      <c r="W22" s="111">
        <v>45533</v>
      </c>
    </row>
    <row r="23" spans="1:23" s="115" customFormat="1" x14ac:dyDescent="0.2">
      <c r="A23" s="115">
        <v>44598</v>
      </c>
      <c r="B23" s="115">
        <v>1</v>
      </c>
      <c r="C23" s="115">
        <v>9235619</v>
      </c>
      <c r="D23" s="111">
        <v>45461</v>
      </c>
      <c r="E23" s="111">
        <v>45533</v>
      </c>
      <c r="F23" s="112">
        <v>111804</v>
      </c>
      <c r="G23" s="116">
        <v>31477</v>
      </c>
      <c r="H23" s="112">
        <v>111804</v>
      </c>
      <c r="I23" s="117" t="s">
        <v>667</v>
      </c>
      <c r="J23" s="117" t="s">
        <v>668</v>
      </c>
      <c r="K23" s="117" t="s">
        <v>667</v>
      </c>
      <c r="L23" s="117" t="s">
        <v>656</v>
      </c>
      <c r="M23" s="117" t="s">
        <v>657</v>
      </c>
      <c r="N23" s="117" t="s">
        <v>658</v>
      </c>
      <c r="O23" s="117" t="s">
        <v>659</v>
      </c>
      <c r="P23" s="117" t="s">
        <v>667</v>
      </c>
      <c r="Q23" s="114">
        <v>0</v>
      </c>
      <c r="R23" s="114">
        <v>0</v>
      </c>
      <c r="S23" s="114">
        <v>0</v>
      </c>
      <c r="T23" s="114">
        <v>0</v>
      </c>
      <c r="U23" s="114">
        <f t="shared" si="0"/>
        <v>111804</v>
      </c>
      <c r="V23" s="118" t="s">
        <v>819</v>
      </c>
      <c r="W23" s="111">
        <v>45533</v>
      </c>
    </row>
    <row r="24" spans="1:23" s="115" customFormat="1" x14ac:dyDescent="0.2">
      <c r="A24" s="115">
        <v>45604</v>
      </c>
      <c r="B24" s="115">
        <v>1</v>
      </c>
      <c r="C24" s="115">
        <v>9236175</v>
      </c>
      <c r="D24" s="111">
        <v>45532</v>
      </c>
      <c r="E24" s="111">
        <v>45533</v>
      </c>
      <c r="F24" s="112">
        <v>187500</v>
      </c>
      <c r="G24" s="116">
        <v>31686</v>
      </c>
      <c r="H24" s="112">
        <v>187500</v>
      </c>
      <c r="I24" s="117" t="s">
        <v>640</v>
      </c>
      <c r="J24" s="117" t="s">
        <v>641</v>
      </c>
      <c r="K24" s="117" t="s">
        <v>640</v>
      </c>
      <c r="L24" s="117" t="s">
        <v>642</v>
      </c>
      <c r="M24" s="117" t="s">
        <v>643</v>
      </c>
      <c r="N24" s="117" t="s">
        <v>644</v>
      </c>
      <c r="O24" s="117" t="s">
        <v>645</v>
      </c>
      <c r="P24" s="117" t="s">
        <v>640</v>
      </c>
      <c r="Q24" s="114">
        <v>0</v>
      </c>
      <c r="R24" s="114">
        <v>0</v>
      </c>
      <c r="S24" s="114">
        <v>0</v>
      </c>
      <c r="T24" s="114">
        <v>0</v>
      </c>
      <c r="U24" s="114">
        <f t="shared" si="0"/>
        <v>187500</v>
      </c>
      <c r="V24" s="118" t="s">
        <v>819</v>
      </c>
      <c r="W24" s="111">
        <v>45533</v>
      </c>
    </row>
    <row r="25" spans="1:23" s="115" customFormat="1" x14ac:dyDescent="0.2">
      <c r="A25" s="115">
        <v>45605</v>
      </c>
      <c r="B25" s="115">
        <v>1</v>
      </c>
      <c r="C25" s="115">
        <v>9236176</v>
      </c>
      <c r="D25" s="111">
        <v>45532</v>
      </c>
      <c r="E25" s="111">
        <v>45533</v>
      </c>
      <c r="F25" s="112">
        <v>960450</v>
      </c>
      <c r="G25" s="116">
        <v>31687</v>
      </c>
      <c r="H25" s="112">
        <v>960450</v>
      </c>
      <c r="I25" s="117" t="s">
        <v>793</v>
      </c>
      <c r="J25" s="117" t="s">
        <v>794</v>
      </c>
      <c r="K25" s="117" t="s">
        <v>793</v>
      </c>
      <c r="L25" s="117" t="s">
        <v>646</v>
      </c>
      <c r="M25" s="117" t="s">
        <v>647</v>
      </c>
      <c r="N25" s="117" t="s">
        <v>795</v>
      </c>
      <c r="O25" s="117" t="s">
        <v>796</v>
      </c>
      <c r="P25" s="117" t="s">
        <v>793</v>
      </c>
      <c r="Q25" s="114">
        <v>0</v>
      </c>
      <c r="R25" s="114">
        <v>0</v>
      </c>
      <c r="S25" s="114">
        <v>0</v>
      </c>
      <c r="T25" s="114">
        <v>0</v>
      </c>
      <c r="U25" s="114">
        <f t="shared" si="0"/>
        <v>960450</v>
      </c>
      <c r="V25" s="118" t="s">
        <v>819</v>
      </c>
      <c r="W25" s="111">
        <v>45533</v>
      </c>
    </row>
    <row r="26" spans="1:23" s="115" customFormat="1" x14ac:dyDescent="0.2">
      <c r="A26" s="115">
        <v>45116</v>
      </c>
      <c r="B26" s="115">
        <v>1</v>
      </c>
      <c r="C26" s="115">
        <v>9235912</v>
      </c>
      <c r="D26" s="111">
        <v>45497</v>
      </c>
      <c r="E26" s="111">
        <v>45533</v>
      </c>
      <c r="F26" s="112">
        <v>3479451.6</v>
      </c>
      <c r="G26" s="116">
        <v>31590</v>
      </c>
      <c r="H26" s="112">
        <v>3479451.6</v>
      </c>
      <c r="I26" s="117" t="s">
        <v>703</v>
      </c>
      <c r="J26" s="117" t="s">
        <v>704</v>
      </c>
      <c r="K26" s="117" t="s">
        <v>703</v>
      </c>
      <c r="L26" s="117" t="s">
        <v>705</v>
      </c>
      <c r="M26" s="117" t="s">
        <v>706</v>
      </c>
      <c r="N26" s="117" t="s">
        <v>707</v>
      </c>
      <c r="O26" s="117" t="s">
        <v>706</v>
      </c>
      <c r="P26" s="117" t="s">
        <v>703</v>
      </c>
      <c r="Q26" s="114">
        <v>0</v>
      </c>
      <c r="R26" s="114">
        <v>0</v>
      </c>
      <c r="S26" s="114">
        <v>0</v>
      </c>
      <c r="T26" s="114">
        <v>0</v>
      </c>
      <c r="U26" s="114">
        <f t="shared" si="0"/>
        <v>3479451.6</v>
      </c>
      <c r="V26" s="118" t="s">
        <v>819</v>
      </c>
      <c r="W26" s="111">
        <v>45533</v>
      </c>
    </row>
    <row r="27" spans="1:23" s="115" customFormat="1" x14ac:dyDescent="0.2">
      <c r="A27" s="115">
        <v>45341</v>
      </c>
      <c r="B27" s="115">
        <v>1</v>
      </c>
      <c r="C27" s="115">
        <v>9236046</v>
      </c>
      <c r="D27" s="111">
        <v>45512</v>
      </c>
      <c r="E27" s="111">
        <v>45534</v>
      </c>
      <c r="F27" s="112">
        <v>90800</v>
      </c>
      <c r="G27" s="116">
        <v>31628</v>
      </c>
      <c r="H27" s="112">
        <v>90800</v>
      </c>
      <c r="I27" s="117" t="s">
        <v>779</v>
      </c>
      <c r="J27" s="117" t="s">
        <v>780</v>
      </c>
      <c r="K27" s="117" t="s">
        <v>779</v>
      </c>
      <c r="L27" s="117" t="s">
        <v>781</v>
      </c>
      <c r="M27" s="117" t="s">
        <v>782</v>
      </c>
      <c r="N27" s="117" t="s">
        <v>783</v>
      </c>
      <c r="O27" s="117" t="s">
        <v>784</v>
      </c>
      <c r="P27" s="117" t="s">
        <v>779</v>
      </c>
      <c r="Q27" s="114">
        <v>0</v>
      </c>
      <c r="R27" s="114">
        <v>0</v>
      </c>
      <c r="S27" s="114">
        <v>0</v>
      </c>
      <c r="T27" s="114">
        <v>0</v>
      </c>
      <c r="U27" s="114">
        <f t="shared" si="0"/>
        <v>90800</v>
      </c>
      <c r="V27" s="118" t="s">
        <v>819</v>
      </c>
      <c r="W27" s="111">
        <v>45534</v>
      </c>
    </row>
    <row r="28" spans="1:23" s="115" customFormat="1" x14ac:dyDescent="0.2">
      <c r="A28" s="115">
        <v>45347</v>
      </c>
      <c r="B28" s="115">
        <v>1</v>
      </c>
      <c r="C28" s="115">
        <v>9236050</v>
      </c>
      <c r="D28" s="111">
        <v>45512</v>
      </c>
      <c r="E28" s="111">
        <v>45534</v>
      </c>
      <c r="F28" s="112">
        <v>95500.04</v>
      </c>
      <c r="G28" s="116">
        <v>31633</v>
      </c>
      <c r="H28" s="112">
        <v>95500.04</v>
      </c>
      <c r="I28" s="117" t="s">
        <v>815</v>
      </c>
      <c r="J28" s="117" t="s">
        <v>816</v>
      </c>
      <c r="K28" s="117" t="s">
        <v>815</v>
      </c>
      <c r="L28" s="117" t="s">
        <v>651</v>
      </c>
      <c r="M28" s="117" t="s">
        <v>652</v>
      </c>
      <c r="N28" s="117" t="s">
        <v>653</v>
      </c>
      <c r="O28" s="117" t="s">
        <v>652</v>
      </c>
      <c r="P28" s="117" t="s">
        <v>815</v>
      </c>
      <c r="Q28" s="114">
        <v>0</v>
      </c>
      <c r="R28" s="114">
        <v>0</v>
      </c>
      <c r="S28" s="114">
        <v>0</v>
      </c>
      <c r="T28" s="114">
        <v>0</v>
      </c>
      <c r="U28" s="114">
        <f t="shared" si="0"/>
        <v>95500.04</v>
      </c>
      <c r="V28" s="118" t="s">
        <v>819</v>
      </c>
      <c r="W28" s="111">
        <v>45534</v>
      </c>
    </row>
    <row r="29" spans="1:23" s="115" customFormat="1" x14ac:dyDescent="0.2">
      <c r="A29" s="115">
        <v>44948</v>
      </c>
      <c r="B29" s="115">
        <v>1</v>
      </c>
      <c r="C29" s="115">
        <v>9235825</v>
      </c>
      <c r="D29" s="111">
        <v>45489</v>
      </c>
      <c r="E29" s="111">
        <v>45534</v>
      </c>
      <c r="F29" s="112">
        <v>114270</v>
      </c>
      <c r="G29" s="116">
        <v>31555</v>
      </c>
      <c r="H29" s="112">
        <v>114270</v>
      </c>
      <c r="I29" s="117" t="s">
        <v>779</v>
      </c>
      <c r="J29" s="117" t="s">
        <v>780</v>
      </c>
      <c r="K29" s="117" t="s">
        <v>779</v>
      </c>
      <c r="L29" s="117" t="s">
        <v>781</v>
      </c>
      <c r="M29" s="117" t="s">
        <v>782</v>
      </c>
      <c r="N29" s="117" t="s">
        <v>783</v>
      </c>
      <c r="O29" s="117" t="s">
        <v>784</v>
      </c>
      <c r="P29" s="117" t="s">
        <v>779</v>
      </c>
      <c r="Q29" s="114">
        <v>0</v>
      </c>
      <c r="R29" s="114">
        <v>0</v>
      </c>
      <c r="S29" s="114">
        <v>0</v>
      </c>
      <c r="T29" s="114">
        <v>0</v>
      </c>
      <c r="U29" s="114">
        <f t="shared" si="0"/>
        <v>114270</v>
      </c>
      <c r="V29" s="118" t="s">
        <v>819</v>
      </c>
      <c r="W29" s="111">
        <v>45534</v>
      </c>
    </row>
    <row r="30" spans="1:23" s="115" customFormat="1" x14ac:dyDescent="0.2">
      <c r="A30" s="115">
        <v>45334</v>
      </c>
      <c r="B30" s="115">
        <v>1</v>
      </c>
      <c r="C30" s="115">
        <v>9236039</v>
      </c>
      <c r="D30" s="111">
        <v>45512</v>
      </c>
      <c r="E30" s="111">
        <v>45534</v>
      </c>
      <c r="F30" s="112">
        <v>133797</v>
      </c>
      <c r="G30" s="116">
        <v>31621</v>
      </c>
      <c r="H30" s="112">
        <v>133797</v>
      </c>
      <c r="I30" s="117" t="s">
        <v>663</v>
      </c>
      <c r="J30" s="117" t="s">
        <v>664</v>
      </c>
      <c r="K30" s="117" t="s">
        <v>663</v>
      </c>
      <c r="L30" s="117" t="s">
        <v>665</v>
      </c>
      <c r="M30" s="117" t="s">
        <v>666</v>
      </c>
      <c r="N30" s="117" t="s">
        <v>658</v>
      </c>
      <c r="O30" s="117" t="s">
        <v>659</v>
      </c>
      <c r="P30" s="117" t="s">
        <v>663</v>
      </c>
      <c r="Q30" s="114">
        <v>0</v>
      </c>
      <c r="R30" s="114">
        <v>0</v>
      </c>
      <c r="S30" s="114">
        <v>0</v>
      </c>
      <c r="T30" s="114">
        <v>0</v>
      </c>
      <c r="U30" s="114">
        <f t="shared" si="0"/>
        <v>133797</v>
      </c>
      <c r="V30" s="118" t="s">
        <v>819</v>
      </c>
      <c r="W30" s="111">
        <v>45534</v>
      </c>
    </row>
    <row r="31" spans="1:23" s="115" customFormat="1" x14ac:dyDescent="0.2">
      <c r="A31" s="115">
        <v>45338</v>
      </c>
      <c r="B31" s="115">
        <v>1</v>
      </c>
      <c r="C31" s="115">
        <v>9236043</v>
      </c>
      <c r="D31" s="111">
        <v>45512</v>
      </c>
      <c r="E31" s="111">
        <v>45534</v>
      </c>
      <c r="F31" s="112">
        <v>145607.1</v>
      </c>
      <c r="G31" s="116">
        <v>31625</v>
      </c>
      <c r="H31" s="112">
        <v>145607.1</v>
      </c>
      <c r="I31" s="117" t="s">
        <v>807</v>
      </c>
      <c r="J31" s="117" t="s">
        <v>808</v>
      </c>
      <c r="K31" s="117" t="s">
        <v>807</v>
      </c>
      <c r="L31" s="117" t="s">
        <v>651</v>
      </c>
      <c r="M31" s="117" t="s">
        <v>652</v>
      </c>
      <c r="N31" s="117" t="s">
        <v>653</v>
      </c>
      <c r="O31" s="117" t="s">
        <v>652</v>
      </c>
      <c r="P31" s="117" t="s">
        <v>807</v>
      </c>
      <c r="Q31" s="114">
        <v>0</v>
      </c>
      <c r="R31" s="114">
        <v>0</v>
      </c>
      <c r="S31" s="114">
        <v>0</v>
      </c>
      <c r="T31" s="114">
        <v>0</v>
      </c>
      <c r="U31" s="114">
        <f t="shared" si="0"/>
        <v>145607.1</v>
      </c>
      <c r="V31" s="118" t="s">
        <v>819</v>
      </c>
      <c r="W31" s="111">
        <v>45534</v>
      </c>
    </row>
    <row r="32" spans="1:23" s="115" customFormat="1" x14ac:dyDescent="0.2">
      <c r="A32" s="115">
        <v>44672</v>
      </c>
      <c r="B32" s="115">
        <v>1</v>
      </c>
      <c r="C32" s="115">
        <v>9235671</v>
      </c>
      <c r="D32" s="111">
        <v>45469</v>
      </c>
      <c r="E32" s="111">
        <v>45534</v>
      </c>
      <c r="F32" s="112">
        <v>207582.44</v>
      </c>
      <c r="G32" s="116">
        <v>31502</v>
      </c>
      <c r="H32" s="112">
        <v>207582.44</v>
      </c>
      <c r="I32" s="117" t="s">
        <v>698</v>
      </c>
      <c r="J32" s="117" t="s">
        <v>699</v>
      </c>
      <c r="K32" s="117" t="s">
        <v>698</v>
      </c>
      <c r="L32" s="117" t="s">
        <v>700</v>
      </c>
      <c r="M32" s="117" t="s">
        <v>701</v>
      </c>
      <c r="N32" s="117" t="s">
        <v>702</v>
      </c>
      <c r="O32" s="117" t="s">
        <v>701</v>
      </c>
      <c r="P32" s="117" t="s">
        <v>698</v>
      </c>
      <c r="Q32" s="114">
        <v>0</v>
      </c>
      <c r="R32" s="114">
        <v>0</v>
      </c>
      <c r="S32" s="114">
        <v>0</v>
      </c>
      <c r="T32" s="114">
        <v>0</v>
      </c>
      <c r="U32" s="114">
        <f t="shared" si="0"/>
        <v>207582.44</v>
      </c>
      <c r="V32" s="118" t="s">
        <v>819</v>
      </c>
      <c r="W32" s="111">
        <v>45534</v>
      </c>
    </row>
    <row r="33" spans="1:23" s="115" customFormat="1" x14ac:dyDescent="0.2">
      <c r="A33" s="115">
        <v>44110</v>
      </c>
      <c r="B33" s="115">
        <v>1</v>
      </c>
      <c r="C33" s="115">
        <v>9235392</v>
      </c>
      <c r="D33" s="111">
        <v>45439</v>
      </c>
      <c r="E33" s="111">
        <v>45534</v>
      </c>
      <c r="F33" s="112">
        <v>211908.08</v>
      </c>
      <c r="G33" s="116">
        <v>31438</v>
      </c>
      <c r="H33" s="112">
        <v>211908.08</v>
      </c>
      <c r="I33" s="117" t="s">
        <v>776</v>
      </c>
      <c r="J33" s="117" t="s">
        <v>777</v>
      </c>
      <c r="K33" s="117" t="s">
        <v>776</v>
      </c>
      <c r="L33" s="117" t="s">
        <v>660</v>
      </c>
      <c r="M33" s="117" t="s">
        <v>661</v>
      </c>
      <c r="N33" s="117" t="s">
        <v>662</v>
      </c>
      <c r="O33" s="117" t="s">
        <v>661</v>
      </c>
      <c r="P33" s="117" t="s">
        <v>776</v>
      </c>
      <c r="Q33" s="114">
        <v>0</v>
      </c>
      <c r="R33" s="114">
        <v>0</v>
      </c>
      <c r="S33" s="114">
        <v>0</v>
      </c>
      <c r="T33" s="114">
        <v>0</v>
      </c>
      <c r="U33" s="114">
        <f t="shared" si="0"/>
        <v>211908.08</v>
      </c>
      <c r="V33" s="118" t="s">
        <v>819</v>
      </c>
      <c r="W33" s="111">
        <v>45534</v>
      </c>
    </row>
    <row r="34" spans="1:23" s="115" customFormat="1" x14ac:dyDescent="0.2">
      <c r="A34" s="115">
        <v>44109</v>
      </c>
      <c r="B34" s="115">
        <v>1</v>
      </c>
      <c r="C34" s="115">
        <v>9235391</v>
      </c>
      <c r="D34" s="111">
        <v>45439</v>
      </c>
      <c r="E34" s="111">
        <v>45534</v>
      </c>
      <c r="F34" s="112">
        <v>289417.59999999998</v>
      </c>
      <c r="G34" s="116">
        <v>31437</v>
      </c>
      <c r="H34" s="112">
        <v>289417.59999999998</v>
      </c>
      <c r="I34" s="117" t="s">
        <v>770</v>
      </c>
      <c r="J34" s="117" t="s">
        <v>771</v>
      </c>
      <c r="K34" s="117" t="s">
        <v>770</v>
      </c>
      <c r="L34" s="117" t="s">
        <v>728</v>
      </c>
      <c r="M34" s="117" t="s">
        <v>729</v>
      </c>
      <c r="N34" s="117" t="s">
        <v>730</v>
      </c>
      <c r="O34" s="117" t="s">
        <v>731</v>
      </c>
      <c r="P34" s="117" t="s">
        <v>770</v>
      </c>
      <c r="Q34" s="114">
        <v>0</v>
      </c>
      <c r="R34" s="114">
        <v>0</v>
      </c>
      <c r="S34" s="114">
        <v>0</v>
      </c>
      <c r="T34" s="114">
        <v>0</v>
      </c>
      <c r="U34" s="114">
        <f t="shared" si="0"/>
        <v>289417.59999999998</v>
      </c>
      <c r="V34" s="118" t="s">
        <v>819</v>
      </c>
      <c r="W34" s="111">
        <v>45534</v>
      </c>
    </row>
    <row r="35" spans="1:23" s="115" customFormat="1" x14ac:dyDescent="0.2">
      <c r="A35" s="115">
        <v>45349</v>
      </c>
      <c r="B35" s="115">
        <v>1</v>
      </c>
      <c r="C35" s="115">
        <v>9236052</v>
      </c>
      <c r="D35" s="111">
        <v>45512</v>
      </c>
      <c r="E35" s="111">
        <v>45534</v>
      </c>
      <c r="F35" s="112">
        <v>394043.4</v>
      </c>
      <c r="G35" s="116">
        <v>31635</v>
      </c>
      <c r="H35" s="112">
        <v>394043.4</v>
      </c>
      <c r="I35" s="117" t="s">
        <v>677</v>
      </c>
      <c r="J35" s="117" t="s">
        <v>678</v>
      </c>
      <c r="K35" s="117" t="s">
        <v>677</v>
      </c>
      <c r="L35" s="117" t="s">
        <v>679</v>
      </c>
      <c r="M35" s="117" t="s">
        <v>680</v>
      </c>
      <c r="N35" s="117" t="s">
        <v>681</v>
      </c>
      <c r="O35" s="117" t="s">
        <v>682</v>
      </c>
      <c r="P35" s="117" t="s">
        <v>677</v>
      </c>
      <c r="Q35" s="114">
        <v>0</v>
      </c>
      <c r="R35" s="114">
        <v>0</v>
      </c>
      <c r="S35" s="114">
        <v>0</v>
      </c>
      <c r="T35" s="114">
        <v>0</v>
      </c>
      <c r="U35" s="114">
        <f t="shared" si="0"/>
        <v>394043.4</v>
      </c>
      <c r="V35" s="118" t="s">
        <v>819</v>
      </c>
      <c r="W35" s="111">
        <v>45534</v>
      </c>
    </row>
    <row r="36" spans="1:23" s="115" customFormat="1" x14ac:dyDescent="0.2">
      <c r="A36" s="115">
        <v>45308</v>
      </c>
      <c r="B36" s="115">
        <v>1</v>
      </c>
      <c r="C36" s="115">
        <v>9236027</v>
      </c>
      <c r="D36" s="111">
        <v>45505</v>
      </c>
      <c r="E36" s="111">
        <v>45534</v>
      </c>
      <c r="F36" s="112">
        <v>441700</v>
      </c>
      <c r="G36" s="116">
        <v>31608</v>
      </c>
      <c r="H36" s="112">
        <v>441700</v>
      </c>
      <c r="I36" s="117" t="s">
        <v>813</v>
      </c>
      <c r="J36" s="117" t="s">
        <v>814</v>
      </c>
      <c r="K36" s="117" t="s">
        <v>813</v>
      </c>
      <c r="L36" s="117" t="s">
        <v>722</v>
      </c>
      <c r="M36" s="117" t="s">
        <v>723</v>
      </c>
      <c r="N36" s="117" t="s">
        <v>724</v>
      </c>
      <c r="O36" s="117" t="s">
        <v>725</v>
      </c>
      <c r="P36" s="117" t="s">
        <v>813</v>
      </c>
      <c r="Q36" s="114">
        <v>0</v>
      </c>
      <c r="R36" s="114">
        <v>0</v>
      </c>
      <c r="S36" s="114">
        <v>0</v>
      </c>
      <c r="T36" s="114">
        <v>0</v>
      </c>
      <c r="U36" s="114">
        <f t="shared" si="0"/>
        <v>441700</v>
      </c>
      <c r="V36" s="118" t="s">
        <v>819</v>
      </c>
      <c r="W36" s="111">
        <v>45534</v>
      </c>
    </row>
    <row r="37" spans="1:23" s="115" customFormat="1" x14ac:dyDescent="0.2">
      <c r="A37" s="115">
        <v>44947</v>
      </c>
      <c r="B37" s="115">
        <v>1</v>
      </c>
      <c r="C37" s="115">
        <v>9235824</v>
      </c>
      <c r="D37" s="111">
        <v>45489</v>
      </c>
      <c r="E37" s="111">
        <v>45534</v>
      </c>
      <c r="F37" s="112">
        <v>443313.09</v>
      </c>
      <c r="G37" s="116">
        <v>31554</v>
      </c>
      <c r="H37" s="112">
        <v>443313.09</v>
      </c>
      <c r="I37" s="117" t="s">
        <v>648</v>
      </c>
      <c r="J37" s="117" t="s">
        <v>649</v>
      </c>
      <c r="K37" s="117" t="s">
        <v>648</v>
      </c>
      <c r="L37" s="117" t="s">
        <v>630</v>
      </c>
      <c r="M37" s="117" t="s">
        <v>631</v>
      </c>
      <c r="N37" s="117" t="s">
        <v>632</v>
      </c>
      <c r="O37" s="117" t="s">
        <v>633</v>
      </c>
      <c r="P37" s="117" t="s">
        <v>648</v>
      </c>
      <c r="Q37" s="114">
        <v>0</v>
      </c>
      <c r="R37" s="114">
        <v>0</v>
      </c>
      <c r="S37" s="114">
        <v>0</v>
      </c>
      <c r="T37" s="114">
        <v>0</v>
      </c>
      <c r="U37" s="114">
        <f t="shared" si="0"/>
        <v>443313.09</v>
      </c>
      <c r="V37" s="118" t="s">
        <v>819</v>
      </c>
      <c r="W37" s="111">
        <v>45534</v>
      </c>
    </row>
    <row r="38" spans="1:23" s="115" customFormat="1" x14ac:dyDescent="0.2">
      <c r="A38" s="115">
        <v>45306</v>
      </c>
      <c r="B38" s="115">
        <v>1</v>
      </c>
      <c r="C38" s="115">
        <v>9236025</v>
      </c>
      <c r="D38" s="111">
        <v>45505</v>
      </c>
      <c r="E38" s="111">
        <v>45534</v>
      </c>
      <c r="F38" s="112">
        <v>470566.63</v>
      </c>
      <c r="G38" s="116">
        <v>31606</v>
      </c>
      <c r="H38" s="112">
        <v>470566.63</v>
      </c>
      <c r="I38" s="117" t="s">
        <v>708</v>
      </c>
      <c r="J38" s="117" t="s">
        <v>709</v>
      </c>
      <c r="K38" s="117" t="s">
        <v>708</v>
      </c>
      <c r="L38" s="117" t="s">
        <v>630</v>
      </c>
      <c r="M38" s="117" t="s">
        <v>631</v>
      </c>
      <c r="N38" s="117" t="s">
        <v>632</v>
      </c>
      <c r="O38" s="117" t="s">
        <v>633</v>
      </c>
      <c r="P38" s="117" t="s">
        <v>708</v>
      </c>
      <c r="Q38" s="114">
        <v>0</v>
      </c>
      <c r="R38" s="114">
        <v>0</v>
      </c>
      <c r="S38" s="114">
        <v>0</v>
      </c>
      <c r="T38" s="114">
        <v>0</v>
      </c>
      <c r="U38" s="114">
        <f t="shared" si="0"/>
        <v>470566.63</v>
      </c>
      <c r="V38" s="118" t="s">
        <v>819</v>
      </c>
      <c r="W38" s="111">
        <v>45534</v>
      </c>
    </row>
    <row r="39" spans="1:23" s="115" customFormat="1" x14ac:dyDescent="0.2">
      <c r="A39" s="115">
        <v>44935</v>
      </c>
      <c r="B39" s="115">
        <v>1</v>
      </c>
      <c r="C39" s="115">
        <v>9235817</v>
      </c>
      <c r="D39" s="111">
        <v>45488</v>
      </c>
      <c r="E39" s="111">
        <v>45534</v>
      </c>
      <c r="F39" s="112">
        <v>582248.80000000005</v>
      </c>
      <c r="G39" s="116">
        <v>31548</v>
      </c>
      <c r="H39" s="112">
        <v>582248.80000000005</v>
      </c>
      <c r="I39" s="117" t="s">
        <v>739</v>
      </c>
      <c r="J39" s="117" t="s">
        <v>740</v>
      </c>
      <c r="K39" s="117" t="s">
        <v>739</v>
      </c>
      <c r="L39" s="117" t="s">
        <v>741</v>
      </c>
      <c r="M39" s="117" t="s">
        <v>742</v>
      </c>
      <c r="N39" s="117" t="s">
        <v>743</v>
      </c>
      <c r="O39" s="117" t="s">
        <v>744</v>
      </c>
      <c r="P39" s="117" t="s">
        <v>739</v>
      </c>
      <c r="Q39" s="114">
        <v>0</v>
      </c>
      <c r="R39" s="114">
        <v>0</v>
      </c>
      <c r="S39" s="114">
        <v>0</v>
      </c>
      <c r="T39" s="114">
        <v>0</v>
      </c>
      <c r="U39" s="114">
        <f t="shared" ref="U39:U70" si="1">+H39-Q39-R39-S39-T39</f>
        <v>582248.80000000005</v>
      </c>
      <c r="V39" s="118" t="s">
        <v>819</v>
      </c>
      <c r="W39" s="111">
        <v>45534</v>
      </c>
    </row>
    <row r="40" spans="1:23" s="115" customFormat="1" x14ac:dyDescent="0.2">
      <c r="A40" s="115">
        <v>44475</v>
      </c>
      <c r="B40" s="115">
        <v>1</v>
      </c>
      <c r="C40" s="115">
        <v>9235582</v>
      </c>
      <c r="D40" s="111">
        <v>45453</v>
      </c>
      <c r="E40" s="111">
        <v>45534</v>
      </c>
      <c r="F40" s="112">
        <v>1179921.3999999999</v>
      </c>
      <c r="G40" s="116">
        <v>31459</v>
      </c>
      <c r="H40" s="112">
        <v>1179921.3999999999</v>
      </c>
      <c r="I40" s="117" t="s">
        <v>755</v>
      </c>
      <c r="J40" s="117" t="s">
        <v>756</v>
      </c>
      <c r="K40" s="117" t="s">
        <v>755</v>
      </c>
      <c r="L40" s="117" t="s">
        <v>728</v>
      </c>
      <c r="M40" s="117" t="s">
        <v>729</v>
      </c>
      <c r="N40" s="117" t="s">
        <v>730</v>
      </c>
      <c r="O40" s="117" t="s">
        <v>731</v>
      </c>
      <c r="P40" s="117" t="s">
        <v>755</v>
      </c>
      <c r="Q40" s="114">
        <v>0</v>
      </c>
      <c r="R40" s="114">
        <v>0</v>
      </c>
      <c r="S40" s="114">
        <v>0</v>
      </c>
      <c r="T40" s="114">
        <v>0</v>
      </c>
      <c r="U40" s="114">
        <f t="shared" si="1"/>
        <v>1179921.3999999999</v>
      </c>
      <c r="V40" s="118" t="s">
        <v>819</v>
      </c>
      <c r="W40" s="111">
        <v>45534</v>
      </c>
    </row>
    <row r="41" spans="1:23" s="115" customFormat="1" x14ac:dyDescent="0.2">
      <c r="A41" s="115">
        <v>45118</v>
      </c>
      <c r="B41" s="115">
        <v>1</v>
      </c>
      <c r="C41" s="115">
        <v>9235914</v>
      </c>
      <c r="D41" s="111">
        <v>45497</v>
      </c>
      <c r="E41" s="111">
        <v>45534</v>
      </c>
      <c r="F41" s="112">
        <v>1188590.95</v>
      </c>
      <c r="G41" s="116">
        <v>31592</v>
      </c>
      <c r="H41" s="112">
        <v>1188590.95</v>
      </c>
      <c r="I41" s="117" t="s">
        <v>628</v>
      </c>
      <c r="J41" s="117" t="s">
        <v>629</v>
      </c>
      <c r="K41" s="117" t="s">
        <v>628</v>
      </c>
      <c r="L41" s="117" t="s">
        <v>630</v>
      </c>
      <c r="M41" s="117" t="s">
        <v>631</v>
      </c>
      <c r="N41" s="117" t="s">
        <v>632</v>
      </c>
      <c r="O41" s="117" t="s">
        <v>633</v>
      </c>
      <c r="P41" s="117" t="s">
        <v>628</v>
      </c>
      <c r="Q41" s="114">
        <v>0</v>
      </c>
      <c r="R41" s="114">
        <v>0</v>
      </c>
      <c r="S41" s="114">
        <v>0</v>
      </c>
      <c r="T41" s="114">
        <v>0</v>
      </c>
      <c r="U41" s="114">
        <f t="shared" si="1"/>
        <v>1188590.95</v>
      </c>
      <c r="V41" s="118" t="s">
        <v>819</v>
      </c>
      <c r="W41" s="111">
        <v>45534</v>
      </c>
    </row>
    <row r="42" spans="1:23" s="115" customFormat="1" x14ac:dyDescent="0.2">
      <c r="A42" s="115">
        <v>45311</v>
      </c>
      <c r="B42" s="115">
        <v>1</v>
      </c>
      <c r="C42" s="115">
        <v>9236030</v>
      </c>
      <c r="D42" s="111">
        <v>45505</v>
      </c>
      <c r="E42" s="111">
        <v>45534</v>
      </c>
      <c r="F42" s="112">
        <v>2225363</v>
      </c>
      <c r="G42" s="116">
        <v>31611</v>
      </c>
      <c r="H42" s="112">
        <v>2225363</v>
      </c>
      <c r="I42" s="117" t="s">
        <v>689</v>
      </c>
      <c r="J42" s="117" t="s">
        <v>690</v>
      </c>
      <c r="K42" s="117" t="s">
        <v>689</v>
      </c>
      <c r="L42" s="117" t="s">
        <v>691</v>
      </c>
      <c r="M42" s="117" t="s">
        <v>692</v>
      </c>
      <c r="N42" s="117" t="s">
        <v>693</v>
      </c>
      <c r="O42" s="117" t="s">
        <v>694</v>
      </c>
      <c r="P42" s="117" t="s">
        <v>689</v>
      </c>
      <c r="Q42" s="114">
        <v>0</v>
      </c>
      <c r="R42" s="114">
        <v>0</v>
      </c>
      <c r="S42" s="114">
        <v>0</v>
      </c>
      <c r="T42" s="114">
        <v>0</v>
      </c>
      <c r="U42" s="114">
        <f t="shared" si="1"/>
        <v>2225363</v>
      </c>
      <c r="V42" s="118" t="s">
        <v>819</v>
      </c>
      <c r="W42" s="111">
        <v>45534</v>
      </c>
    </row>
    <row r="43" spans="1:23" s="115" customFormat="1" x14ac:dyDescent="0.2">
      <c r="A43" s="115">
        <v>43897</v>
      </c>
      <c r="B43" s="115">
        <v>1</v>
      </c>
      <c r="C43" s="115">
        <v>9235261</v>
      </c>
      <c r="D43" s="111">
        <v>45420</v>
      </c>
      <c r="E43" s="111">
        <v>45534</v>
      </c>
      <c r="F43" s="112">
        <v>4415322.62</v>
      </c>
      <c r="G43" s="116">
        <v>31371</v>
      </c>
      <c r="H43" s="112">
        <v>4415322.62</v>
      </c>
      <c r="I43" s="117" t="s">
        <v>732</v>
      </c>
      <c r="J43" s="117" t="s">
        <v>733</v>
      </c>
      <c r="K43" s="117" t="s">
        <v>732</v>
      </c>
      <c r="L43" s="117" t="s">
        <v>728</v>
      </c>
      <c r="M43" s="117" t="s">
        <v>729</v>
      </c>
      <c r="N43" s="117" t="s">
        <v>650</v>
      </c>
      <c r="O43" s="117" t="s">
        <v>734</v>
      </c>
      <c r="P43" s="117" t="s">
        <v>732</v>
      </c>
      <c r="Q43" s="114">
        <v>0</v>
      </c>
      <c r="R43" s="114">
        <v>0</v>
      </c>
      <c r="S43" s="114">
        <v>0</v>
      </c>
      <c r="T43" s="114">
        <v>0</v>
      </c>
      <c r="U43" s="114">
        <f t="shared" si="1"/>
        <v>4415322.62</v>
      </c>
      <c r="V43" s="118" t="s">
        <v>819</v>
      </c>
      <c r="W43" s="111">
        <v>45534</v>
      </c>
    </row>
    <row r="44" spans="1:23" s="115" customFormat="1" x14ac:dyDescent="0.2">
      <c r="A44" s="115">
        <v>44932</v>
      </c>
      <c r="B44" s="115">
        <v>1</v>
      </c>
      <c r="C44" s="115">
        <v>9235814</v>
      </c>
      <c r="D44" s="111">
        <v>45488</v>
      </c>
      <c r="E44" s="111">
        <v>45534</v>
      </c>
      <c r="F44" s="112">
        <v>4805101</v>
      </c>
      <c r="G44" s="116">
        <v>31545</v>
      </c>
      <c r="H44" s="112">
        <v>4805101</v>
      </c>
      <c r="I44" s="117" t="s">
        <v>715</v>
      </c>
      <c r="J44" s="117" t="s">
        <v>716</v>
      </c>
      <c r="K44" s="117" t="s">
        <v>715</v>
      </c>
      <c r="L44" s="117" t="s">
        <v>717</v>
      </c>
      <c r="M44" s="117" t="s">
        <v>718</v>
      </c>
      <c r="N44" s="117" t="s">
        <v>719</v>
      </c>
      <c r="O44" s="117" t="s">
        <v>718</v>
      </c>
      <c r="P44" s="117" t="s">
        <v>715</v>
      </c>
      <c r="Q44" s="114">
        <v>0</v>
      </c>
      <c r="R44" s="114">
        <v>0</v>
      </c>
      <c r="S44" s="114">
        <v>0</v>
      </c>
      <c r="T44" s="114">
        <v>0</v>
      </c>
      <c r="U44" s="114">
        <f t="shared" si="1"/>
        <v>4805101</v>
      </c>
      <c r="V44" s="118" t="s">
        <v>819</v>
      </c>
      <c r="W44" s="111">
        <v>45534</v>
      </c>
    </row>
    <row r="45" spans="1:23" s="115" customFormat="1" x14ac:dyDescent="0.2">
      <c r="A45" s="115">
        <v>44088</v>
      </c>
      <c r="B45" s="115">
        <v>1</v>
      </c>
      <c r="C45" s="115">
        <v>9235388</v>
      </c>
      <c r="D45" s="111">
        <v>45439</v>
      </c>
      <c r="E45" s="111">
        <v>45534</v>
      </c>
      <c r="F45" s="112">
        <v>5000000</v>
      </c>
      <c r="G45" s="116">
        <v>31433</v>
      </c>
      <c r="H45" s="112">
        <v>5000000</v>
      </c>
      <c r="I45" s="117" t="s">
        <v>732</v>
      </c>
      <c r="J45" s="117" t="s">
        <v>733</v>
      </c>
      <c r="K45" s="117" t="s">
        <v>732</v>
      </c>
      <c r="L45" s="117" t="s">
        <v>728</v>
      </c>
      <c r="M45" s="117" t="s">
        <v>729</v>
      </c>
      <c r="N45" s="117" t="s">
        <v>650</v>
      </c>
      <c r="O45" s="117" t="s">
        <v>734</v>
      </c>
      <c r="P45" s="117" t="s">
        <v>732</v>
      </c>
      <c r="Q45" s="114">
        <v>0</v>
      </c>
      <c r="R45" s="114">
        <v>0</v>
      </c>
      <c r="S45" s="114">
        <v>0</v>
      </c>
      <c r="T45" s="114">
        <v>0</v>
      </c>
      <c r="U45" s="114">
        <f t="shared" si="1"/>
        <v>5000000</v>
      </c>
      <c r="V45" s="118" t="s">
        <v>819</v>
      </c>
      <c r="W45" s="111">
        <v>45534</v>
      </c>
    </row>
    <row r="46" spans="1:23" s="115" customFormat="1" x14ac:dyDescent="0.2">
      <c r="A46" s="115">
        <v>45290</v>
      </c>
      <c r="B46" s="115">
        <v>1</v>
      </c>
      <c r="C46" s="115">
        <v>9236018</v>
      </c>
      <c r="D46" s="111">
        <v>45502</v>
      </c>
      <c r="E46" s="111">
        <v>45534</v>
      </c>
      <c r="F46" s="112">
        <v>11864837.869999999</v>
      </c>
      <c r="G46" s="116">
        <v>31598</v>
      </c>
      <c r="H46" s="112">
        <v>11864837.869999999</v>
      </c>
      <c r="I46" s="117" t="s">
        <v>763</v>
      </c>
      <c r="J46" s="117" t="s">
        <v>764</v>
      </c>
      <c r="K46" s="117" t="s">
        <v>763</v>
      </c>
      <c r="L46" s="117" t="s">
        <v>765</v>
      </c>
      <c r="M46" s="117" t="s">
        <v>766</v>
      </c>
      <c r="N46" s="117" t="s">
        <v>767</v>
      </c>
      <c r="O46" s="117" t="s">
        <v>766</v>
      </c>
      <c r="P46" s="117" t="s">
        <v>763</v>
      </c>
      <c r="Q46" s="114">
        <v>0</v>
      </c>
      <c r="R46" s="114">
        <v>0</v>
      </c>
      <c r="S46" s="114">
        <v>0</v>
      </c>
      <c r="T46" s="114">
        <v>0</v>
      </c>
      <c r="U46" s="114">
        <f t="shared" si="1"/>
        <v>11864837.869999999</v>
      </c>
      <c r="V46" s="118" t="s">
        <v>819</v>
      </c>
      <c r="W46" s="111">
        <v>45534</v>
      </c>
    </row>
    <row r="47" spans="1:23" s="115" customFormat="1" x14ac:dyDescent="0.2">
      <c r="A47" s="115">
        <v>45327</v>
      </c>
      <c r="B47" s="115">
        <v>1</v>
      </c>
      <c r="C47" s="115">
        <v>9236034</v>
      </c>
      <c r="D47" s="111">
        <v>45512</v>
      </c>
      <c r="E47" s="111">
        <v>45535</v>
      </c>
      <c r="F47" s="112">
        <v>31615.54</v>
      </c>
      <c r="G47" s="116">
        <v>31615</v>
      </c>
      <c r="H47" s="112">
        <v>31615.54</v>
      </c>
      <c r="I47" s="117" t="s">
        <v>830</v>
      </c>
      <c r="J47" s="117" t="s">
        <v>831</v>
      </c>
      <c r="K47" s="117" t="s">
        <v>830</v>
      </c>
      <c r="L47" s="117" t="s">
        <v>785</v>
      </c>
      <c r="M47" s="117" t="s">
        <v>786</v>
      </c>
      <c r="N47" s="117" t="s">
        <v>743</v>
      </c>
      <c r="O47" s="117" t="s">
        <v>744</v>
      </c>
      <c r="P47" s="117" t="s">
        <v>830</v>
      </c>
      <c r="Q47" s="114">
        <v>0</v>
      </c>
      <c r="R47" s="114">
        <v>0</v>
      </c>
      <c r="S47" s="114">
        <v>0</v>
      </c>
      <c r="T47" s="114">
        <v>0</v>
      </c>
      <c r="U47" s="114">
        <f t="shared" si="1"/>
        <v>31615.54</v>
      </c>
      <c r="V47" s="118" t="s">
        <v>819</v>
      </c>
      <c r="W47" s="111">
        <v>45535</v>
      </c>
    </row>
    <row r="48" spans="1:23" s="115" customFormat="1" x14ac:dyDescent="0.2">
      <c r="A48" s="115">
        <v>45596</v>
      </c>
      <c r="B48" s="115">
        <v>1</v>
      </c>
      <c r="C48" s="115">
        <v>9236167</v>
      </c>
      <c r="D48" s="111">
        <v>45526</v>
      </c>
      <c r="E48" s="111">
        <v>45535</v>
      </c>
      <c r="F48" s="112">
        <v>104853.12</v>
      </c>
      <c r="G48" s="116">
        <v>31681</v>
      </c>
      <c r="H48" s="112">
        <v>104853.12</v>
      </c>
      <c r="I48" s="117" t="s">
        <v>787</v>
      </c>
      <c r="J48" s="117" t="s">
        <v>788</v>
      </c>
      <c r="K48" s="117" t="s">
        <v>787</v>
      </c>
      <c r="L48" s="117" t="s">
        <v>789</v>
      </c>
      <c r="M48" s="117" t="s">
        <v>790</v>
      </c>
      <c r="N48" s="117" t="s">
        <v>681</v>
      </c>
      <c r="O48" s="117" t="s">
        <v>682</v>
      </c>
      <c r="P48" s="117" t="s">
        <v>787</v>
      </c>
      <c r="Q48" s="114">
        <v>0</v>
      </c>
      <c r="R48" s="114">
        <v>0</v>
      </c>
      <c r="S48" s="114">
        <v>0</v>
      </c>
      <c r="T48" s="114">
        <v>0</v>
      </c>
      <c r="U48" s="114">
        <f t="shared" si="1"/>
        <v>104853.12</v>
      </c>
      <c r="V48" s="118" t="s">
        <v>819</v>
      </c>
      <c r="W48" s="111">
        <v>45535</v>
      </c>
    </row>
    <row r="49" spans="1:23" s="115" customFormat="1" x14ac:dyDescent="0.2">
      <c r="A49" s="115">
        <v>44669</v>
      </c>
      <c r="B49" s="115">
        <v>1</v>
      </c>
      <c r="C49" s="115">
        <v>9235668</v>
      </c>
      <c r="D49" s="111">
        <v>45469</v>
      </c>
      <c r="E49" s="111">
        <v>45535</v>
      </c>
      <c r="F49" s="112">
        <v>205153</v>
      </c>
      <c r="G49" s="116">
        <v>31499</v>
      </c>
      <c r="H49" s="112">
        <v>205153</v>
      </c>
      <c r="I49" s="117" t="s">
        <v>749</v>
      </c>
      <c r="J49" s="117" t="s">
        <v>750</v>
      </c>
      <c r="K49" s="117" t="s">
        <v>749</v>
      </c>
      <c r="L49" s="117" t="s">
        <v>636</v>
      </c>
      <c r="M49" s="117" t="s">
        <v>637</v>
      </c>
      <c r="N49" s="117" t="s">
        <v>638</v>
      </c>
      <c r="O49" s="117" t="s">
        <v>639</v>
      </c>
      <c r="P49" s="117" t="s">
        <v>749</v>
      </c>
      <c r="Q49" s="114">
        <v>0</v>
      </c>
      <c r="R49" s="114">
        <v>0</v>
      </c>
      <c r="S49" s="114">
        <v>0</v>
      </c>
      <c r="T49" s="114">
        <v>0</v>
      </c>
      <c r="U49" s="114">
        <f t="shared" si="1"/>
        <v>205153</v>
      </c>
      <c r="V49" s="118" t="s">
        <v>819</v>
      </c>
      <c r="W49" s="111">
        <v>45535</v>
      </c>
    </row>
    <row r="50" spans="1:23" s="115" customFormat="1" x14ac:dyDescent="0.2">
      <c r="A50" s="115">
        <v>44668</v>
      </c>
      <c r="B50" s="115">
        <v>1</v>
      </c>
      <c r="C50" s="115">
        <v>9235667</v>
      </c>
      <c r="D50" s="111">
        <v>45469</v>
      </c>
      <c r="E50" s="111">
        <v>45535</v>
      </c>
      <c r="F50" s="112">
        <v>758000</v>
      </c>
      <c r="G50" s="116">
        <v>31498</v>
      </c>
      <c r="H50" s="112">
        <v>758000</v>
      </c>
      <c r="I50" s="117" t="s">
        <v>720</v>
      </c>
      <c r="J50" s="117" t="s">
        <v>721</v>
      </c>
      <c r="K50" s="117" t="s">
        <v>720</v>
      </c>
      <c r="L50" s="117" t="s">
        <v>722</v>
      </c>
      <c r="M50" s="117" t="s">
        <v>723</v>
      </c>
      <c r="N50" s="117" t="s">
        <v>724</v>
      </c>
      <c r="O50" s="117" t="s">
        <v>725</v>
      </c>
      <c r="P50" s="117" t="s">
        <v>720</v>
      </c>
      <c r="Q50" s="114">
        <v>0</v>
      </c>
      <c r="R50" s="114">
        <v>0</v>
      </c>
      <c r="S50" s="114">
        <v>0</v>
      </c>
      <c r="T50" s="114">
        <v>0</v>
      </c>
      <c r="U50" s="114">
        <f t="shared" si="1"/>
        <v>758000</v>
      </c>
      <c r="V50" s="118" t="s">
        <v>819</v>
      </c>
      <c r="W50" s="111">
        <v>45535</v>
      </c>
    </row>
    <row r="51" spans="1:23" s="115" customFormat="1" x14ac:dyDescent="0.2">
      <c r="A51" s="115">
        <v>45599</v>
      </c>
      <c r="B51" s="115">
        <v>1</v>
      </c>
      <c r="C51" s="115">
        <v>9236170</v>
      </c>
      <c r="D51" s="111">
        <v>45526</v>
      </c>
      <c r="E51" s="111">
        <v>45541</v>
      </c>
      <c r="F51" s="112">
        <v>25311.02</v>
      </c>
      <c r="G51" s="116">
        <v>31684</v>
      </c>
      <c r="H51" s="112">
        <v>25311.02</v>
      </c>
      <c r="I51" s="117" t="s">
        <v>830</v>
      </c>
      <c r="J51" s="117" t="s">
        <v>831</v>
      </c>
      <c r="K51" s="117" t="s">
        <v>830</v>
      </c>
      <c r="L51" s="117" t="s">
        <v>785</v>
      </c>
      <c r="M51" s="117" t="s">
        <v>786</v>
      </c>
      <c r="N51" s="117" t="s">
        <v>743</v>
      </c>
      <c r="O51" s="117" t="s">
        <v>744</v>
      </c>
      <c r="P51" s="117" t="s">
        <v>830</v>
      </c>
      <c r="Q51" s="114">
        <v>0</v>
      </c>
      <c r="R51" s="114">
        <v>0</v>
      </c>
      <c r="S51" s="114">
        <v>0</v>
      </c>
      <c r="T51" s="114">
        <v>0</v>
      </c>
      <c r="U51" s="114">
        <f t="shared" si="1"/>
        <v>25311.02</v>
      </c>
      <c r="V51" s="118" t="s">
        <v>819</v>
      </c>
      <c r="W51" s="111">
        <v>45541</v>
      </c>
    </row>
    <row r="52" spans="1:23" s="115" customFormat="1" x14ac:dyDescent="0.2">
      <c r="A52" s="115">
        <v>45564</v>
      </c>
      <c r="B52" s="115">
        <v>1</v>
      </c>
      <c r="C52" s="115">
        <v>9236149</v>
      </c>
      <c r="D52" s="111">
        <v>45525</v>
      </c>
      <c r="E52" s="111">
        <v>45560</v>
      </c>
      <c r="F52" s="112">
        <v>234000</v>
      </c>
      <c r="G52" s="116">
        <v>31660</v>
      </c>
      <c r="H52" s="112">
        <v>234000</v>
      </c>
      <c r="I52" s="117" t="s">
        <v>826</v>
      </c>
      <c r="J52" s="117" t="s">
        <v>827</v>
      </c>
      <c r="K52" s="117" t="s">
        <v>826</v>
      </c>
      <c r="L52" s="117" t="s">
        <v>636</v>
      </c>
      <c r="M52" s="117" t="s">
        <v>637</v>
      </c>
      <c r="N52" s="117" t="s">
        <v>644</v>
      </c>
      <c r="O52" s="117" t="s">
        <v>645</v>
      </c>
      <c r="P52" s="117" t="s">
        <v>826</v>
      </c>
      <c r="Q52" s="114">
        <v>0</v>
      </c>
      <c r="R52" s="114">
        <v>0</v>
      </c>
      <c r="S52" s="114">
        <v>0</v>
      </c>
      <c r="T52" s="114">
        <v>0</v>
      </c>
      <c r="U52" s="114">
        <f t="shared" si="1"/>
        <v>234000</v>
      </c>
      <c r="V52" s="118" t="s">
        <v>819</v>
      </c>
      <c r="W52" s="111">
        <v>45560</v>
      </c>
    </row>
    <row r="53" spans="1:23" s="115" customFormat="1" x14ac:dyDescent="0.2">
      <c r="A53" s="115">
        <v>45107</v>
      </c>
      <c r="B53" s="115">
        <v>1</v>
      </c>
      <c r="C53" s="115">
        <v>9235905</v>
      </c>
      <c r="D53" s="111">
        <v>45497</v>
      </c>
      <c r="E53" s="111">
        <v>45560</v>
      </c>
      <c r="F53" s="112">
        <v>400249.33</v>
      </c>
      <c r="G53" s="116">
        <v>31581</v>
      </c>
      <c r="H53" s="112">
        <v>400249.33</v>
      </c>
      <c r="I53" s="117" t="s">
        <v>648</v>
      </c>
      <c r="J53" s="117" t="s">
        <v>649</v>
      </c>
      <c r="K53" s="117" t="s">
        <v>648</v>
      </c>
      <c r="L53" s="117" t="s">
        <v>630</v>
      </c>
      <c r="M53" s="117" t="s">
        <v>631</v>
      </c>
      <c r="N53" s="117" t="s">
        <v>632</v>
      </c>
      <c r="O53" s="117" t="s">
        <v>633</v>
      </c>
      <c r="P53" s="117" t="s">
        <v>648</v>
      </c>
      <c r="Q53" s="114">
        <v>0</v>
      </c>
      <c r="R53" s="114">
        <v>0</v>
      </c>
      <c r="S53" s="114">
        <v>0</v>
      </c>
      <c r="T53" s="114">
        <v>0</v>
      </c>
      <c r="U53" s="114">
        <f t="shared" si="1"/>
        <v>400249.33</v>
      </c>
      <c r="V53" s="118" t="s">
        <v>819</v>
      </c>
      <c r="W53" s="111">
        <v>45560</v>
      </c>
    </row>
    <row r="54" spans="1:23" s="115" customFormat="1" x14ac:dyDescent="0.2">
      <c r="A54" s="115">
        <v>45574</v>
      </c>
      <c r="B54" s="115">
        <v>1</v>
      </c>
      <c r="C54" s="115">
        <v>9236157</v>
      </c>
      <c r="D54" s="111">
        <v>45526</v>
      </c>
      <c r="E54" s="111">
        <v>45561</v>
      </c>
      <c r="F54" s="112">
        <v>431150.94</v>
      </c>
      <c r="G54" s="116">
        <v>31670</v>
      </c>
      <c r="H54" s="112">
        <v>431150.94</v>
      </c>
      <c r="I54" s="117" t="s">
        <v>708</v>
      </c>
      <c r="J54" s="117" t="s">
        <v>709</v>
      </c>
      <c r="K54" s="117" t="s">
        <v>708</v>
      </c>
      <c r="L54" s="117" t="s">
        <v>630</v>
      </c>
      <c r="M54" s="117" t="s">
        <v>631</v>
      </c>
      <c r="N54" s="117" t="s">
        <v>632</v>
      </c>
      <c r="O54" s="117" t="s">
        <v>633</v>
      </c>
      <c r="P54" s="117" t="s">
        <v>708</v>
      </c>
      <c r="Q54" s="114">
        <v>0</v>
      </c>
      <c r="R54" s="114">
        <v>0</v>
      </c>
      <c r="S54" s="114">
        <v>0</v>
      </c>
      <c r="T54" s="114">
        <v>0</v>
      </c>
      <c r="U54" s="114">
        <f t="shared" si="1"/>
        <v>431150.94</v>
      </c>
      <c r="V54" s="118" t="s">
        <v>819</v>
      </c>
      <c r="W54" s="111">
        <v>45561</v>
      </c>
    </row>
    <row r="55" spans="1:23" s="115" customFormat="1" x14ac:dyDescent="0.2">
      <c r="A55" s="115">
        <v>44047</v>
      </c>
      <c r="B55" s="115">
        <v>1</v>
      </c>
      <c r="C55" s="115">
        <v>9235359</v>
      </c>
      <c r="D55" s="111">
        <v>45436</v>
      </c>
      <c r="E55" s="111">
        <v>45561</v>
      </c>
      <c r="F55" s="112">
        <v>879777.2</v>
      </c>
      <c r="G55" s="116">
        <v>31404</v>
      </c>
      <c r="H55" s="112">
        <v>879777.2</v>
      </c>
      <c r="I55" s="117" t="s">
        <v>735</v>
      </c>
      <c r="J55" s="117" t="s">
        <v>736</v>
      </c>
      <c r="K55" s="117" t="s">
        <v>735</v>
      </c>
      <c r="L55" s="117" t="s">
        <v>660</v>
      </c>
      <c r="M55" s="117" t="s">
        <v>661</v>
      </c>
      <c r="N55" s="117" t="s">
        <v>662</v>
      </c>
      <c r="O55" s="117" t="s">
        <v>661</v>
      </c>
      <c r="P55" s="117" t="s">
        <v>735</v>
      </c>
      <c r="Q55" s="114">
        <v>0</v>
      </c>
      <c r="R55" s="114">
        <v>0</v>
      </c>
      <c r="S55" s="114">
        <v>0</v>
      </c>
      <c r="T55" s="114">
        <v>0</v>
      </c>
      <c r="U55" s="114">
        <f t="shared" si="1"/>
        <v>879777.2</v>
      </c>
      <c r="V55" s="118" t="s">
        <v>819</v>
      </c>
      <c r="W55" s="111">
        <v>45561</v>
      </c>
    </row>
    <row r="56" spans="1:23" s="115" customFormat="1" x14ac:dyDescent="0.2">
      <c r="A56" s="115">
        <v>44039</v>
      </c>
      <c r="B56" s="115">
        <v>1</v>
      </c>
      <c r="C56" s="115">
        <v>9235353</v>
      </c>
      <c r="D56" s="111">
        <v>45436</v>
      </c>
      <c r="E56" s="111">
        <v>45561</v>
      </c>
      <c r="F56" s="112">
        <v>3211850</v>
      </c>
      <c r="G56" s="116">
        <v>31396</v>
      </c>
      <c r="H56" s="112">
        <v>3211850</v>
      </c>
      <c r="I56" s="117" t="s">
        <v>759</v>
      </c>
      <c r="J56" s="117" t="s">
        <v>760</v>
      </c>
      <c r="K56" s="117" t="s">
        <v>759</v>
      </c>
      <c r="L56" s="117" t="s">
        <v>728</v>
      </c>
      <c r="M56" s="117" t="s">
        <v>729</v>
      </c>
      <c r="N56" s="117" t="s">
        <v>730</v>
      </c>
      <c r="O56" s="117" t="s">
        <v>731</v>
      </c>
      <c r="P56" s="117" t="s">
        <v>759</v>
      </c>
      <c r="Q56" s="114">
        <v>0</v>
      </c>
      <c r="R56" s="114">
        <v>0</v>
      </c>
      <c r="S56" s="114">
        <v>0</v>
      </c>
      <c r="T56" s="114">
        <v>0</v>
      </c>
      <c r="U56" s="114">
        <f t="shared" si="1"/>
        <v>3211850</v>
      </c>
      <c r="V56" s="118" t="s">
        <v>819</v>
      </c>
      <c r="W56" s="111">
        <v>45561</v>
      </c>
    </row>
    <row r="57" spans="1:23" s="115" customFormat="1" x14ac:dyDescent="0.2">
      <c r="A57" s="115">
        <v>44051</v>
      </c>
      <c r="B57" s="115">
        <v>1</v>
      </c>
      <c r="C57" s="115">
        <v>9235362</v>
      </c>
      <c r="D57" s="111">
        <v>45436</v>
      </c>
      <c r="E57" s="111">
        <v>45561</v>
      </c>
      <c r="F57" s="112">
        <v>4000000</v>
      </c>
      <c r="G57" s="116">
        <v>31407</v>
      </c>
      <c r="H57" s="112">
        <v>4000000</v>
      </c>
      <c r="I57" s="117" t="s">
        <v>732</v>
      </c>
      <c r="J57" s="117" t="s">
        <v>733</v>
      </c>
      <c r="K57" s="117" t="s">
        <v>732</v>
      </c>
      <c r="L57" s="117" t="s">
        <v>728</v>
      </c>
      <c r="M57" s="117" t="s">
        <v>729</v>
      </c>
      <c r="N57" s="117" t="s">
        <v>650</v>
      </c>
      <c r="O57" s="117" t="s">
        <v>734</v>
      </c>
      <c r="P57" s="117" t="s">
        <v>732</v>
      </c>
      <c r="Q57" s="114">
        <v>0</v>
      </c>
      <c r="R57" s="114">
        <v>0</v>
      </c>
      <c r="S57" s="114">
        <v>0</v>
      </c>
      <c r="T57" s="114">
        <v>0</v>
      </c>
      <c r="U57" s="114">
        <f t="shared" si="1"/>
        <v>4000000</v>
      </c>
      <c r="V57" s="118" t="s">
        <v>819</v>
      </c>
      <c r="W57" s="111">
        <v>45561</v>
      </c>
    </row>
    <row r="58" spans="1:23" s="115" customFormat="1" x14ac:dyDescent="0.2">
      <c r="A58" s="115">
        <v>44042</v>
      </c>
      <c r="B58" s="115">
        <v>1</v>
      </c>
      <c r="C58" s="115">
        <v>9235355</v>
      </c>
      <c r="D58" s="111">
        <v>45436</v>
      </c>
      <c r="E58" s="111">
        <v>45561</v>
      </c>
      <c r="F58" s="112">
        <v>7315732.3799999999</v>
      </c>
      <c r="G58" s="116">
        <v>31399</v>
      </c>
      <c r="H58" s="112">
        <v>7315732.3799999999</v>
      </c>
      <c r="I58" s="117" t="s">
        <v>772</v>
      </c>
      <c r="J58" s="117" t="s">
        <v>773</v>
      </c>
      <c r="K58" s="117" t="s">
        <v>772</v>
      </c>
      <c r="L58" s="117" t="s">
        <v>660</v>
      </c>
      <c r="M58" s="117" t="s">
        <v>661</v>
      </c>
      <c r="N58" s="117" t="s">
        <v>662</v>
      </c>
      <c r="O58" s="117" t="s">
        <v>661</v>
      </c>
      <c r="P58" s="117" t="s">
        <v>772</v>
      </c>
      <c r="Q58" s="114">
        <v>0</v>
      </c>
      <c r="R58" s="114">
        <v>0</v>
      </c>
      <c r="S58" s="114">
        <v>0</v>
      </c>
      <c r="T58" s="114">
        <v>0</v>
      </c>
      <c r="U58" s="114">
        <f t="shared" si="1"/>
        <v>7315732.3799999999</v>
      </c>
      <c r="V58" s="118" t="s">
        <v>819</v>
      </c>
      <c r="W58" s="111">
        <v>45561</v>
      </c>
    </row>
    <row r="59" spans="1:23" s="115" customFormat="1" x14ac:dyDescent="0.2">
      <c r="A59" s="115">
        <v>44667</v>
      </c>
      <c r="B59" s="115">
        <v>1</v>
      </c>
      <c r="C59" s="115">
        <v>9235666</v>
      </c>
      <c r="D59" s="111">
        <v>45469</v>
      </c>
      <c r="E59" s="111">
        <v>45562</v>
      </c>
      <c r="F59" s="112">
        <v>116193.01</v>
      </c>
      <c r="G59" s="116">
        <v>31497</v>
      </c>
      <c r="H59" s="112">
        <v>116193.01</v>
      </c>
      <c r="I59" s="117" t="s">
        <v>634</v>
      </c>
      <c r="J59" s="117" t="s">
        <v>635</v>
      </c>
      <c r="K59" s="117" t="s">
        <v>634</v>
      </c>
      <c r="L59" s="117" t="s">
        <v>636</v>
      </c>
      <c r="M59" s="117" t="s">
        <v>637</v>
      </c>
      <c r="N59" s="117" t="s">
        <v>638</v>
      </c>
      <c r="O59" s="117" t="s">
        <v>639</v>
      </c>
      <c r="P59" s="117" t="s">
        <v>634</v>
      </c>
      <c r="Q59" s="114">
        <v>0</v>
      </c>
      <c r="R59" s="114">
        <v>0</v>
      </c>
      <c r="S59" s="114">
        <v>0</v>
      </c>
      <c r="T59" s="114">
        <v>0</v>
      </c>
      <c r="U59" s="114">
        <f t="shared" si="1"/>
        <v>116193.01</v>
      </c>
      <c r="V59" s="118" t="s">
        <v>819</v>
      </c>
      <c r="W59" s="111">
        <v>45562</v>
      </c>
    </row>
    <row r="60" spans="1:23" s="115" customFormat="1" x14ac:dyDescent="0.2">
      <c r="A60" s="115">
        <v>45321</v>
      </c>
      <c r="B60" s="115">
        <v>1</v>
      </c>
      <c r="C60" s="115">
        <v>9236033</v>
      </c>
      <c r="D60" s="111">
        <v>45511</v>
      </c>
      <c r="E60" s="111">
        <v>45562</v>
      </c>
      <c r="F60" s="112">
        <v>126000</v>
      </c>
      <c r="G60" s="116">
        <v>31614</v>
      </c>
      <c r="H60" s="112">
        <v>126000</v>
      </c>
      <c r="I60" s="117" t="s">
        <v>813</v>
      </c>
      <c r="J60" s="117" t="s">
        <v>814</v>
      </c>
      <c r="K60" s="117" t="s">
        <v>813</v>
      </c>
      <c r="L60" s="117" t="s">
        <v>722</v>
      </c>
      <c r="M60" s="117" t="s">
        <v>723</v>
      </c>
      <c r="N60" s="117" t="s">
        <v>724</v>
      </c>
      <c r="O60" s="117" t="s">
        <v>725</v>
      </c>
      <c r="P60" s="117" t="s">
        <v>813</v>
      </c>
      <c r="Q60" s="114">
        <v>0</v>
      </c>
      <c r="R60" s="114">
        <v>0</v>
      </c>
      <c r="S60" s="114">
        <v>0</v>
      </c>
      <c r="T60" s="114">
        <v>0</v>
      </c>
      <c r="U60" s="114">
        <f t="shared" si="1"/>
        <v>126000</v>
      </c>
      <c r="V60" s="118" t="s">
        <v>819</v>
      </c>
      <c r="W60" s="111">
        <v>45562</v>
      </c>
    </row>
    <row r="61" spans="1:23" s="115" customFormat="1" x14ac:dyDescent="0.2">
      <c r="A61" s="115">
        <v>44944</v>
      </c>
      <c r="B61" s="115">
        <v>1</v>
      </c>
      <c r="C61" s="115">
        <v>9235821</v>
      </c>
      <c r="D61" s="111">
        <v>45489</v>
      </c>
      <c r="E61" s="111">
        <v>45562</v>
      </c>
      <c r="F61" s="112">
        <v>209520</v>
      </c>
      <c r="G61" s="116">
        <v>31551</v>
      </c>
      <c r="H61" s="112">
        <v>209520</v>
      </c>
      <c r="I61" s="117" t="s">
        <v>634</v>
      </c>
      <c r="J61" s="117" t="s">
        <v>635</v>
      </c>
      <c r="K61" s="117" t="s">
        <v>634</v>
      </c>
      <c r="L61" s="117" t="s">
        <v>636</v>
      </c>
      <c r="M61" s="117" t="s">
        <v>637</v>
      </c>
      <c r="N61" s="117" t="s">
        <v>638</v>
      </c>
      <c r="O61" s="117" t="s">
        <v>639</v>
      </c>
      <c r="P61" s="117" t="s">
        <v>634</v>
      </c>
      <c r="Q61" s="114">
        <v>0</v>
      </c>
      <c r="R61" s="114">
        <v>0</v>
      </c>
      <c r="S61" s="114">
        <v>0</v>
      </c>
      <c r="T61" s="114">
        <v>0</v>
      </c>
      <c r="U61" s="114">
        <f t="shared" si="1"/>
        <v>209520</v>
      </c>
      <c r="V61" s="118" t="s">
        <v>819</v>
      </c>
      <c r="W61" s="111">
        <v>45562</v>
      </c>
    </row>
    <row r="62" spans="1:23" s="115" customFormat="1" x14ac:dyDescent="0.2">
      <c r="A62" s="115">
        <v>44670</v>
      </c>
      <c r="B62" s="115">
        <v>1</v>
      </c>
      <c r="C62" s="115">
        <v>9235669</v>
      </c>
      <c r="D62" s="111">
        <v>45469</v>
      </c>
      <c r="E62" s="111">
        <v>45562</v>
      </c>
      <c r="F62" s="112">
        <v>228363.1</v>
      </c>
      <c r="G62" s="116">
        <v>31500</v>
      </c>
      <c r="H62" s="112">
        <v>228363.1</v>
      </c>
      <c r="I62" s="117" t="s">
        <v>654</v>
      </c>
      <c r="J62" s="117" t="s">
        <v>655</v>
      </c>
      <c r="K62" s="117" t="s">
        <v>654</v>
      </c>
      <c r="L62" s="117" t="s">
        <v>656</v>
      </c>
      <c r="M62" s="117" t="s">
        <v>657</v>
      </c>
      <c r="N62" s="117" t="s">
        <v>658</v>
      </c>
      <c r="O62" s="117" t="s">
        <v>659</v>
      </c>
      <c r="P62" s="117" t="s">
        <v>654</v>
      </c>
      <c r="Q62" s="114">
        <v>0</v>
      </c>
      <c r="R62" s="114">
        <v>0</v>
      </c>
      <c r="S62" s="114">
        <v>0</v>
      </c>
      <c r="T62" s="114">
        <v>0</v>
      </c>
      <c r="U62" s="114">
        <f t="shared" si="1"/>
        <v>228363.1</v>
      </c>
      <c r="V62" s="118" t="s">
        <v>819</v>
      </c>
      <c r="W62" s="111">
        <v>45562</v>
      </c>
    </row>
    <row r="63" spans="1:23" s="115" customFormat="1" x14ac:dyDescent="0.2">
      <c r="A63" s="115">
        <v>45106</v>
      </c>
      <c r="B63" s="115">
        <v>1</v>
      </c>
      <c r="C63" s="115">
        <v>9235904</v>
      </c>
      <c r="D63" s="111">
        <v>45497</v>
      </c>
      <c r="E63" s="111">
        <v>45562</v>
      </c>
      <c r="F63" s="112">
        <v>235749.6</v>
      </c>
      <c r="G63" s="116">
        <v>31580</v>
      </c>
      <c r="H63" s="112">
        <v>235749.6</v>
      </c>
      <c r="I63" s="117" t="s">
        <v>698</v>
      </c>
      <c r="J63" s="117" t="s">
        <v>699</v>
      </c>
      <c r="K63" s="117" t="s">
        <v>698</v>
      </c>
      <c r="L63" s="117" t="s">
        <v>700</v>
      </c>
      <c r="M63" s="117" t="s">
        <v>701</v>
      </c>
      <c r="N63" s="117" t="s">
        <v>702</v>
      </c>
      <c r="O63" s="117" t="s">
        <v>701</v>
      </c>
      <c r="P63" s="117" t="s">
        <v>698</v>
      </c>
      <c r="Q63" s="114">
        <v>0</v>
      </c>
      <c r="R63" s="114">
        <v>0</v>
      </c>
      <c r="S63" s="114">
        <v>0</v>
      </c>
      <c r="T63" s="114">
        <v>0</v>
      </c>
      <c r="U63" s="114">
        <f t="shared" si="1"/>
        <v>235749.6</v>
      </c>
      <c r="V63" s="118" t="s">
        <v>819</v>
      </c>
      <c r="W63" s="111">
        <v>45562</v>
      </c>
    </row>
    <row r="64" spans="1:23" s="115" customFormat="1" x14ac:dyDescent="0.2">
      <c r="A64" s="115">
        <v>45593</v>
      </c>
      <c r="B64" s="115">
        <v>1</v>
      </c>
      <c r="C64" s="115">
        <v>9236164</v>
      </c>
      <c r="D64" s="111">
        <v>45526</v>
      </c>
      <c r="E64" s="111">
        <v>45562</v>
      </c>
      <c r="F64" s="112">
        <v>349154.22</v>
      </c>
      <c r="G64" s="116">
        <v>31678</v>
      </c>
      <c r="H64" s="112">
        <v>349154.22</v>
      </c>
      <c r="I64" s="117" t="s">
        <v>703</v>
      </c>
      <c r="J64" s="117" t="s">
        <v>704</v>
      </c>
      <c r="K64" s="117" t="s">
        <v>703</v>
      </c>
      <c r="L64" s="117" t="s">
        <v>705</v>
      </c>
      <c r="M64" s="117" t="s">
        <v>706</v>
      </c>
      <c r="N64" s="117" t="s">
        <v>707</v>
      </c>
      <c r="O64" s="117" t="s">
        <v>706</v>
      </c>
      <c r="P64" s="117" t="s">
        <v>703</v>
      </c>
      <c r="Q64" s="114">
        <v>0</v>
      </c>
      <c r="R64" s="114">
        <v>0</v>
      </c>
      <c r="S64" s="114">
        <v>0</v>
      </c>
      <c r="T64" s="114">
        <v>0</v>
      </c>
      <c r="U64" s="114">
        <f t="shared" si="1"/>
        <v>349154.22</v>
      </c>
      <c r="V64" s="118" t="s">
        <v>819</v>
      </c>
      <c r="W64" s="111">
        <v>45562</v>
      </c>
    </row>
    <row r="65" spans="1:23" s="115" customFormat="1" x14ac:dyDescent="0.2">
      <c r="A65" s="115">
        <v>45570</v>
      </c>
      <c r="B65" s="115">
        <v>1</v>
      </c>
      <c r="C65" s="115">
        <v>9236154</v>
      </c>
      <c r="D65" s="111">
        <v>45526</v>
      </c>
      <c r="E65" s="111">
        <v>45562</v>
      </c>
      <c r="F65" s="112">
        <v>350200</v>
      </c>
      <c r="G65" s="116">
        <v>31666</v>
      </c>
      <c r="H65" s="112">
        <v>350200</v>
      </c>
      <c r="I65" s="117" t="s">
        <v>832</v>
      </c>
      <c r="J65" s="117" t="s">
        <v>833</v>
      </c>
      <c r="K65" s="117" t="s">
        <v>832</v>
      </c>
      <c r="L65" s="117" t="s">
        <v>665</v>
      </c>
      <c r="M65" s="117" t="s">
        <v>666</v>
      </c>
      <c r="N65" s="117" t="s">
        <v>658</v>
      </c>
      <c r="O65" s="117" t="s">
        <v>659</v>
      </c>
      <c r="P65" s="117" t="s">
        <v>832</v>
      </c>
      <c r="Q65" s="114">
        <v>0</v>
      </c>
      <c r="R65" s="114">
        <v>0</v>
      </c>
      <c r="S65" s="114">
        <v>0</v>
      </c>
      <c r="T65" s="114">
        <v>0</v>
      </c>
      <c r="U65" s="114">
        <f t="shared" si="1"/>
        <v>350200</v>
      </c>
      <c r="V65" s="118" t="s">
        <v>819</v>
      </c>
      <c r="W65" s="111">
        <v>45562</v>
      </c>
    </row>
    <row r="66" spans="1:23" s="115" customFormat="1" x14ac:dyDescent="0.2">
      <c r="A66" s="115">
        <v>45573</v>
      </c>
      <c r="B66" s="115">
        <v>1</v>
      </c>
      <c r="C66" s="115">
        <v>9236156</v>
      </c>
      <c r="D66" s="111">
        <v>45526</v>
      </c>
      <c r="E66" s="111">
        <v>45562</v>
      </c>
      <c r="F66" s="112">
        <v>611553.15</v>
      </c>
      <c r="G66" s="116">
        <v>31669</v>
      </c>
      <c r="H66" s="112">
        <v>611553.15</v>
      </c>
      <c r="I66" s="117" t="s">
        <v>628</v>
      </c>
      <c r="J66" s="117" t="s">
        <v>629</v>
      </c>
      <c r="K66" s="117" t="s">
        <v>628</v>
      </c>
      <c r="L66" s="117" t="s">
        <v>630</v>
      </c>
      <c r="M66" s="117" t="s">
        <v>631</v>
      </c>
      <c r="N66" s="117" t="s">
        <v>632</v>
      </c>
      <c r="O66" s="117" t="s">
        <v>633</v>
      </c>
      <c r="P66" s="117" t="s">
        <v>628</v>
      </c>
      <c r="Q66" s="114">
        <v>0</v>
      </c>
      <c r="R66" s="114">
        <v>0</v>
      </c>
      <c r="S66" s="114">
        <v>0</v>
      </c>
      <c r="T66" s="114">
        <v>0</v>
      </c>
      <c r="U66" s="114">
        <f t="shared" si="1"/>
        <v>611553.15</v>
      </c>
      <c r="V66" s="118" t="s">
        <v>819</v>
      </c>
      <c r="W66" s="111">
        <v>45562</v>
      </c>
    </row>
    <row r="67" spans="1:23" s="115" customFormat="1" x14ac:dyDescent="0.2">
      <c r="A67" s="115">
        <v>45101</v>
      </c>
      <c r="B67" s="115">
        <v>1</v>
      </c>
      <c r="C67" s="115">
        <v>9235899</v>
      </c>
      <c r="D67" s="111">
        <v>45497</v>
      </c>
      <c r="E67" s="111">
        <v>45562</v>
      </c>
      <c r="F67" s="112">
        <v>1903125</v>
      </c>
      <c r="G67" s="116">
        <v>31575</v>
      </c>
      <c r="H67" s="112">
        <v>1903125</v>
      </c>
      <c r="I67" s="117" t="s">
        <v>685</v>
      </c>
      <c r="J67" s="117" t="s">
        <v>686</v>
      </c>
      <c r="K67" s="117" t="s">
        <v>685</v>
      </c>
      <c r="L67" s="117" t="s">
        <v>687</v>
      </c>
      <c r="M67" s="117" t="s">
        <v>688</v>
      </c>
      <c r="N67" s="117" t="s">
        <v>638</v>
      </c>
      <c r="O67" s="117" t="s">
        <v>639</v>
      </c>
      <c r="P67" s="117" t="s">
        <v>685</v>
      </c>
      <c r="Q67" s="114">
        <v>0</v>
      </c>
      <c r="R67" s="114">
        <v>0</v>
      </c>
      <c r="S67" s="114">
        <v>0</v>
      </c>
      <c r="T67" s="114">
        <v>0</v>
      </c>
      <c r="U67" s="114">
        <f t="shared" si="1"/>
        <v>1903125</v>
      </c>
      <c r="V67" s="118" t="s">
        <v>819</v>
      </c>
      <c r="W67" s="111">
        <v>45562</v>
      </c>
    </row>
    <row r="68" spans="1:23" s="115" customFormat="1" x14ac:dyDescent="0.2">
      <c r="A68" s="115">
        <v>45053</v>
      </c>
      <c r="B68" s="115">
        <v>1</v>
      </c>
      <c r="C68" s="115">
        <v>9235873</v>
      </c>
      <c r="D68" s="111">
        <v>45491</v>
      </c>
      <c r="E68" s="111">
        <v>45562</v>
      </c>
      <c r="F68" s="112">
        <v>3466737.08</v>
      </c>
      <c r="G68" s="116">
        <v>31564</v>
      </c>
      <c r="H68" s="112">
        <v>3466737.08</v>
      </c>
      <c r="I68" s="117" t="s">
        <v>747</v>
      </c>
      <c r="J68" s="117" t="s">
        <v>748</v>
      </c>
      <c r="K68" s="117" t="s">
        <v>747</v>
      </c>
      <c r="L68" s="117" t="s">
        <v>710</v>
      </c>
      <c r="M68" s="117" t="s">
        <v>711</v>
      </c>
      <c r="N68" s="117" t="s">
        <v>712</v>
      </c>
      <c r="O68" s="117" t="s">
        <v>711</v>
      </c>
      <c r="P68" s="117" t="s">
        <v>747</v>
      </c>
      <c r="Q68" s="114">
        <v>0</v>
      </c>
      <c r="R68" s="114">
        <v>0</v>
      </c>
      <c r="S68" s="114">
        <v>0</v>
      </c>
      <c r="T68" s="114">
        <v>0</v>
      </c>
      <c r="U68" s="114">
        <f t="shared" si="1"/>
        <v>3466737.08</v>
      </c>
      <c r="V68" s="118" t="s">
        <v>819</v>
      </c>
      <c r="W68" s="111">
        <v>45562</v>
      </c>
    </row>
    <row r="69" spans="1:23" s="115" customFormat="1" x14ac:dyDescent="0.2">
      <c r="A69" s="115">
        <v>45591</v>
      </c>
      <c r="B69" s="115">
        <v>1</v>
      </c>
      <c r="C69" s="115">
        <v>9236162</v>
      </c>
      <c r="D69" s="111">
        <v>45526</v>
      </c>
      <c r="E69" s="111">
        <v>45563</v>
      </c>
      <c r="F69" s="112">
        <v>139984.20000000001</v>
      </c>
      <c r="G69" s="116">
        <v>31676</v>
      </c>
      <c r="H69" s="112">
        <v>139984.20000000001</v>
      </c>
      <c r="I69" s="117" t="s">
        <v>663</v>
      </c>
      <c r="J69" s="117" t="s">
        <v>664</v>
      </c>
      <c r="K69" s="117" t="s">
        <v>663</v>
      </c>
      <c r="L69" s="117" t="s">
        <v>665</v>
      </c>
      <c r="M69" s="117" t="s">
        <v>666</v>
      </c>
      <c r="N69" s="117" t="s">
        <v>658</v>
      </c>
      <c r="O69" s="117" t="s">
        <v>659</v>
      </c>
      <c r="P69" s="117" t="s">
        <v>663</v>
      </c>
      <c r="Q69" s="114">
        <v>0</v>
      </c>
      <c r="R69" s="114">
        <v>0</v>
      </c>
      <c r="S69" s="114">
        <v>0</v>
      </c>
      <c r="T69" s="114">
        <v>0</v>
      </c>
      <c r="U69" s="114">
        <f t="shared" si="1"/>
        <v>139984.20000000001</v>
      </c>
      <c r="V69" s="118" t="s">
        <v>819</v>
      </c>
      <c r="W69" s="111">
        <v>45563</v>
      </c>
    </row>
    <row r="70" spans="1:23" s="115" customFormat="1" x14ac:dyDescent="0.2">
      <c r="A70" s="115">
        <v>44929</v>
      </c>
      <c r="B70" s="115">
        <v>1</v>
      </c>
      <c r="C70" s="115">
        <v>9235812</v>
      </c>
      <c r="D70" s="111">
        <v>45488</v>
      </c>
      <c r="E70" s="111">
        <v>45563</v>
      </c>
      <c r="F70" s="112">
        <v>1691900</v>
      </c>
      <c r="G70" s="116">
        <v>31542</v>
      </c>
      <c r="H70" s="112">
        <v>1691900</v>
      </c>
      <c r="I70" s="117" t="s">
        <v>824</v>
      </c>
      <c r="J70" s="117" t="s">
        <v>825</v>
      </c>
      <c r="K70" s="117" t="s">
        <v>824</v>
      </c>
      <c r="L70" s="117" t="s">
        <v>728</v>
      </c>
      <c r="M70" s="117" t="s">
        <v>729</v>
      </c>
      <c r="N70" s="117" t="s">
        <v>730</v>
      </c>
      <c r="O70" s="117" t="s">
        <v>731</v>
      </c>
      <c r="P70" s="117" t="s">
        <v>824</v>
      </c>
      <c r="Q70" s="114">
        <v>0</v>
      </c>
      <c r="R70" s="114">
        <v>0</v>
      </c>
      <c r="S70" s="114">
        <v>0</v>
      </c>
      <c r="T70" s="114">
        <v>0</v>
      </c>
      <c r="U70" s="114">
        <f t="shared" si="1"/>
        <v>1691900</v>
      </c>
      <c r="V70" s="118" t="s">
        <v>819</v>
      </c>
      <c r="W70" s="111">
        <v>45563</v>
      </c>
    </row>
    <row r="71" spans="1:23" s="115" customFormat="1" x14ac:dyDescent="0.2">
      <c r="A71" s="115">
        <v>45398</v>
      </c>
      <c r="B71" s="115">
        <v>1</v>
      </c>
      <c r="C71" s="115">
        <v>9236075</v>
      </c>
      <c r="D71" s="111">
        <v>45513</v>
      </c>
      <c r="E71" s="111">
        <v>45563</v>
      </c>
      <c r="F71" s="112">
        <v>1759430.85</v>
      </c>
      <c r="G71" s="116">
        <v>31643</v>
      </c>
      <c r="H71" s="112">
        <v>1759430.85</v>
      </c>
      <c r="I71" s="117" t="s">
        <v>747</v>
      </c>
      <c r="J71" s="117" t="s">
        <v>748</v>
      </c>
      <c r="K71" s="117" t="s">
        <v>747</v>
      </c>
      <c r="L71" s="117" t="s">
        <v>710</v>
      </c>
      <c r="M71" s="117" t="s">
        <v>711</v>
      </c>
      <c r="N71" s="117" t="s">
        <v>712</v>
      </c>
      <c r="O71" s="117" t="s">
        <v>711</v>
      </c>
      <c r="P71" s="117" t="s">
        <v>747</v>
      </c>
      <c r="Q71" s="114">
        <v>0</v>
      </c>
      <c r="R71" s="114">
        <v>0</v>
      </c>
      <c r="S71" s="114">
        <v>0</v>
      </c>
      <c r="T71" s="114">
        <v>0</v>
      </c>
      <c r="U71" s="114">
        <f t="shared" ref="U71:U102" si="2">+H71-Q71-R71-S71-T71</f>
        <v>1759430.85</v>
      </c>
      <c r="V71" s="118" t="s">
        <v>819</v>
      </c>
      <c r="W71" s="111">
        <v>45563</v>
      </c>
    </row>
    <row r="72" spans="1:23" s="115" customFormat="1" x14ac:dyDescent="0.2">
      <c r="A72" s="115">
        <v>44958</v>
      </c>
      <c r="B72" s="115">
        <v>1</v>
      </c>
      <c r="C72" s="115">
        <v>9235831</v>
      </c>
      <c r="D72" s="111">
        <v>45489</v>
      </c>
      <c r="E72" s="111">
        <v>45564</v>
      </c>
      <c r="F72" s="112">
        <v>141636</v>
      </c>
      <c r="G72" s="116">
        <v>31561</v>
      </c>
      <c r="H72" s="112">
        <v>141636</v>
      </c>
      <c r="I72" s="117" t="s">
        <v>749</v>
      </c>
      <c r="J72" s="117" t="s">
        <v>750</v>
      </c>
      <c r="K72" s="117" t="s">
        <v>749</v>
      </c>
      <c r="L72" s="117" t="s">
        <v>636</v>
      </c>
      <c r="M72" s="117" t="s">
        <v>637</v>
      </c>
      <c r="N72" s="117" t="s">
        <v>638</v>
      </c>
      <c r="O72" s="117" t="s">
        <v>639</v>
      </c>
      <c r="P72" s="117" t="s">
        <v>749</v>
      </c>
      <c r="Q72" s="114">
        <v>0</v>
      </c>
      <c r="R72" s="114">
        <v>0</v>
      </c>
      <c r="S72" s="114">
        <v>0</v>
      </c>
      <c r="T72" s="114">
        <v>0</v>
      </c>
      <c r="U72" s="114">
        <f t="shared" si="2"/>
        <v>141636</v>
      </c>
      <c r="V72" s="118" t="s">
        <v>819</v>
      </c>
      <c r="W72" s="111">
        <v>45564</v>
      </c>
    </row>
    <row r="73" spans="1:23" s="115" customFormat="1" x14ac:dyDescent="0.2">
      <c r="A73" s="115">
        <v>44111</v>
      </c>
      <c r="B73" s="115">
        <v>1</v>
      </c>
      <c r="C73" s="115">
        <v>9235393</v>
      </c>
      <c r="D73" s="111">
        <v>45439</v>
      </c>
      <c r="E73" s="111">
        <v>45564</v>
      </c>
      <c r="F73" s="112">
        <v>1160315.43</v>
      </c>
      <c r="G73" s="116">
        <v>31439</v>
      </c>
      <c r="H73" s="112">
        <v>1160315.43</v>
      </c>
      <c r="I73" s="117" t="s">
        <v>683</v>
      </c>
      <c r="J73" s="117" t="s">
        <v>684</v>
      </c>
      <c r="K73" s="117" t="s">
        <v>683</v>
      </c>
      <c r="L73" s="117" t="s">
        <v>660</v>
      </c>
      <c r="M73" s="117" t="s">
        <v>661</v>
      </c>
      <c r="N73" s="117" t="s">
        <v>662</v>
      </c>
      <c r="O73" s="117" t="s">
        <v>661</v>
      </c>
      <c r="P73" s="117" t="s">
        <v>683</v>
      </c>
      <c r="Q73" s="114">
        <v>0</v>
      </c>
      <c r="R73" s="114">
        <v>0</v>
      </c>
      <c r="S73" s="114">
        <v>0</v>
      </c>
      <c r="T73" s="114">
        <v>0</v>
      </c>
      <c r="U73" s="114">
        <f t="shared" si="2"/>
        <v>1160315.43</v>
      </c>
      <c r="V73" s="118" t="s">
        <v>819</v>
      </c>
      <c r="W73" s="111">
        <v>45564</v>
      </c>
    </row>
    <row r="74" spans="1:23" s="115" customFormat="1" x14ac:dyDescent="0.2">
      <c r="A74" s="115">
        <v>44957</v>
      </c>
      <c r="B74" s="115">
        <v>1</v>
      </c>
      <c r="C74" s="115">
        <v>9235830</v>
      </c>
      <c r="D74" s="111">
        <v>45489</v>
      </c>
      <c r="E74" s="111">
        <v>45564</v>
      </c>
      <c r="F74" s="112">
        <v>2246359.3199999998</v>
      </c>
      <c r="G74" s="116">
        <v>31560</v>
      </c>
      <c r="H74" s="112">
        <v>2246359.3199999998</v>
      </c>
      <c r="I74" s="117" t="s">
        <v>768</v>
      </c>
      <c r="J74" s="117" t="s">
        <v>769</v>
      </c>
      <c r="K74" s="117" t="s">
        <v>768</v>
      </c>
      <c r="L74" s="117" t="s">
        <v>673</v>
      </c>
      <c r="M74" s="117" t="s">
        <v>674</v>
      </c>
      <c r="N74" s="117" t="s">
        <v>675</v>
      </c>
      <c r="O74" s="117" t="s">
        <v>676</v>
      </c>
      <c r="P74" s="117" t="s">
        <v>768</v>
      </c>
      <c r="Q74" s="114">
        <v>0</v>
      </c>
      <c r="R74" s="114">
        <v>0</v>
      </c>
      <c r="S74" s="114">
        <v>0</v>
      </c>
      <c r="T74" s="114">
        <v>0</v>
      </c>
      <c r="U74" s="114">
        <f t="shared" si="2"/>
        <v>2246359.3199999998</v>
      </c>
      <c r="V74" s="118" t="s">
        <v>819</v>
      </c>
      <c r="W74" s="111">
        <v>45564</v>
      </c>
    </row>
    <row r="75" spans="1:23" s="115" customFormat="1" x14ac:dyDescent="0.2">
      <c r="A75" s="115">
        <v>44087</v>
      </c>
      <c r="B75" s="115">
        <v>1</v>
      </c>
      <c r="C75" s="115">
        <v>9235387</v>
      </c>
      <c r="D75" s="111">
        <v>45439</v>
      </c>
      <c r="E75" s="111">
        <v>45564</v>
      </c>
      <c r="F75" s="112">
        <v>4334614</v>
      </c>
      <c r="G75" s="116">
        <v>31432</v>
      </c>
      <c r="H75" s="112">
        <v>4334614</v>
      </c>
      <c r="I75" s="117" t="s">
        <v>759</v>
      </c>
      <c r="J75" s="117" t="s">
        <v>760</v>
      </c>
      <c r="K75" s="117" t="s">
        <v>759</v>
      </c>
      <c r="L75" s="117" t="s">
        <v>728</v>
      </c>
      <c r="M75" s="117" t="s">
        <v>729</v>
      </c>
      <c r="N75" s="117" t="s">
        <v>730</v>
      </c>
      <c r="O75" s="117" t="s">
        <v>731</v>
      </c>
      <c r="P75" s="117" t="s">
        <v>759</v>
      </c>
      <c r="Q75" s="114">
        <v>0</v>
      </c>
      <c r="R75" s="114">
        <v>0</v>
      </c>
      <c r="S75" s="114">
        <v>0</v>
      </c>
      <c r="T75" s="114">
        <v>0</v>
      </c>
      <c r="U75" s="114">
        <f t="shared" si="2"/>
        <v>4334614</v>
      </c>
      <c r="V75" s="118" t="s">
        <v>819</v>
      </c>
      <c r="W75" s="111">
        <v>45564</v>
      </c>
    </row>
    <row r="76" spans="1:23" s="115" customFormat="1" x14ac:dyDescent="0.2">
      <c r="A76" s="115">
        <v>44107</v>
      </c>
      <c r="B76" s="115">
        <v>1</v>
      </c>
      <c r="C76" s="115">
        <v>9235389</v>
      </c>
      <c r="D76" s="111">
        <v>45439</v>
      </c>
      <c r="E76" s="111">
        <v>45564</v>
      </c>
      <c r="F76" s="112">
        <v>5866829.8399999999</v>
      </c>
      <c r="G76" s="116">
        <v>31435</v>
      </c>
      <c r="H76" s="112">
        <v>5866829.8399999999</v>
      </c>
      <c r="I76" s="117" t="s">
        <v>755</v>
      </c>
      <c r="J76" s="117" t="s">
        <v>756</v>
      </c>
      <c r="K76" s="117" t="s">
        <v>755</v>
      </c>
      <c r="L76" s="117" t="s">
        <v>728</v>
      </c>
      <c r="M76" s="117" t="s">
        <v>729</v>
      </c>
      <c r="N76" s="117" t="s">
        <v>730</v>
      </c>
      <c r="O76" s="117" t="s">
        <v>731</v>
      </c>
      <c r="P76" s="117" t="s">
        <v>755</v>
      </c>
      <c r="Q76" s="114">
        <v>0</v>
      </c>
      <c r="R76" s="114">
        <v>0</v>
      </c>
      <c r="S76" s="114">
        <v>0</v>
      </c>
      <c r="T76" s="114">
        <v>0</v>
      </c>
      <c r="U76" s="114">
        <f t="shared" si="2"/>
        <v>5866829.8399999999</v>
      </c>
      <c r="V76" s="118" t="s">
        <v>819</v>
      </c>
      <c r="W76" s="111">
        <v>45564</v>
      </c>
    </row>
    <row r="77" spans="1:23" s="115" customFormat="1" x14ac:dyDescent="0.2">
      <c r="A77" s="115">
        <v>44106</v>
      </c>
      <c r="B77" s="115">
        <v>1</v>
      </c>
      <c r="C77" s="115">
        <v>9235388</v>
      </c>
      <c r="D77" s="111">
        <v>45439</v>
      </c>
      <c r="E77" s="111">
        <v>45564</v>
      </c>
      <c r="F77" s="112">
        <v>6093103.3499999996</v>
      </c>
      <c r="G77" s="116">
        <v>31434</v>
      </c>
      <c r="H77" s="112">
        <v>6093103.3499999996</v>
      </c>
      <c r="I77" s="117" t="s">
        <v>732</v>
      </c>
      <c r="J77" s="117" t="s">
        <v>733</v>
      </c>
      <c r="K77" s="117" t="s">
        <v>732</v>
      </c>
      <c r="L77" s="117" t="s">
        <v>728</v>
      </c>
      <c r="M77" s="117" t="s">
        <v>729</v>
      </c>
      <c r="N77" s="117" t="s">
        <v>650</v>
      </c>
      <c r="O77" s="117" t="s">
        <v>734</v>
      </c>
      <c r="P77" s="117" t="s">
        <v>732</v>
      </c>
      <c r="Q77" s="114">
        <v>0</v>
      </c>
      <c r="R77" s="114">
        <v>0</v>
      </c>
      <c r="S77" s="114">
        <v>0</v>
      </c>
      <c r="T77" s="114">
        <v>0</v>
      </c>
      <c r="U77" s="114">
        <f t="shared" si="2"/>
        <v>6093103.3499999996</v>
      </c>
      <c r="V77" s="118" t="s">
        <v>819</v>
      </c>
      <c r="W77" s="111">
        <v>45564</v>
      </c>
    </row>
    <row r="78" spans="1:23" s="115" customFormat="1" x14ac:dyDescent="0.2">
      <c r="A78" s="115">
        <v>45117</v>
      </c>
      <c r="B78" s="115">
        <v>1</v>
      </c>
      <c r="C78" s="115">
        <v>9235913</v>
      </c>
      <c r="D78" s="111">
        <v>45497</v>
      </c>
      <c r="E78" s="111">
        <v>45565</v>
      </c>
      <c r="F78" s="112">
        <v>43610</v>
      </c>
      <c r="G78" s="116">
        <v>31591</v>
      </c>
      <c r="H78" s="112">
        <v>43610</v>
      </c>
      <c r="I78" s="117" t="s">
        <v>749</v>
      </c>
      <c r="J78" s="117" t="s">
        <v>750</v>
      </c>
      <c r="K78" s="117" t="s">
        <v>749</v>
      </c>
      <c r="L78" s="117" t="s">
        <v>636</v>
      </c>
      <c r="M78" s="117" t="s">
        <v>637</v>
      </c>
      <c r="N78" s="117" t="s">
        <v>638</v>
      </c>
      <c r="O78" s="117" t="s">
        <v>639</v>
      </c>
      <c r="P78" s="117" t="s">
        <v>749</v>
      </c>
      <c r="Q78" s="114">
        <v>0</v>
      </c>
      <c r="R78" s="114">
        <v>0</v>
      </c>
      <c r="S78" s="114">
        <v>0</v>
      </c>
      <c r="T78" s="114">
        <v>0</v>
      </c>
      <c r="U78" s="114">
        <f t="shared" si="2"/>
        <v>43610</v>
      </c>
      <c r="V78" s="118" t="s">
        <v>819</v>
      </c>
      <c r="W78" s="111">
        <v>45565</v>
      </c>
    </row>
    <row r="79" spans="1:23" s="115" customFormat="1" x14ac:dyDescent="0.2">
      <c r="A79" s="115">
        <v>44956</v>
      </c>
      <c r="B79" s="115">
        <v>1</v>
      </c>
      <c r="C79" s="115">
        <v>9235829</v>
      </c>
      <c r="D79" s="111">
        <v>45489</v>
      </c>
      <c r="E79" s="111">
        <v>45565</v>
      </c>
      <c r="F79" s="112">
        <v>59625.02</v>
      </c>
      <c r="G79" s="116">
        <v>31559</v>
      </c>
      <c r="H79" s="112">
        <v>59625.02</v>
      </c>
      <c r="I79" s="117" t="s">
        <v>776</v>
      </c>
      <c r="J79" s="117" t="s">
        <v>777</v>
      </c>
      <c r="K79" s="117" t="s">
        <v>776</v>
      </c>
      <c r="L79" s="117" t="s">
        <v>660</v>
      </c>
      <c r="M79" s="117" t="s">
        <v>661</v>
      </c>
      <c r="N79" s="117" t="s">
        <v>662</v>
      </c>
      <c r="O79" s="117" t="s">
        <v>661</v>
      </c>
      <c r="P79" s="117" t="s">
        <v>776</v>
      </c>
      <c r="Q79" s="114">
        <v>0</v>
      </c>
      <c r="R79" s="114">
        <v>0</v>
      </c>
      <c r="S79" s="114">
        <v>0</v>
      </c>
      <c r="T79" s="114">
        <v>0</v>
      </c>
      <c r="U79" s="114">
        <f t="shared" si="2"/>
        <v>59625.02</v>
      </c>
      <c r="V79" s="118" t="s">
        <v>819</v>
      </c>
      <c r="W79" s="111">
        <v>45565</v>
      </c>
    </row>
    <row r="80" spans="1:23" s="115" customFormat="1" x14ac:dyDescent="0.2">
      <c r="A80" s="115">
        <v>45305</v>
      </c>
      <c r="B80" s="115">
        <v>1</v>
      </c>
      <c r="C80" s="115">
        <v>9236024</v>
      </c>
      <c r="D80" s="111">
        <v>45505</v>
      </c>
      <c r="E80" s="111">
        <v>45565</v>
      </c>
      <c r="F80" s="112">
        <v>234000</v>
      </c>
      <c r="G80" s="116">
        <v>31605</v>
      </c>
      <c r="H80" s="112">
        <v>234000</v>
      </c>
      <c r="I80" s="117" t="s">
        <v>826</v>
      </c>
      <c r="J80" s="117" t="s">
        <v>827</v>
      </c>
      <c r="K80" s="117" t="s">
        <v>826</v>
      </c>
      <c r="L80" s="117" t="s">
        <v>636</v>
      </c>
      <c r="M80" s="117" t="s">
        <v>637</v>
      </c>
      <c r="N80" s="117" t="s">
        <v>644</v>
      </c>
      <c r="O80" s="117" t="s">
        <v>645</v>
      </c>
      <c r="P80" s="117" t="s">
        <v>826</v>
      </c>
      <c r="Q80" s="114">
        <v>0</v>
      </c>
      <c r="R80" s="114">
        <v>0</v>
      </c>
      <c r="S80" s="114">
        <v>0</v>
      </c>
      <c r="T80" s="114">
        <v>0</v>
      </c>
      <c r="U80" s="114">
        <f t="shared" si="2"/>
        <v>234000</v>
      </c>
      <c r="V80" s="118" t="s">
        <v>819</v>
      </c>
      <c r="W80" s="111">
        <v>45565</v>
      </c>
    </row>
    <row r="81" spans="1:23" s="115" customFormat="1" x14ac:dyDescent="0.2">
      <c r="A81" s="115">
        <v>44477</v>
      </c>
      <c r="B81" s="115">
        <v>1</v>
      </c>
      <c r="C81" s="115">
        <v>9235584</v>
      </c>
      <c r="D81" s="111">
        <v>45453</v>
      </c>
      <c r="E81" s="111">
        <v>45565</v>
      </c>
      <c r="F81" s="112">
        <v>366100</v>
      </c>
      <c r="G81" s="116">
        <v>31460</v>
      </c>
      <c r="H81" s="112">
        <v>366100</v>
      </c>
      <c r="I81" s="117" t="s">
        <v>759</v>
      </c>
      <c r="J81" s="117" t="s">
        <v>760</v>
      </c>
      <c r="K81" s="117" t="s">
        <v>759</v>
      </c>
      <c r="L81" s="117" t="s">
        <v>728</v>
      </c>
      <c r="M81" s="117" t="s">
        <v>729</v>
      </c>
      <c r="N81" s="117" t="s">
        <v>730</v>
      </c>
      <c r="O81" s="117" t="s">
        <v>731</v>
      </c>
      <c r="P81" s="117" t="s">
        <v>759</v>
      </c>
      <c r="Q81" s="114">
        <v>0</v>
      </c>
      <c r="R81" s="114">
        <v>0</v>
      </c>
      <c r="S81" s="114">
        <v>0</v>
      </c>
      <c r="T81" s="114">
        <v>0</v>
      </c>
      <c r="U81" s="114">
        <f t="shared" si="2"/>
        <v>366100</v>
      </c>
      <c r="V81" s="118" t="s">
        <v>819</v>
      </c>
      <c r="W81" s="111">
        <v>45565</v>
      </c>
    </row>
    <row r="82" spans="1:23" s="115" customFormat="1" x14ac:dyDescent="0.2">
      <c r="A82" s="115">
        <v>45369</v>
      </c>
      <c r="B82" s="115">
        <v>1</v>
      </c>
      <c r="C82" s="115">
        <v>9236065</v>
      </c>
      <c r="D82" s="111">
        <v>45513</v>
      </c>
      <c r="E82" s="111">
        <v>45565</v>
      </c>
      <c r="F82" s="112">
        <v>399000</v>
      </c>
      <c r="G82" s="116">
        <v>31640</v>
      </c>
      <c r="H82" s="112">
        <v>399000</v>
      </c>
      <c r="I82" s="117" t="s">
        <v>669</v>
      </c>
      <c r="J82" s="117" t="s">
        <v>670</v>
      </c>
      <c r="K82" s="117" t="s">
        <v>669</v>
      </c>
      <c r="L82" s="117" t="s">
        <v>656</v>
      </c>
      <c r="M82" s="117" t="s">
        <v>657</v>
      </c>
      <c r="N82" s="117" t="s">
        <v>671</v>
      </c>
      <c r="O82" s="117" t="s">
        <v>672</v>
      </c>
      <c r="P82" s="117" t="s">
        <v>669</v>
      </c>
      <c r="Q82" s="114">
        <v>0</v>
      </c>
      <c r="R82" s="114">
        <v>0</v>
      </c>
      <c r="S82" s="114">
        <v>0</v>
      </c>
      <c r="T82" s="114">
        <v>0</v>
      </c>
      <c r="U82" s="114">
        <f t="shared" si="2"/>
        <v>399000</v>
      </c>
      <c r="V82" s="118" t="s">
        <v>819</v>
      </c>
      <c r="W82" s="111">
        <v>45565</v>
      </c>
    </row>
    <row r="83" spans="1:23" s="115" customFormat="1" x14ac:dyDescent="0.2">
      <c r="A83" s="115">
        <v>45103</v>
      </c>
      <c r="B83" s="115">
        <v>1</v>
      </c>
      <c r="C83" s="115">
        <v>9235901</v>
      </c>
      <c r="D83" s="111">
        <v>45497</v>
      </c>
      <c r="E83" s="111">
        <v>45565</v>
      </c>
      <c r="F83" s="112">
        <v>541418.61</v>
      </c>
      <c r="G83" s="116">
        <v>31577</v>
      </c>
      <c r="H83" s="112">
        <v>541418.61</v>
      </c>
      <c r="I83" s="117" t="s">
        <v>817</v>
      </c>
      <c r="J83" s="117" t="s">
        <v>818</v>
      </c>
      <c r="K83" s="117" t="s">
        <v>817</v>
      </c>
      <c r="L83" s="117" t="s">
        <v>728</v>
      </c>
      <c r="M83" s="117" t="s">
        <v>729</v>
      </c>
      <c r="N83" s="117" t="s">
        <v>650</v>
      </c>
      <c r="O83" s="117" t="s">
        <v>734</v>
      </c>
      <c r="P83" s="117" t="s">
        <v>817</v>
      </c>
      <c r="Q83" s="114">
        <v>0</v>
      </c>
      <c r="R83" s="114">
        <v>0</v>
      </c>
      <c r="S83" s="114">
        <v>0</v>
      </c>
      <c r="T83" s="114">
        <v>0</v>
      </c>
      <c r="U83" s="114">
        <f t="shared" si="2"/>
        <v>541418.61</v>
      </c>
      <c r="V83" s="118" t="s">
        <v>819</v>
      </c>
      <c r="W83" s="111">
        <v>45565</v>
      </c>
    </row>
    <row r="84" spans="1:23" s="115" customFormat="1" x14ac:dyDescent="0.2">
      <c r="A84" s="115">
        <v>44949</v>
      </c>
      <c r="B84" s="115">
        <v>1</v>
      </c>
      <c r="C84" s="115">
        <v>9235826</v>
      </c>
      <c r="D84" s="111">
        <v>45489</v>
      </c>
      <c r="E84" s="111">
        <v>45565</v>
      </c>
      <c r="F84" s="112">
        <v>549132.36</v>
      </c>
      <c r="G84" s="116">
        <v>31556</v>
      </c>
      <c r="H84" s="112">
        <v>549132.36</v>
      </c>
      <c r="I84" s="117" t="s">
        <v>735</v>
      </c>
      <c r="J84" s="117" t="s">
        <v>736</v>
      </c>
      <c r="K84" s="117" t="s">
        <v>735</v>
      </c>
      <c r="L84" s="117" t="s">
        <v>660</v>
      </c>
      <c r="M84" s="117" t="s">
        <v>661</v>
      </c>
      <c r="N84" s="117" t="s">
        <v>662</v>
      </c>
      <c r="O84" s="117" t="s">
        <v>661</v>
      </c>
      <c r="P84" s="117" t="s">
        <v>735</v>
      </c>
      <c r="Q84" s="114">
        <v>0</v>
      </c>
      <c r="R84" s="114">
        <v>0</v>
      </c>
      <c r="S84" s="114">
        <v>0</v>
      </c>
      <c r="T84" s="114">
        <v>0</v>
      </c>
      <c r="U84" s="114">
        <f t="shared" si="2"/>
        <v>549132.36</v>
      </c>
      <c r="V84" s="118" t="s">
        <v>819</v>
      </c>
      <c r="W84" s="111">
        <v>45565</v>
      </c>
    </row>
    <row r="85" spans="1:23" s="115" customFormat="1" x14ac:dyDescent="0.2">
      <c r="A85" s="115">
        <v>44955</v>
      </c>
      <c r="B85" s="115">
        <v>1</v>
      </c>
      <c r="C85" s="115">
        <v>9235828</v>
      </c>
      <c r="D85" s="111">
        <v>45489</v>
      </c>
      <c r="E85" s="111">
        <v>45565</v>
      </c>
      <c r="F85" s="112">
        <v>765627.46</v>
      </c>
      <c r="G85" s="116">
        <v>31558</v>
      </c>
      <c r="H85" s="112">
        <v>765627.46</v>
      </c>
      <c r="I85" s="117" t="s">
        <v>683</v>
      </c>
      <c r="J85" s="117" t="s">
        <v>684</v>
      </c>
      <c r="K85" s="117" t="s">
        <v>683</v>
      </c>
      <c r="L85" s="117" t="s">
        <v>660</v>
      </c>
      <c r="M85" s="117" t="s">
        <v>661</v>
      </c>
      <c r="N85" s="117" t="s">
        <v>662</v>
      </c>
      <c r="O85" s="117" t="s">
        <v>661</v>
      </c>
      <c r="P85" s="117" t="s">
        <v>683</v>
      </c>
      <c r="Q85" s="114">
        <v>0</v>
      </c>
      <c r="R85" s="114">
        <v>0</v>
      </c>
      <c r="S85" s="114">
        <v>0</v>
      </c>
      <c r="T85" s="114">
        <v>0</v>
      </c>
      <c r="U85" s="114">
        <f t="shared" si="2"/>
        <v>765627.46</v>
      </c>
      <c r="V85" s="118" t="s">
        <v>819</v>
      </c>
      <c r="W85" s="111">
        <v>45565</v>
      </c>
    </row>
    <row r="86" spans="1:23" s="115" customFormat="1" x14ac:dyDescent="0.2">
      <c r="A86" s="115">
        <v>45309</v>
      </c>
      <c r="B86" s="115">
        <v>1</v>
      </c>
      <c r="C86" s="115">
        <v>9236028</v>
      </c>
      <c r="D86" s="111">
        <v>45505</v>
      </c>
      <c r="E86" s="111">
        <v>45565</v>
      </c>
      <c r="F86" s="112">
        <v>765820.62</v>
      </c>
      <c r="G86" s="116">
        <v>31609</v>
      </c>
      <c r="H86" s="112">
        <v>765820.62</v>
      </c>
      <c r="I86" s="117" t="s">
        <v>648</v>
      </c>
      <c r="J86" s="117" t="s">
        <v>649</v>
      </c>
      <c r="K86" s="117" t="s">
        <v>648</v>
      </c>
      <c r="L86" s="117" t="s">
        <v>630</v>
      </c>
      <c r="M86" s="117" t="s">
        <v>631</v>
      </c>
      <c r="N86" s="117" t="s">
        <v>632</v>
      </c>
      <c r="O86" s="117" t="s">
        <v>633</v>
      </c>
      <c r="P86" s="117" t="s">
        <v>648</v>
      </c>
      <c r="Q86" s="114">
        <v>0</v>
      </c>
      <c r="R86" s="114">
        <v>0</v>
      </c>
      <c r="S86" s="114">
        <v>0</v>
      </c>
      <c r="T86" s="114">
        <v>0</v>
      </c>
      <c r="U86" s="114">
        <f t="shared" si="2"/>
        <v>765820.62</v>
      </c>
      <c r="V86" s="118" t="s">
        <v>819</v>
      </c>
      <c r="W86" s="111">
        <v>45565</v>
      </c>
    </row>
    <row r="87" spans="1:23" s="115" customFormat="1" x14ac:dyDescent="0.2">
      <c r="A87" s="115">
        <v>44945</v>
      </c>
      <c r="B87" s="115">
        <v>1</v>
      </c>
      <c r="C87" s="115">
        <v>9235822</v>
      </c>
      <c r="D87" s="111">
        <v>45489</v>
      </c>
      <c r="E87" s="111">
        <v>45565</v>
      </c>
      <c r="F87" s="112">
        <v>811423.76</v>
      </c>
      <c r="G87" s="116">
        <v>31552</v>
      </c>
      <c r="H87" s="112">
        <v>811423.76</v>
      </c>
      <c r="I87" s="117" t="s">
        <v>737</v>
      </c>
      <c r="J87" s="117" t="s">
        <v>738</v>
      </c>
      <c r="K87" s="117" t="s">
        <v>737</v>
      </c>
      <c r="L87" s="117" t="s">
        <v>728</v>
      </c>
      <c r="M87" s="117" t="s">
        <v>729</v>
      </c>
      <c r="N87" s="117" t="s">
        <v>730</v>
      </c>
      <c r="O87" s="117" t="s">
        <v>731</v>
      </c>
      <c r="P87" s="117" t="s">
        <v>737</v>
      </c>
      <c r="Q87" s="114">
        <v>0</v>
      </c>
      <c r="R87" s="114">
        <v>0</v>
      </c>
      <c r="S87" s="114">
        <v>0</v>
      </c>
      <c r="T87" s="114">
        <v>0</v>
      </c>
      <c r="U87" s="114">
        <f t="shared" si="2"/>
        <v>811423.76</v>
      </c>
      <c r="V87" s="118" t="s">
        <v>819</v>
      </c>
      <c r="W87" s="111">
        <v>45565</v>
      </c>
    </row>
    <row r="88" spans="1:23" s="115" customFormat="1" x14ac:dyDescent="0.2">
      <c r="A88" s="115">
        <v>45296</v>
      </c>
      <c r="B88" s="115">
        <v>1</v>
      </c>
      <c r="C88" s="115">
        <v>9236019</v>
      </c>
      <c r="D88" s="111">
        <v>45502</v>
      </c>
      <c r="E88" s="111">
        <v>45565</v>
      </c>
      <c r="F88" s="112">
        <v>1236409.51</v>
      </c>
      <c r="G88" s="116">
        <v>31604</v>
      </c>
      <c r="H88" s="112">
        <v>1236409.51</v>
      </c>
      <c r="I88" s="117" t="s">
        <v>763</v>
      </c>
      <c r="J88" s="117" t="s">
        <v>764</v>
      </c>
      <c r="K88" s="117" t="s">
        <v>763</v>
      </c>
      <c r="L88" s="117" t="s">
        <v>765</v>
      </c>
      <c r="M88" s="117" t="s">
        <v>766</v>
      </c>
      <c r="N88" s="117" t="s">
        <v>767</v>
      </c>
      <c r="O88" s="117" t="s">
        <v>766</v>
      </c>
      <c r="P88" s="117" t="s">
        <v>763</v>
      </c>
      <c r="Q88" s="114">
        <v>0</v>
      </c>
      <c r="R88" s="114">
        <v>0</v>
      </c>
      <c r="S88" s="114">
        <v>0</v>
      </c>
      <c r="T88" s="114">
        <v>0</v>
      </c>
      <c r="U88" s="114">
        <f t="shared" si="2"/>
        <v>1236409.51</v>
      </c>
      <c r="V88" s="118" t="s">
        <v>819</v>
      </c>
      <c r="W88" s="111">
        <v>45565</v>
      </c>
    </row>
    <row r="89" spans="1:23" s="115" customFormat="1" x14ac:dyDescent="0.2">
      <c r="A89" s="115">
        <v>45109</v>
      </c>
      <c r="B89" s="115">
        <v>1</v>
      </c>
      <c r="C89" s="115">
        <v>9235907</v>
      </c>
      <c r="D89" s="111">
        <v>45497</v>
      </c>
      <c r="E89" s="111">
        <v>45565</v>
      </c>
      <c r="F89" s="112">
        <v>1257302.94</v>
      </c>
      <c r="G89" s="116">
        <v>31583</v>
      </c>
      <c r="H89" s="112">
        <v>1257302.94</v>
      </c>
      <c r="I89" s="117" t="s">
        <v>757</v>
      </c>
      <c r="J89" s="117" t="s">
        <v>758</v>
      </c>
      <c r="K89" s="117" t="s">
        <v>757</v>
      </c>
      <c r="L89" s="117" t="s">
        <v>728</v>
      </c>
      <c r="M89" s="117" t="s">
        <v>729</v>
      </c>
      <c r="N89" s="117" t="s">
        <v>730</v>
      </c>
      <c r="O89" s="117" t="s">
        <v>731</v>
      </c>
      <c r="P89" s="117" t="s">
        <v>757</v>
      </c>
      <c r="Q89" s="114">
        <v>0</v>
      </c>
      <c r="R89" s="114">
        <v>0</v>
      </c>
      <c r="S89" s="114">
        <v>0</v>
      </c>
      <c r="T89" s="114">
        <v>0</v>
      </c>
      <c r="U89" s="114">
        <f t="shared" si="2"/>
        <v>1257302.94</v>
      </c>
      <c r="V89" s="118" t="s">
        <v>819</v>
      </c>
      <c r="W89" s="111">
        <v>45565</v>
      </c>
    </row>
    <row r="90" spans="1:23" s="115" customFormat="1" x14ac:dyDescent="0.2">
      <c r="A90" s="115">
        <v>44933</v>
      </c>
      <c r="B90" s="115">
        <v>1</v>
      </c>
      <c r="C90" s="115">
        <v>9235815</v>
      </c>
      <c r="D90" s="111">
        <v>45488</v>
      </c>
      <c r="E90" s="111">
        <v>45565</v>
      </c>
      <c r="F90" s="112">
        <v>1347325.07</v>
      </c>
      <c r="G90" s="116">
        <v>31546</v>
      </c>
      <c r="H90" s="112">
        <v>1347325.07</v>
      </c>
      <c r="I90" s="117" t="s">
        <v>695</v>
      </c>
      <c r="J90" s="117" t="s">
        <v>696</v>
      </c>
      <c r="K90" s="117" t="s">
        <v>697</v>
      </c>
      <c r="L90" s="117" t="s">
        <v>660</v>
      </c>
      <c r="M90" s="117" t="s">
        <v>661</v>
      </c>
      <c r="N90" s="117" t="s">
        <v>662</v>
      </c>
      <c r="O90" s="117" t="s">
        <v>661</v>
      </c>
      <c r="P90" s="117" t="s">
        <v>695</v>
      </c>
      <c r="Q90" s="114">
        <v>0</v>
      </c>
      <c r="R90" s="114">
        <v>0</v>
      </c>
      <c r="S90" s="114">
        <v>0</v>
      </c>
      <c r="T90" s="114">
        <v>0</v>
      </c>
      <c r="U90" s="114">
        <f t="shared" si="2"/>
        <v>1347325.07</v>
      </c>
      <c r="V90" s="118" t="s">
        <v>819</v>
      </c>
      <c r="W90" s="111">
        <v>45565</v>
      </c>
    </row>
    <row r="91" spans="1:23" s="115" customFormat="1" x14ac:dyDescent="0.2">
      <c r="A91" s="115">
        <v>44918</v>
      </c>
      <c r="B91" s="115">
        <v>1</v>
      </c>
      <c r="C91" s="115">
        <v>9235805</v>
      </c>
      <c r="D91" s="111">
        <v>45485</v>
      </c>
      <c r="E91" s="111">
        <v>45565</v>
      </c>
      <c r="F91" s="112">
        <v>1418835.6</v>
      </c>
      <c r="G91" s="116">
        <v>31540</v>
      </c>
      <c r="H91" s="112">
        <v>1418835.6</v>
      </c>
      <c r="I91" s="117" t="s">
        <v>755</v>
      </c>
      <c r="J91" s="117" t="s">
        <v>756</v>
      </c>
      <c r="K91" s="117" t="s">
        <v>755</v>
      </c>
      <c r="L91" s="117" t="s">
        <v>728</v>
      </c>
      <c r="M91" s="117" t="s">
        <v>729</v>
      </c>
      <c r="N91" s="117" t="s">
        <v>730</v>
      </c>
      <c r="O91" s="117" t="s">
        <v>731</v>
      </c>
      <c r="P91" s="117" t="s">
        <v>755</v>
      </c>
      <c r="Q91" s="114">
        <v>0</v>
      </c>
      <c r="R91" s="114">
        <v>0</v>
      </c>
      <c r="S91" s="114">
        <v>0</v>
      </c>
      <c r="T91" s="114">
        <v>0</v>
      </c>
      <c r="U91" s="114">
        <f t="shared" si="2"/>
        <v>1418835.6</v>
      </c>
      <c r="V91" s="118" t="s">
        <v>819</v>
      </c>
      <c r="W91" s="111">
        <v>45565</v>
      </c>
    </row>
    <row r="92" spans="1:23" s="115" customFormat="1" x14ac:dyDescent="0.2">
      <c r="A92" s="115">
        <v>44664</v>
      </c>
      <c r="B92" s="115">
        <v>1</v>
      </c>
      <c r="C92" s="115">
        <v>9235664</v>
      </c>
      <c r="D92" s="111">
        <v>45469</v>
      </c>
      <c r="E92" s="111">
        <v>45565</v>
      </c>
      <c r="F92" s="112">
        <v>1431030</v>
      </c>
      <c r="G92" s="116">
        <v>31495</v>
      </c>
      <c r="H92" s="112">
        <v>1431030</v>
      </c>
      <c r="I92" s="117" t="s">
        <v>757</v>
      </c>
      <c r="J92" s="117" t="s">
        <v>758</v>
      </c>
      <c r="K92" s="117" t="s">
        <v>757</v>
      </c>
      <c r="L92" s="117" t="s">
        <v>728</v>
      </c>
      <c r="M92" s="117" t="s">
        <v>729</v>
      </c>
      <c r="N92" s="117" t="s">
        <v>730</v>
      </c>
      <c r="O92" s="117" t="s">
        <v>731</v>
      </c>
      <c r="P92" s="117" t="s">
        <v>757</v>
      </c>
      <c r="Q92" s="114">
        <v>0</v>
      </c>
      <c r="R92" s="114">
        <v>0</v>
      </c>
      <c r="S92" s="114">
        <v>0</v>
      </c>
      <c r="T92" s="114">
        <v>0</v>
      </c>
      <c r="U92" s="114">
        <f t="shared" si="2"/>
        <v>1431030</v>
      </c>
      <c r="V92" s="118" t="s">
        <v>819</v>
      </c>
      <c r="W92" s="111">
        <v>45565</v>
      </c>
    </row>
    <row r="93" spans="1:23" s="115" customFormat="1" x14ac:dyDescent="0.2">
      <c r="A93" s="115">
        <v>45110</v>
      </c>
      <c r="B93" s="115">
        <v>1</v>
      </c>
      <c r="C93" s="115">
        <v>9235908</v>
      </c>
      <c r="D93" s="111">
        <v>45497</v>
      </c>
      <c r="E93" s="111">
        <v>45565</v>
      </c>
      <c r="F93" s="112">
        <v>1800000</v>
      </c>
      <c r="G93" s="116">
        <v>31584</v>
      </c>
      <c r="H93" s="112">
        <v>1800000</v>
      </c>
      <c r="I93" s="117" t="s">
        <v>774</v>
      </c>
      <c r="J93" s="117" t="s">
        <v>775</v>
      </c>
      <c r="K93" s="117" t="s">
        <v>774</v>
      </c>
      <c r="L93" s="117" t="s">
        <v>660</v>
      </c>
      <c r="M93" s="117" t="s">
        <v>661</v>
      </c>
      <c r="N93" s="117" t="s">
        <v>662</v>
      </c>
      <c r="O93" s="117" t="s">
        <v>661</v>
      </c>
      <c r="P93" s="117" t="s">
        <v>774</v>
      </c>
      <c r="Q93" s="114">
        <v>0</v>
      </c>
      <c r="R93" s="114">
        <v>0</v>
      </c>
      <c r="S93" s="114">
        <v>0</v>
      </c>
      <c r="T93" s="114">
        <v>0</v>
      </c>
      <c r="U93" s="114">
        <f t="shared" si="2"/>
        <v>1800000</v>
      </c>
      <c r="V93" s="118" t="s">
        <v>819</v>
      </c>
      <c r="W93" s="111">
        <v>45565</v>
      </c>
    </row>
    <row r="94" spans="1:23" s="115" customFormat="1" x14ac:dyDescent="0.2">
      <c r="A94" s="115">
        <v>45104</v>
      </c>
      <c r="B94" s="115">
        <v>1</v>
      </c>
      <c r="C94" s="115">
        <v>9235902</v>
      </c>
      <c r="D94" s="111">
        <v>45497</v>
      </c>
      <c r="E94" s="111">
        <v>45565</v>
      </c>
      <c r="F94" s="112">
        <v>2080198.22</v>
      </c>
      <c r="G94" s="116">
        <v>31578</v>
      </c>
      <c r="H94" s="112">
        <v>2080198.22</v>
      </c>
      <c r="I94" s="117" t="s">
        <v>735</v>
      </c>
      <c r="J94" s="117" t="s">
        <v>736</v>
      </c>
      <c r="K94" s="117" t="s">
        <v>735</v>
      </c>
      <c r="L94" s="117" t="s">
        <v>660</v>
      </c>
      <c r="M94" s="117" t="s">
        <v>661</v>
      </c>
      <c r="N94" s="117" t="s">
        <v>662</v>
      </c>
      <c r="O94" s="117" t="s">
        <v>661</v>
      </c>
      <c r="P94" s="117" t="s">
        <v>735</v>
      </c>
      <c r="Q94" s="114">
        <v>0</v>
      </c>
      <c r="R94" s="114">
        <v>0</v>
      </c>
      <c r="S94" s="114">
        <v>0</v>
      </c>
      <c r="T94" s="114">
        <v>0</v>
      </c>
      <c r="U94" s="114">
        <f t="shared" si="2"/>
        <v>2080198.22</v>
      </c>
      <c r="V94" s="118" t="s">
        <v>819</v>
      </c>
      <c r="W94" s="111">
        <v>45565</v>
      </c>
    </row>
    <row r="95" spans="1:23" s="115" customFormat="1" x14ac:dyDescent="0.2">
      <c r="A95" s="115">
        <v>45312</v>
      </c>
      <c r="B95" s="115">
        <v>1</v>
      </c>
      <c r="C95" s="115">
        <v>9236030</v>
      </c>
      <c r="D95" s="111">
        <v>45505</v>
      </c>
      <c r="E95" s="111">
        <v>45565</v>
      </c>
      <c r="F95" s="112">
        <v>2225364.58</v>
      </c>
      <c r="G95" s="116">
        <v>31612</v>
      </c>
      <c r="H95" s="112">
        <v>2225364.58</v>
      </c>
      <c r="I95" s="117" t="s">
        <v>689</v>
      </c>
      <c r="J95" s="117" t="s">
        <v>690</v>
      </c>
      <c r="K95" s="117" t="s">
        <v>689</v>
      </c>
      <c r="L95" s="117" t="s">
        <v>691</v>
      </c>
      <c r="M95" s="117" t="s">
        <v>692</v>
      </c>
      <c r="N95" s="117" t="s">
        <v>693</v>
      </c>
      <c r="O95" s="117" t="s">
        <v>694</v>
      </c>
      <c r="P95" s="117" t="s">
        <v>689</v>
      </c>
      <c r="Q95" s="114">
        <v>0</v>
      </c>
      <c r="R95" s="114">
        <v>0</v>
      </c>
      <c r="S95" s="114">
        <v>0</v>
      </c>
      <c r="T95" s="114">
        <v>0</v>
      </c>
      <c r="U95" s="114">
        <f t="shared" si="2"/>
        <v>2225364.58</v>
      </c>
      <c r="V95" s="118" t="s">
        <v>819</v>
      </c>
      <c r="W95" s="111">
        <v>45565</v>
      </c>
    </row>
    <row r="96" spans="1:23" s="115" customFormat="1" x14ac:dyDescent="0.2">
      <c r="A96" s="115">
        <v>44681</v>
      </c>
      <c r="B96" s="115">
        <v>1</v>
      </c>
      <c r="C96" s="115">
        <v>9235680</v>
      </c>
      <c r="D96" s="111">
        <v>45469</v>
      </c>
      <c r="E96" s="111">
        <v>45565</v>
      </c>
      <c r="F96" s="112">
        <v>2815596</v>
      </c>
      <c r="G96" s="116">
        <v>31511</v>
      </c>
      <c r="H96" s="112">
        <v>2815596</v>
      </c>
      <c r="I96" s="117" t="s">
        <v>732</v>
      </c>
      <c r="J96" s="117" t="s">
        <v>733</v>
      </c>
      <c r="K96" s="117" t="s">
        <v>732</v>
      </c>
      <c r="L96" s="117" t="s">
        <v>728</v>
      </c>
      <c r="M96" s="117" t="s">
        <v>729</v>
      </c>
      <c r="N96" s="117" t="s">
        <v>650</v>
      </c>
      <c r="O96" s="117" t="s">
        <v>734</v>
      </c>
      <c r="P96" s="117" t="s">
        <v>732</v>
      </c>
      <c r="Q96" s="114">
        <v>0</v>
      </c>
      <c r="R96" s="114">
        <v>0</v>
      </c>
      <c r="S96" s="114">
        <v>0</v>
      </c>
      <c r="T96" s="114">
        <v>0</v>
      </c>
      <c r="U96" s="114">
        <f t="shared" si="2"/>
        <v>2815596</v>
      </c>
      <c r="V96" s="118" t="s">
        <v>819</v>
      </c>
      <c r="W96" s="111">
        <v>45565</v>
      </c>
    </row>
    <row r="97" spans="1:23" s="115" customFormat="1" x14ac:dyDescent="0.2">
      <c r="A97" s="115">
        <v>44951</v>
      </c>
      <c r="B97" s="115">
        <v>1</v>
      </c>
      <c r="C97" s="115">
        <v>9235827</v>
      </c>
      <c r="D97" s="111">
        <v>45489</v>
      </c>
      <c r="E97" s="111">
        <v>45565</v>
      </c>
      <c r="F97" s="112">
        <v>4889894.0999999996</v>
      </c>
      <c r="G97" s="116">
        <v>31557</v>
      </c>
      <c r="H97" s="112">
        <v>4889894.0999999996</v>
      </c>
      <c r="I97" s="117" t="s">
        <v>772</v>
      </c>
      <c r="J97" s="117" t="s">
        <v>773</v>
      </c>
      <c r="K97" s="117" t="s">
        <v>772</v>
      </c>
      <c r="L97" s="117" t="s">
        <v>660</v>
      </c>
      <c r="M97" s="117" t="s">
        <v>661</v>
      </c>
      <c r="N97" s="117" t="s">
        <v>662</v>
      </c>
      <c r="O97" s="117" t="s">
        <v>661</v>
      </c>
      <c r="P97" s="117" t="s">
        <v>772</v>
      </c>
      <c r="Q97" s="114">
        <v>0</v>
      </c>
      <c r="R97" s="114">
        <v>0</v>
      </c>
      <c r="S97" s="114">
        <v>0</v>
      </c>
      <c r="T97" s="114">
        <v>0</v>
      </c>
      <c r="U97" s="114">
        <f t="shared" si="2"/>
        <v>4889894.0999999996</v>
      </c>
      <c r="V97" s="118" t="s">
        <v>819</v>
      </c>
      <c r="W97" s="111">
        <v>45565</v>
      </c>
    </row>
    <row r="98" spans="1:23" s="115" customFormat="1" x14ac:dyDescent="0.2">
      <c r="A98" s="115">
        <v>44959</v>
      </c>
      <c r="B98" s="115">
        <v>1</v>
      </c>
      <c r="C98" s="115">
        <v>9235832</v>
      </c>
      <c r="D98" s="111">
        <v>45489</v>
      </c>
      <c r="E98" s="111">
        <v>45565</v>
      </c>
      <c r="F98" s="112">
        <v>5272856</v>
      </c>
      <c r="G98" s="116">
        <v>31562</v>
      </c>
      <c r="H98" s="112">
        <v>5272856</v>
      </c>
      <c r="I98" s="117" t="s">
        <v>759</v>
      </c>
      <c r="J98" s="117" t="s">
        <v>760</v>
      </c>
      <c r="K98" s="117" t="s">
        <v>759</v>
      </c>
      <c r="L98" s="117" t="s">
        <v>728</v>
      </c>
      <c r="M98" s="117" t="s">
        <v>729</v>
      </c>
      <c r="N98" s="117" t="s">
        <v>730</v>
      </c>
      <c r="O98" s="117" t="s">
        <v>731</v>
      </c>
      <c r="P98" s="117" t="s">
        <v>759</v>
      </c>
      <c r="Q98" s="114">
        <v>0</v>
      </c>
      <c r="R98" s="114">
        <v>0</v>
      </c>
      <c r="S98" s="114">
        <v>0</v>
      </c>
      <c r="T98" s="114">
        <v>0</v>
      </c>
      <c r="U98" s="114">
        <f t="shared" si="2"/>
        <v>5272856</v>
      </c>
      <c r="V98" s="118" t="s">
        <v>819</v>
      </c>
      <c r="W98" s="111">
        <v>45565</v>
      </c>
    </row>
    <row r="99" spans="1:23" s="115" customFormat="1" x14ac:dyDescent="0.2">
      <c r="A99" s="115">
        <v>44928</v>
      </c>
      <c r="B99" s="115">
        <v>1</v>
      </c>
      <c r="C99" s="115">
        <v>9235811</v>
      </c>
      <c r="D99" s="111">
        <v>45488</v>
      </c>
      <c r="E99" s="111">
        <v>45565</v>
      </c>
      <c r="F99" s="112">
        <v>7228765.1699999999</v>
      </c>
      <c r="G99" s="116">
        <v>31541</v>
      </c>
      <c r="H99" s="112">
        <v>7228765.1699999999</v>
      </c>
      <c r="I99" s="117" t="s">
        <v>774</v>
      </c>
      <c r="J99" s="117" t="s">
        <v>775</v>
      </c>
      <c r="K99" s="117" t="s">
        <v>774</v>
      </c>
      <c r="L99" s="117" t="s">
        <v>660</v>
      </c>
      <c r="M99" s="117" t="s">
        <v>661</v>
      </c>
      <c r="N99" s="117" t="s">
        <v>662</v>
      </c>
      <c r="O99" s="117" t="s">
        <v>661</v>
      </c>
      <c r="P99" s="117" t="s">
        <v>774</v>
      </c>
      <c r="Q99" s="114">
        <v>0</v>
      </c>
      <c r="R99" s="114">
        <v>0</v>
      </c>
      <c r="S99" s="114">
        <v>0</v>
      </c>
      <c r="T99" s="114">
        <v>0</v>
      </c>
      <c r="U99" s="114">
        <f t="shared" si="2"/>
        <v>7228765.1699999999</v>
      </c>
      <c r="V99" s="118" t="s">
        <v>819</v>
      </c>
      <c r="W99" s="111">
        <v>45565</v>
      </c>
    </row>
    <row r="100" spans="1:23" s="115" customFormat="1" x14ac:dyDescent="0.2">
      <c r="A100" s="115">
        <v>44930</v>
      </c>
      <c r="B100" s="115">
        <v>1</v>
      </c>
      <c r="C100" s="115">
        <v>9235813</v>
      </c>
      <c r="D100" s="111">
        <v>45488</v>
      </c>
      <c r="E100" s="111">
        <v>45565</v>
      </c>
      <c r="F100" s="112">
        <v>7463414</v>
      </c>
      <c r="G100" s="116">
        <v>31543</v>
      </c>
      <c r="H100" s="112">
        <v>7463414</v>
      </c>
      <c r="I100" s="117" t="s">
        <v>732</v>
      </c>
      <c r="J100" s="117" t="s">
        <v>733</v>
      </c>
      <c r="K100" s="117" t="s">
        <v>732</v>
      </c>
      <c r="L100" s="117" t="s">
        <v>728</v>
      </c>
      <c r="M100" s="117" t="s">
        <v>729</v>
      </c>
      <c r="N100" s="117" t="s">
        <v>650</v>
      </c>
      <c r="O100" s="117" t="s">
        <v>734</v>
      </c>
      <c r="P100" s="117" t="s">
        <v>732</v>
      </c>
      <c r="Q100" s="114">
        <v>0</v>
      </c>
      <c r="R100" s="114">
        <v>0</v>
      </c>
      <c r="S100" s="114">
        <v>0</v>
      </c>
      <c r="T100" s="114">
        <v>0</v>
      </c>
      <c r="U100" s="114">
        <f t="shared" si="2"/>
        <v>7463414</v>
      </c>
      <c r="V100" s="118" t="s">
        <v>819</v>
      </c>
      <c r="W100" s="111">
        <v>45565</v>
      </c>
    </row>
    <row r="101" spans="1:23" s="115" customFormat="1" x14ac:dyDescent="0.2">
      <c r="A101" s="115">
        <v>44659</v>
      </c>
      <c r="B101" s="115">
        <v>1</v>
      </c>
      <c r="C101" s="115">
        <v>9235660</v>
      </c>
      <c r="D101" s="111">
        <v>45469</v>
      </c>
      <c r="E101" s="111">
        <v>45565</v>
      </c>
      <c r="F101" s="112">
        <v>8426553</v>
      </c>
      <c r="G101" s="116">
        <v>31490</v>
      </c>
      <c r="H101" s="112">
        <v>8426553</v>
      </c>
      <c r="I101" s="117" t="s">
        <v>732</v>
      </c>
      <c r="J101" s="117" t="s">
        <v>733</v>
      </c>
      <c r="K101" s="117" t="s">
        <v>732</v>
      </c>
      <c r="L101" s="117" t="s">
        <v>728</v>
      </c>
      <c r="M101" s="117" t="s">
        <v>729</v>
      </c>
      <c r="N101" s="117" t="s">
        <v>650</v>
      </c>
      <c r="O101" s="117" t="s">
        <v>734</v>
      </c>
      <c r="P101" s="117" t="s">
        <v>732</v>
      </c>
      <c r="Q101" s="114">
        <v>0</v>
      </c>
      <c r="R101" s="114">
        <v>0</v>
      </c>
      <c r="S101" s="114">
        <v>0</v>
      </c>
      <c r="T101" s="114">
        <v>0</v>
      </c>
      <c r="U101" s="114">
        <f t="shared" si="2"/>
        <v>8426553</v>
      </c>
      <c r="V101" s="118" t="s">
        <v>819</v>
      </c>
      <c r="W101" s="111">
        <v>45565</v>
      </c>
    </row>
    <row r="102" spans="1:23" s="115" customFormat="1" x14ac:dyDescent="0.2">
      <c r="A102" s="115">
        <v>44946</v>
      </c>
      <c r="B102" s="115">
        <v>1</v>
      </c>
      <c r="C102" s="115">
        <v>9235823</v>
      </c>
      <c r="D102" s="111">
        <v>45489</v>
      </c>
      <c r="E102" s="111">
        <v>45565</v>
      </c>
      <c r="F102" s="112">
        <v>8951423.5899999999</v>
      </c>
      <c r="G102" s="116">
        <v>31553</v>
      </c>
      <c r="H102" s="112">
        <v>8951423.5899999999</v>
      </c>
      <c r="I102" s="117" t="s">
        <v>757</v>
      </c>
      <c r="J102" s="117" t="s">
        <v>758</v>
      </c>
      <c r="K102" s="117" t="s">
        <v>757</v>
      </c>
      <c r="L102" s="117" t="s">
        <v>728</v>
      </c>
      <c r="M102" s="117" t="s">
        <v>729</v>
      </c>
      <c r="N102" s="117" t="s">
        <v>730</v>
      </c>
      <c r="O102" s="117" t="s">
        <v>731</v>
      </c>
      <c r="P102" s="117" t="s">
        <v>757</v>
      </c>
      <c r="Q102" s="114">
        <v>0</v>
      </c>
      <c r="R102" s="114">
        <v>0</v>
      </c>
      <c r="S102" s="114">
        <v>0</v>
      </c>
      <c r="T102" s="114">
        <v>0</v>
      </c>
      <c r="U102" s="114">
        <f t="shared" si="2"/>
        <v>8951423.5899999999</v>
      </c>
      <c r="V102" s="118" t="s">
        <v>819</v>
      </c>
      <c r="W102" s="111">
        <v>45565</v>
      </c>
    </row>
    <row r="103" spans="1:23" s="115" customFormat="1" x14ac:dyDescent="0.2">
      <c r="A103" s="115">
        <v>44661</v>
      </c>
      <c r="B103" s="115">
        <v>1</v>
      </c>
      <c r="C103" s="115">
        <v>9235661</v>
      </c>
      <c r="D103" s="111">
        <v>45469</v>
      </c>
      <c r="E103" s="111">
        <v>45565</v>
      </c>
      <c r="F103" s="112">
        <v>9151730.3499999996</v>
      </c>
      <c r="G103" s="116">
        <v>31492</v>
      </c>
      <c r="H103" s="112">
        <v>9151730.3499999996</v>
      </c>
      <c r="I103" s="117" t="s">
        <v>772</v>
      </c>
      <c r="J103" s="117" t="s">
        <v>773</v>
      </c>
      <c r="K103" s="117" t="s">
        <v>772</v>
      </c>
      <c r="L103" s="117" t="s">
        <v>660</v>
      </c>
      <c r="M103" s="117" t="s">
        <v>661</v>
      </c>
      <c r="N103" s="117" t="s">
        <v>662</v>
      </c>
      <c r="O103" s="117" t="s">
        <v>661</v>
      </c>
      <c r="P103" s="117" t="s">
        <v>772</v>
      </c>
      <c r="Q103" s="114">
        <v>0</v>
      </c>
      <c r="R103" s="114">
        <v>0</v>
      </c>
      <c r="S103" s="114">
        <v>0</v>
      </c>
      <c r="T103" s="114">
        <v>0</v>
      </c>
      <c r="U103" s="114">
        <f t="shared" ref="U103:U134" si="3">+H103-Q103-R103-S103-T103</f>
        <v>9151730.3499999996</v>
      </c>
      <c r="V103" s="118" t="s">
        <v>819</v>
      </c>
      <c r="W103" s="111">
        <v>45565</v>
      </c>
    </row>
    <row r="104" spans="1:23" s="115" customFormat="1" x14ac:dyDescent="0.2">
      <c r="A104" s="115">
        <v>45291</v>
      </c>
      <c r="B104" s="115">
        <v>1</v>
      </c>
      <c r="C104" s="115">
        <v>9236018</v>
      </c>
      <c r="D104" s="111">
        <v>45502</v>
      </c>
      <c r="E104" s="111">
        <v>45565</v>
      </c>
      <c r="F104" s="112">
        <v>20563621.989999998</v>
      </c>
      <c r="G104" s="116">
        <v>31599</v>
      </c>
      <c r="H104" s="112">
        <v>20563621.989999998</v>
      </c>
      <c r="I104" s="117" t="s">
        <v>763</v>
      </c>
      <c r="J104" s="117" t="s">
        <v>764</v>
      </c>
      <c r="K104" s="117" t="s">
        <v>763</v>
      </c>
      <c r="L104" s="117" t="s">
        <v>765</v>
      </c>
      <c r="M104" s="117" t="s">
        <v>766</v>
      </c>
      <c r="N104" s="117" t="s">
        <v>767</v>
      </c>
      <c r="O104" s="117" t="s">
        <v>766</v>
      </c>
      <c r="P104" s="117" t="s">
        <v>763</v>
      </c>
      <c r="Q104" s="114">
        <v>0</v>
      </c>
      <c r="R104" s="114">
        <v>0</v>
      </c>
      <c r="S104" s="114">
        <v>0</v>
      </c>
      <c r="T104" s="114">
        <v>0</v>
      </c>
      <c r="U104" s="114">
        <f t="shared" si="3"/>
        <v>20563621.989999998</v>
      </c>
      <c r="V104" s="118" t="s">
        <v>819</v>
      </c>
      <c r="W104" s="111">
        <v>45565</v>
      </c>
    </row>
    <row r="105" spans="1:23" s="115" customFormat="1" x14ac:dyDescent="0.2">
      <c r="A105" s="115">
        <v>44052</v>
      </c>
      <c r="B105" s="115">
        <v>1</v>
      </c>
      <c r="C105" s="115">
        <v>9235362</v>
      </c>
      <c r="D105" s="111">
        <v>45436</v>
      </c>
      <c r="E105" s="111">
        <v>45591</v>
      </c>
      <c r="F105" s="112">
        <v>5219940.5199999996</v>
      </c>
      <c r="G105" s="116">
        <v>31408</v>
      </c>
      <c r="H105" s="112">
        <v>5219940.5199999996</v>
      </c>
      <c r="I105" s="117" t="s">
        <v>732</v>
      </c>
      <c r="J105" s="117" t="s">
        <v>733</v>
      </c>
      <c r="K105" s="117" t="s">
        <v>732</v>
      </c>
      <c r="L105" s="117" t="s">
        <v>728</v>
      </c>
      <c r="M105" s="117" t="s">
        <v>729</v>
      </c>
      <c r="N105" s="117" t="s">
        <v>650</v>
      </c>
      <c r="O105" s="117" t="s">
        <v>734</v>
      </c>
      <c r="P105" s="117" t="s">
        <v>732</v>
      </c>
      <c r="Q105" s="114">
        <v>0</v>
      </c>
      <c r="R105" s="114">
        <v>0</v>
      </c>
      <c r="S105" s="114">
        <v>0</v>
      </c>
      <c r="T105" s="114">
        <v>0</v>
      </c>
      <c r="U105" s="114">
        <f t="shared" si="3"/>
        <v>5219940.5199999996</v>
      </c>
      <c r="V105" s="118" t="s">
        <v>819</v>
      </c>
      <c r="W105" s="111">
        <v>45591</v>
      </c>
    </row>
    <row r="106" spans="1:23" s="115" customFormat="1" x14ac:dyDescent="0.2">
      <c r="A106" s="115">
        <v>45592</v>
      </c>
      <c r="B106" s="115">
        <v>1</v>
      </c>
      <c r="C106" s="115">
        <v>9236163</v>
      </c>
      <c r="D106" s="111">
        <v>45526</v>
      </c>
      <c r="E106" s="111">
        <v>45592</v>
      </c>
      <c r="F106" s="112">
        <v>2487286.7200000002</v>
      </c>
      <c r="G106" s="116">
        <v>31677</v>
      </c>
      <c r="H106" s="112">
        <v>2487286.7200000002</v>
      </c>
      <c r="I106" s="117" t="s">
        <v>768</v>
      </c>
      <c r="J106" s="117" t="s">
        <v>769</v>
      </c>
      <c r="K106" s="117" t="s">
        <v>768</v>
      </c>
      <c r="L106" s="117" t="s">
        <v>673</v>
      </c>
      <c r="M106" s="117" t="s">
        <v>674</v>
      </c>
      <c r="N106" s="117" t="s">
        <v>675</v>
      </c>
      <c r="O106" s="117" t="s">
        <v>676</v>
      </c>
      <c r="P106" s="117" t="s">
        <v>768</v>
      </c>
      <c r="Q106" s="114">
        <v>0</v>
      </c>
      <c r="R106" s="114">
        <v>0</v>
      </c>
      <c r="S106" s="114">
        <v>0</v>
      </c>
      <c r="T106" s="114">
        <v>0</v>
      </c>
      <c r="U106" s="114">
        <f t="shared" si="3"/>
        <v>2487286.7200000002</v>
      </c>
      <c r="V106" s="118" t="s">
        <v>819</v>
      </c>
      <c r="W106" s="111">
        <v>45592</v>
      </c>
    </row>
    <row r="107" spans="1:23" s="115" customFormat="1" x14ac:dyDescent="0.2">
      <c r="A107" s="115">
        <v>45580</v>
      </c>
      <c r="B107" s="115">
        <v>1</v>
      </c>
      <c r="C107" s="115">
        <v>9236159</v>
      </c>
      <c r="D107" s="111">
        <v>45526</v>
      </c>
      <c r="E107" s="111">
        <v>45593</v>
      </c>
      <c r="F107" s="112">
        <v>34931.74</v>
      </c>
      <c r="G107" s="116">
        <v>31672</v>
      </c>
      <c r="H107" s="112">
        <v>34931.74</v>
      </c>
      <c r="I107" s="117" t="s">
        <v>755</v>
      </c>
      <c r="J107" s="117" t="s">
        <v>756</v>
      </c>
      <c r="K107" s="117" t="s">
        <v>755</v>
      </c>
      <c r="L107" s="117" t="s">
        <v>728</v>
      </c>
      <c r="M107" s="117" t="s">
        <v>729</v>
      </c>
      <c r="N107" s="117" t="s">
        <v>730</v>
      </c>
      <c r="O107" s="117" t="s">
        <v>731</v>
      </c>
      <c r="P107" s="117" t="s">
        <v>755</v>
      </c>
      <c r="Q107" s="114">
        <v>0</v>
      </c>
      <c r="R107" s="114">
        <v>0</v>
      </c>
      <c r="S107" s="114">
        <v>0</v>
      </c>
      <c r="T107" s="114">
        <v>0</v>
      </c>
      <c r="U107" s="114">
        <f t="shared" si="3"/>
        <v>34931.74</v>
      </c>
      <c r="V107" s="118" t="s">
        <v>819</v>
      </c>
      <c r="W107" s="111">
        <v>45593</v>
      </c>
    </row>
    <row r="108" spans="1:23" s="115" customFormat="1" x14ac:dyDescent="0.2">
      <c r="A108" s="115">
        <v>45340</v>
      </c>
      <c r="B108" s="115">
        <v>1</v>
      </c>
      <c r="C108" s="115">
        <v>9236045</v>
      </c>
      <c r="D108" s="111">
        <v>45512</v>
      </c>
      <c r="E108" s="111">
        <v>45593</v>
      </c>
      <c r="F108" s="112">
        <v>271645</v>
      </c>
      <c r="G108" s="116">
        <v>31627</v>
      </c>
      <c r="H108" s="112">
        <v>271645</v>
      </c>
      <c r="I108" s="117" t="s">
        <v>828</v>
      </c>
      <c r="J108" s="117" t="s">
        <v>829</v>
      </c>
      <c r="K108" s="117" t="s">
        <v>828</v>
      </c>
      <c r="L108" s="117" t="s">
        <v>687</v>
      </c>
      <c r="M108" s="117" t="s">
        <v>688</v>
      </c>
      <c r="N108" s="117" t="s">
        <v>638</v>
      </c>
      <c r="O108" s="117" t="s">
        <v>639</v>
      </c>
      <c r="P108" s="117" t="s">
        <v>828</v>
      </c>
      <c r="Q108" s="114">
        <v>0</v>
      </c>
      <c r="R108" s="114">
        <v>0</v>
      </c>
      <c r="S108" s="114">
        <v>0</v>
      </c>
      <c r="T108" s="114">
        <v>0</v>
      </c>
      <c r="U108" s="114">
        <f t="shared" si="3"/>
        <v>271645</v>
      </c>
      <c r="V108" s="118" t="s">
        <v>819</v>
      </c>
      <c r="W108" s="111">
        <v>45593</v>
      </c>
    </row>
    <row r="109" spans="1:23" s="115" customFormat="1" x14ac:dyDescent="0.2">
      <c r="A109" s="115">
        <v>45105</v>
      </c>
      <c r="B109" s="115">
        <v>1</v>
      </c>
      <c r="C109" s="115">
        <v>9235903</v>
      </c>
      <c r="D109" s="111">
        <v>45497</v>
      </c>
      <c r="E109" s="111">
        <v>45593</v>
      </c>
      <c r="F109" s="112">
        <v>758000</v>
      </c>
      <c r="G109" s="116">
        <v>31579</v>
      </c>
      <c r="H109" s="112">
        <v>758000</v>
      </c>
      <c r="I109" s="117" t="s">
        <v>822</v>
      </c>
      <c r="J109" s="117" t="s">
        <v>823</v>
      </c>
      <c r="K109" s="117" t="s">
        <v>822</v>
      </c>
      <c r="L109" s="117" t="s">
        <v>722</v>
      </c>
      <c r="M109" s="117" t="s">
        <v>723</v>
      </c>
      <c r="N109" s="117" t="s">
        <v>724</v>
      </c>
      <c r="O109" s="117" t="s">
        <v>725</v>
      </c>
      <c r="P109" s="117" t="s">
        <v>822</v>
      </c>
      <c r="Q109" s="114">
        <v>0</v>
      </c>
      <c r="R109" s="114">
        <v>0</v>
      </c>
      <c r="S109" s="114">
        <v>0</v>
      </c>
      <c r="T109" s="114">
        <v>0</v>
      </c>
      <c r="U109" s="114">
        <f t="shared" si="3"/>
        <v>758000</v>
      </c>
      <c r="V109" s="118" t="s">
        <v>819</v>
      </c>
      <c r="W109" s="111">
        <v>45593</v>
      </c>
    </row>
    <row r="110" spans="1:23" s="115" customFormat="1" x14ac:dyDescent="0.2">
      <c r="A110" s="115">
        <v>45346</v>
      </c>
      <c r="B110" s="115">
        <v>1</v>
      </c>
      <c r="C110" s="115">
        <v>9236049</v>
      </c>
      <c r="D110" s="111">
        <v>45512</v>
      </c>
      <c r="E110" s="111">
        <v>45593</v>
      </c>
      <c r="F110" s="112">
        <v>2007585</v>
      </c>
      <c r="G110" s="116">
        <v>31632</v>
      </c>
      <c r="H110" s="112">
        <v>2007585</v>
      </c>
      <c r="I110" s="117" t="s">
        <v>715</v>
      </c>
      <c r="J110" s="117" t="s">
        <v>716</v>
      </c>
      <c r="K110" s="117" t="s">
        <v>715</v>
      </c>
      <c r="L110" s="117" t="s">
        <v>717</v>
      </c>
      <c r="M110" s="117" t="s">
        <v>718</v>
      </c>
      <c r="N110" s="117" t="s">
        <v>719</v>
      </c>
      <c r="O110" s="117" t="s">
        <v>718</v>
      </c>
      <c r="P110" s="117" t="s">
        <v>715</v>
      </c>
      <c r="Q110" s="114">
        <v>0</v>
      </c>
      <c r="R110" s="114">
        <v>0</v>
      </c>
      <c r="S110" s="114">
        <v>0</v>
      </c>
      <c r="T110" s="114">
        <v>0</v>
      </c>
      <c r="U110" s="114">
        <f t="shared" si="3"/>
        <v>2007585</v>
      </c>
      <c r="V110" s="118" t="s">
        <v>819</v>
      </c>
      <c r="W110" s="111">
        <v>45593</v>
      </c>
    </row>
    <row r="111" spans="1:23" s="115" customFormat="1" x14ac:dyDescent="0.2">
      <c r="A111" s="115">
        <v>45112</v>
      </c>
      <c r="B111" s="115">
        <v>1</v>
      </c>
      <c r="C111" s="115">
        <v>9235909</v>
      </c>
      <c r="D111" s="111">
        <v>45497</v>
      </c>
      <c r="E111" s="111">
        <v>45593</v>
      </c>
      <c r="F111" s="112">
        <v>2681249.25</v>
      </c>
      <c r="G111" s="116">
        <v>31586</v>
      </c>
      <c r="H111" s="112">
        <v>2681249.25</v>
      </c>
      <c r="I111" s="117" t="s">
        <v>772</v>
      </c>
      <c r="J111" s="117" t="s">
        <v>773</v>
      </c>
      <c r="K111" s="117" t="s">
        <v>772</v>
      </c>
      <c r="L111" s="117" t="s">
        <v>660</v>
      </c>
      <c r="M111" s="117" t="s">
        <v>661</v>
      </c>
      <c r="N111" s="117" t="s">
        <v>662</v>
      </c>
      <c r="O111" s="117" t="s">
        <v>661</v>
      </c>
      <c r="P111" s="117" t="s">
        <v>772</v>
      </c>
      <c r="Q111" s="114">
        <v>0</v>
      </c>
      <c r="R111" s="114">
        <v>0</v>
      </c>
      <c r="S111" s="114">
        <v>0</v>
      </c>
      <c r="T111" s="114">
        <v>0</v>
      </c>
      <c r="U111" s="114">
        <f t="shared" si="3"/>
        <v>2681249.25</v>
      </c>
      <c r="V111" s="118" t="s">
        <v>819</v>
      </c>
      <c r="W111" s="111">
        <v>45593</v>
      </c>
    </row>
    <row r="112" spans="1:23" s="115" customFormat="1" x14ac:dyDescent="0.2">
      <c r="A112" s="115">
        <v>45108</v>
      </c>
      <c r="B112" s="115">
        <v>1</v>
      </c>
      <c r="C112" s="115">
        <v>9235906</v>
      </c>
      <c r="D112" s="111">
        <v>45497</v>
      </c>
      <c r="E112" s="111">
        <v>45593</v>
      </c>
      <c r="F112" s="112">
        <v>5104908.8</v>
      </c>
      <c r="G112" s="116">
        <v>31582</v>
      </c>
      <c r="H112" s="112">
        <v>5104908.8</v>
      </c>
      <c r="I112" s="117" t="s">
        <v>772</v>
      </c>
      <c r="J112" s="117" t="s">
        <v>773</v>
      </c>
      <c r="K112" s="117" t="s">
        <v>772</v>
      </c>
      <c r="L112" s="117" t="s">
        <v>660</v>
      </c>
      <c r="M112" s="117" t="s">
        <v>661</v>
      </c>
      <c r="N112" s="117" t="s">
        <v>662</v>
      </c>
      <c r="O112" s="117" t="s">
        <v>661</v>
      </c>
      <c r="P112" s="117" t="s">
        <v>772</v>
      </c>
      <c r="Q112" s="114">
        <v>0</v>
      </c>
      <c r="R112" s="114">
        <v>0</v>
      </c>
      <c r="S112" s="114">
        <v>0</v>
      </c>
      <c r="T112" s="114">
        <v>0</v>
      </c>
      <c r="U112" s="114">
        <f t="shared" si="3"/>
        <v>5104908.8</v>
      </c>
      <c r="V112" s="118" t="s">
        <v>819</v>
      </c>
      <c r="W112" s="111">
        <v>45593</v>
      </c>
    </row>
    <row r="113" spans="1:23" s="115" customFormat="1" x14ac:dyDescent="0.2">
      <c r="A113" s="115">
        <v>45328</v>
      </c>
      <c r="B113" s="115">
        <v>1</v>
      </c>
      <c r="C113" s="115">
        <v>9236035</v>
      </c>
      <c r="D113" s="111">
        <v>45512</v>
      </c>
      <c r="E113" s="111">
        <v>45594</v>
      </c>
      <c r="F113" s="112">
        <v>459294.05</v>
      </c>
      <c r="G113" s="116">
        <v>31616</v>
      </c>
      <c r="H113" s="112">
        <v>459294.05</v>
      </c>
      <c r="I113" s="117" t="s">
        <v>654</v>
      </c>
      <c r="J113" s="117" t="s">
        <v>655</v>
      </c>
      <c r="K113" s="117" t="s">
        <v>654</v>
      </c>
      <c r="L113" s="117" t="s">
        <v>656</v>
      </c>
      <c r="M113" s="117" t="s">
        <v>657</v>
      </c>
      <c r="N113" s="117" t="s">
        <v>658</v>
      </c>
      <c r="O113" s="117" t="s">
        <v>659</v>
      </c>
      <c r="P113" s="117" t="s">
        <v>654</v>
      </c>
      <c r="Q113" s="114">
        <v>0</v>
      </c>
      <c r="R113" s="114">
        <v>0</v>
      </c>
      <c r="S113" s="114">
        <v>0</v>
      </c>
      <c r="T113" s="114">
        <v>0</v>
      </c>
      <c r="U113" s="114">
        <f t="shared" si="3"/>
        <v>459294.05</v>
      </c>
      <c r="V113" s="118" t="s">
        <v>819</v>
      </c>
      <c r="W113" s="111">
        <v>45594</v>
      </c>
    </row>
    <row r="114" spans="1:23" s="115" customFormat="1" x14ac:dyDescent="0.2">
      <c r="A114" s="115">
        <v>45331</v>
      </c>
      <c r="B114" s="115">
        <v>1</v>
      </c>
      <c r="C114" s="115">
        <v>9236037</v>
      </c>
      <c r="D114" s="111">
        <v>45512</v>
      </c>
      <c r="E114" s="111">
        <v>45594</v>
      </c>
      <c r="F114" s="112">
        <v>662378.19999999995</v>
      </c>
      <c r="G114" s="116">
        <v>31618</v>
      </c>
      <c r="H114" s="112">
        <v>662378.19999999995</v>
      </c>
      <c r="I114" s="117" t="s">
        <v>761</v>
      </c>
      <c r="J114" s="117" t="s">
        <v>762</v>
      </c>
      <c r="K114" s="117" t="s">
        <v>761</v>
      </c>
      <c r="L114" s="117" t="s">
        <v>656</v>
      </c>
      <c r="M114" s="117" t="s">
        <v>657</v>
      </c>
      <c r="N114" s="117" t="s">
        <v>681</v>
      </c>
      <c r="O114" s="117" t="s">
        <v>682</v>
      </c>
      <c r="P114" s="117" t="s">
        <v>761</v>
      </c>
      <c r="Q114" s="114">
        <v>0</v>
      </c>
      <c r="R114" s="114">
        <v>0</v>
      </c>
      <c r="S114" s="114">
        <v>0</v>
      </c>
      <c r="T114" s="114">
        <v>0</v>
      </c>
      <c r="U114" s="114">
        <f t="shared" si="3"/>
        <v>662378.19999999995</v>
      </c>
      <c r="V114" s="118" t="s">
        <v>819</v>
      </c>
      <c r="W114" s="111">
        <v>45594</v>
      </c>
    </row>
    <row r="115" spans="1:23" s="115" customFormat="1" x14ac:dyDescent="0.2">
      <c r="A115" s="115">
        <v>45335</v>
      </c>
      <c r="B115" s="115">
        <v>1</v>
      </c>
      <c r="C115" s="115">
        <v>9236040</v>
      </c>
      <c r="D115" s="111">
        <v>45512</v>
      </c>
      <c r="E115" s="111">
        <v>45594</v>
      </c>
      <c r="F115" s="112">
        <v>1627027.5</v>
      </c>
      <c r="G115" s="116">
        <v>31622</v>
      </c>
      <c r="H115" s="112">
        <v>1627027.5</v>
      </c>
      <c r="I115" s="117" t="s">
        <v>776</v>
      </c>
      <c r="J115" s="117" t="s">
        <v>777</v>
      </c>
      <c r="K115" s="117" t="s">
        <v>776</v>
      </c>
      <c r="L115" s="117" t="s">
        <v>660</v>
      </c>
      <c r="M115" s="117" t="s">
        <v>661</v>
      </c>
      <c r="N115" s="117" t="s">
        <v>662</v>
      </c>
      <c r="O115" s="117" t="s">
        <v>661</v>
      </c>
      <c r="P115" s="117" t="s">
        <v>776</v>
      </c>
      <c r="Q115" s="114">
        <v>0</v>
      </c>
      <c r="R115" s="114">
        <v>0</v>
      </c>
      <c r="S115" s="114">
        <v>0</v>
      </c>
      <c r="T115" s="114">
        <v>0</v>
      </c>
      <c r="U115" s="114">
        <f t="shared" si="3"/>
        <v>1627027.5</v>
      </c>
      <c r="V115" s="118" t="s">
        <v>819</v>
      </c>
      <c r="W115" s="111">
        <v>45594</v>
      </c>
    </row>
    <row r="116" spans="1:23" s="115" customFormat="1" x14ac:dyDescent="0.2">
      <c r="A116" s="115">
        <v>45348</v>
      </c>
      <c r="B116" s="115">
        <v>1</v>
      </c>
      <c r="C116" s="115">
        <v>9236051</v>
      </c>
      <c r="D116" s="111">
        <v>45512</v>
      </c>
      <c r="E116" s="111">
        <v>45594</v>
      </c>
      <c r="F116" s="112">
        <v>1846243</v>
      </c>
      <c r="G116" s="116">
        <v>31634</v>
      </c>
      <c r="H116" s="112">
        <v>1846243</v>
      </c>
      <c r="I116" s="117" t="s">
        <v>805</v>
      </c>
      <c r="J116" s="117" t="s">
        <v>806</v>
      </c>
      <c r="K116" s="117" t="s">
        <v>805</v>
      </c>
      <c r="L116" s="117" t="s">
        <v>728</v>
      </c>
      <c r="M116" s="117" t="s">
        <v>729</v>
      </c>
      <c r="N116" s="117" t="s">
        <v>778</v>
      </c>
      <c r="O116" s="117" t="s">
        <v>731</v>
      </c>
      <c r="P116" s="117" t="s">
        <v>805</v>
      </c>
      <c r="Q116" s="114">
        <v>0</v>
      </c>
      <c r="R116" s="114">
        <v>0</v>
      </c>
      <c r="S116" s="114">
        <v>0</v>
      </c>
      <c r="T116" s="114">
        <v>0</v>
      </c>
      <c r="U116" s="114">
        <f t="shared" si="3"/>
        <v>1846243</v>
      </c>
      <c r="V116" s="118" t="s">
        <v>819</v>
      </c>
      <c r="W116" s="111">
        <v>45594</v>
      </c>
    </row>
    <row r="117" spans="1:23" s="115" customFormat="1" x14ac:dyDescent="0.2">
      <c r="A117" s="115">
        <v>45114</v>
      </c>
      <c r="B117" s="115">
        <v>1</v>
      </c>
      <c r="C117" s="115">
        <v>9235911</v>
      </c>
      <c r="D117" s="111">
        <v>45497</v>
      </c>
      <c r="E117" s="111">
        <v>45594</v>
      </c>
      <c r="F117" s="112">
        <v>6197811</v>
      </c>
      <c r="G117" s="116">
        <v>31588</v>
      </c>
      <c r="H117" s="112">
        <v>6197811</v>
      </c>
      <c r="I117" s="117" t="s">
        <v>732</v>
      </c>
      <c r="J117" s="117" t="s">
        <v>733</v>
      </c>
      <c r="K117" s="117" t="s">
        <v>732</v>
      </c>
      <c r="L117" s="117" t="s">
        <v>728</v>
      </c>
      <c r="M117" s="117" t="s">
        <v>729</v>
      </c>
      <c r="N117" s="117" t="s">
        <v>650</v>
      </c>
      <c r="O117" s="117" t="s">
        <v>734</v>
      </c>
      <c r="P117" s="117" t="s">
        <v>732</v>
      </c>
      <c r="Q117" s="114">
        <v>0</v>
      </c>
      <c r="R117" s="114">
        <v>0</v>
      </c>
      <c r="S117" s="114">
        <v>0</v>
      </c>
      <c r="T117" s="114">
        <v>0</v>
      </c>
      <c r="U117" s="114">
        <f t="shared" si="3"/>
        <v>6197811</v>
      </c>
      <c r="V117" s="118" t="s">
        <v>819</v>
      </c>
      <c r="W117" s="111">
        <v>45594</v>
      </c>
    </row>
    <row r="118" spans="1:23" s="115" customFormat="1" x14ac:dyDescent="0.2">
      <c r="A118" s="115">
        <v>44936</v>
      </c>
      <c r="B118" s="115">
        <v>1</v>
      </c>
      <c r="C118" s="115">
        <v>9235818</v>
      </c>
      <c r="D118" s="111">
        <v>45488</v>
      </c>
      <c r="E118" s="111">
        <v>45594</v>
      </c>
      <c r="F118" s="112">
        <v>6382094.5999999996</v>
      </c>
      <c r="G118" s="116">
        <v>31549</v>
      </c>
      <c r="H118" s="112">
        <v>6382094.5999999996</v>
      </c>
      <c r="I118" s="117" t="s">
        <v>791</v>
      </c>
      <c r="J118" s="117" t="s">
        <v>792</v>
      </c>
      <c r="K118" s="117" t="s">
        <v>791</v>
      </c>
      <c r="L118" s="117" t="s">
        <v>660</v>
      </c>
      <c r="M118" s="117" t="s">
        <v>661</v>
      </c>
      <c r="N118" s="117" t="s">
        <v>662</v>
      </c>
      <c r="O118" s="117" t="s">
        <v>661</v>
      </c>
      <c r="P118" s="117" t="s">
        <v>791</v>
      </c>
      <c r="Q118" s="114">
        <v>0</v>
      </c>
      <c r="R118" s="114">
        <v>0</v>
      </c>
      <c r="S118" s="114">
        <v>0</v>
      </c>
      <c r="T118" s="114">
        <v>0</v>
      </c>
      <c r="U118" s="114">
        <f t="shared" si="3"/>
        <v>6382094.5999999996</v>
      </c>
      <c r="V118" s="118" t="s">
        <v>819</v>
      </c>
      <c r="W118" s="111">
        <v>45594</v>
      </c>
    </row>
    <row r="119" spans="1:23" s="115" customFormat="1" x14ac:dyDescent="0.2">
      <c r="A119" s="115">
        <v>45332</v>
      </c>
      <c r="B119" s="115">
        <v>1</v>
      </c>
      <c r="C119" s="115">
        <v>9236038</v>
      </c>
      <c r="D119" s="111">
        <v>45512</v>
      </c>
      <c r="E119" s="111">
        <v>45594</v>
      </c>
      <c r="F119" s="112">
        <v>7356013</v>
      </c>
      <c r="G119" s="116">
        <v>31619</v>
      </c>
      <c r="H119" s="112">
        <v>7356013</v>
      </c>
      <c r="I119" s="117" t="s">
        <v>759</v>
      </c>
      <c r="J119" s="117" t="s">
        <v>760</v>
      </c>
      <c r="K119" s="117" t="s">
        <v>759</v>
      </c>
      <c r="L119" s="117" t="s">
        <v>728</v>
      </c>
      <c r="M119" s="117" t="s">
        <v>729</v>
      </c>
      <c r="N119" s="117" t="s">
        <v>730</v>
      </c>
      <c r="O119" s="117" t="s">
        <v>731</v>
      </c>
      <c r="P119" s="117" t="s">
        <v>759</v>
      </c>
      <c r="Q119" s="114">
        <v>0</v>
      </c>
      <c r="R119" s="114">
        <v>0</v>
      </c>
      <c r="S119" s="114">
        <v>0</v>
      </c>
      <c r="T119" s="114">
        <v>0</v>
      </c>
      <c r="U119" s="114">
        <f t="shared" si="3"/>
        <v>7356013</v>
      </c>
      <c r="V119" s="118" t="s">
        <v>819</v>
      </c>
      <c r="W119" s="111">
        <v>45594</v>
      </c>
    </row>
    <row r="120" spans="1:23" s="115" customFormat="1" x14ac:dyDescent="0.2">
      <c r="A120" s="115">
        <v>45565</v>
      </c>
      <c r="B120" s="115">
        <v>1</v>
      </c>
      <c r="C120" s="115">
        <v>9236150</v>
      </c>
      <c r="D120" s="111">
        <v>45526</v>
      </c>
      <c r="E120" s="111">
        <v>45594</v>
      </c>
      <c r="F120" s="112">
        <v>7533956</v>
      </c>
      <c r="G120" s="116">
        <v>31661</v>
      </c>
      <c r="H120" s="112">
        <v>7533956</v>
      </c>
      <c r="I120" s="117" t="s">
        <v>772</v>
      </c>
      <c r="J120" s="117" t="s">
        <v>773</v>
      </c>
      <c r="K120" s="117" t="s">
        <v>772</v>
      </c>
      <c r="L120" s="117" t="s">
        <v>660</v>
      </c>
      <c r="M120" s="117" t="s">
        <v>661</v>
      </c>
      <c r="N120" s="117" t="s">
        <v>662</v>
      </c>
      <c r="O120" s="117" t="s">
        <v>661</v>
      </c>
      <c r="P120" s="117" t="s">
        <v>772</v>
      </c>
      <c r="Q120" s="114">
        <v>0</v>
      </c>
      <c r="R120" s="114">
        <v>0</v>
      </c>
      <c r="S120" s="114">
        <v>0</v>
      </c>
      <c r="T120" s="114">
        <v>0</v>
      </c>
      <c r="U120" s="114">
        <f t="shared" si="3"/>
        <v>7533956</v>
      </c>
      <c r="V120" s="118" t="s">
        <v>819</v>
      </c>
      <c r="W120" s="111">
        <v>45594</v>
      </c>
    </row>
    <row r="121" spans="1:23" s="115" customFormat="1" x14ac:dyDescent="0.2">
      <c r="A121" s="115">
        <v>45339</v>
      </c>
      <c r="B121" s="115">
        <v>1</v>
      </c>
      <c r="C121" s="115">
        <v>9236044</v>
      </c>
      <c r="D121" s="111">
        <v>45512</v>
      </c>
      <c r="E121" s="111">
        <v>45595</v>
      </c>
      <c r="F121" s="112">
        <v>211992</v>
      </c>
      <c r="G121" s="116">
        <v>31626</v>
      </c>
      <c r="H121" s="112">
        <v>211992</v>
      </c>
      <c r="I121" s="117" t="s">
        <v>737</v>
      </c>
      <c r="J121" s="117" t="s">
        <v>738</v>
      </c>
      <c r="K121" s="117" t="s">
        <v>737</v>
      </c>
      <c r="L121" s="117" t="s">
        <v>728</v>
      </c>
      <c r="M121" s="117" t="s">
        <v>729</v>
      </c>
      <c r="N121" s="117" t="s">
        <v>730</v>
      </c>
      <c r="O121" s="117" t="s">
        <v>731</v>
      </c>
      <c r="P121" s="117" t="s">
        <v>737</v>
      </c>
      <c r="Q121" s="114">
        <v>0</v>
      </c>
      <c r="R121" s="114">
        <v>0</v>
      </c>
      <c r="S121" s="114">
        <v>0</v>
      </c>
      <c r="T121" s="114">
        <v>0</v>
      </c>
      <c r="U121" s="114">
        <f t="shared" si="3"/>
        <v>211992</v>
      </c>
      <c r="V121" s="118" t="s">
        <v>819</v>
      </c>
      <c r="W121" s="111">
        <v>45595</v>
      </c>
    </row>
    <row r="122" spans="1:23" s="115" customFormat="1" x14ac:dyDescent="0.2">
      <c r="A122" s="115">
        <v>45598</v>
      </c>
      <c r="B122" s="115">
        <v>1</v>
      </c>
      <c r="C122" s="115">
        <v>9236169</v>
      </c>
      <c r="D122" s="111">
        <v>45526</v>
      </c>
      <c r="E122" s="111">
        <v>45595</v>
      </c>
      <c r="F122" s="112">
        <v>268329.59999999998</v>
      </c>
      <c r="G122" s="116">
        <v>31683</v>
      </c>
      <c r="H122" s="112">
        <v>268329.59999999998</v>
      </c>
      <c r="I122" s="117" t="s">
        <v>667</v>
      </c>
      <c r="J122" s="117" t="s">
        <v>668</v>
      </c>
      <c r="K122" s="117" t="s">
        <v>667</v>
      </c>
      <c r="L122" s="117" t="s">
        <v>656</v>
      </c>
      <c r="M122" s="117" t="s">
        <v>657</v>
      </c>
      <c r="N122" s="117" t="s">
        <v>658</v>
      </c>
      <c r="O122" s="117" t="s">
        <v>659</v>
      </c>
      <c r="P122" s="117" t="s">
        <v>667</v>
      </c>
      <c r="Q122" s="114">
        <v>0</v>
      </c>
      <c r="R122" s="114">
        <v>0</v>
      </c>
      <c r="S122" s="114">
        <v>0</v>
      </c>
      <c r="T122" s="114">
        <v>0</v>
      </c>
      <c r="U122" s="114">
        <f t="shared" si="3"/>
        <v>268329.59999999998</v>
      </c>
      <c r="V122" s="118" t="s">
        <v>819</v>
      </c>
      <c r="W122" s="111">
        <v>45595</v>
      </c>
    </row>
    <row r="123" spans="1:23" s="115" customFormat="1" x14ac:dyDescent="0.2">
      <c r="A123" s="115">
        <v>45337</v>
      </c>
      <c r="B123" s="115">
        <v>1</v>
      </c>
      <c r="C123" s="115">
        <v>9236042</v>
      </c>
      <c r="D123" s="111">
        <v>45512</v>
      </c>
      <c r="E123" s="111">
        <v>45595</v>
      </c>
      <c r="F123" s="112">
        <v>367677</v>
      </c>
      <c r="G123" s="116">
        <v>31624</v>
      </c>
      <c r="H123" s="112">
        <v>367677</v>
      </c>
      <c r="I123" s="117" t="s">
        <v>683</v>
      </c>
      <c r="J123" s="117" t="s">
        <v>684</v>
      </c>
      <c r="K123" s="117" t="s">
        <v>683</v>
      </c>
      <c r="L123" s="117" t="s">
        <v>660</v>
      </c>
      <c r="M123" s="117" t="s">
        <v>661</v>
      </c>
      <c r="N123" s="117" t="s">
        <v>662</v>
      </c>
      <c r="O123" s="117" t="s">
        <v>661</v>
      </c>
      <c r="P123" s="117" t="s">
        <v>683</v>
      </c>
      <c r="Q123" s="114">
        <v>0</v>
      </c>
      <c r="R123" s="114">
        <v>0</v>
      </c>
      <c r="S123" s="114">
        <v>0</v>
      </c>
      <c r="T123" s="114">
        <v>0</v>
      </c>
      <c r="U123" s="114">
        <f t="shared" si="3"/>
        <v>367677</v>
      </c>
      <c r="V123" s="118" t="s">
        <v>819</v>
      </c>
      <c r="W123" s="111">
        <v>45595</v>
      </c>
    </row>
    <row r="124" spans="1:23" s="115" customFormat="1" x14ac:dyDescent="0.2">
      <c r="A124" s="115">
        <v>45370</v>
      </c>
      <c r="B124" s="115">
        <v>1</v>
      </c>
      <c r="C124" s="115">
        <v>9236065</v>
      </c>
      <c r="D124" s="111">
        <v>45513</v>
      </c>
      <c r="E124" s="111">
        <v>45595</v>
      </c>
      <c r="F124" s="112">
        <v>399391.12</v>
      </c>
      <c r="G124" s="116">
        <v>31641</v>
      </c>
      <c r="H124" s="112">
        <v>399391.12</v>
      </c>
      <c r="I124" s="117" t="s">
        <v>669</v>
      </c>
      <c r="J124" s="117" t="s">
        <v>670</v>
      </c>
      <c r="K124" s="117" t="s">
        <v>669</v>
      </c>
      <c r="L124" s="117" t="s">
        <v>656</v>
      </c>
      <c r="M124" s="117" t="s">
        <v>657</v>
      </c>
      <c r="N124" s="117" t="s">
        <v>671</v>
      </c>
      <c r="O124" s="117" t="s">
        <v>672</v>
      </c>
      <c r="P124" s="117" t="s">
        <v>669</v>
      </c>
      <c r="Q124" s="114">
        <v>0</v>
      </c>
      <c r="R124" s="114">
        <v>0</v>
      </c>
      <c r="S124" s="114">
        <v>0</v>
      </c>
      <c r="T124" s="114">
        <v>0</v>
      </c>
      <c r="U124" s="114">
        <f t="shared" si="3"/>
        <v>399391.12</v>
      </c>
      <c r="V124" s="118" t="s">
        <v>819</v>
      </c>
      <c r="W124" s="111">
        <v>45595</v>
      </c>
    </row>
    <row r="125" spans="1:23" s="115" customFormat="1" x14ac:dyDescent="0.2">
      <c r="A125" s="115">
        <v>45594</v>
      </c>
      <c r="B125" s="115">
        <v>1</v>
      </c>
      <c r="C125" s="115">
        <v>9236165</v>
      </c>
      <c r="D125" s="111">
        <v>45526</v>
      </c>
      <c r="E125" s="111">
        <v>45595</v>
      </c>
      <c r="F125" s="112">
        <v>480321.49</v>
      </c>
      <c r="G125" s="116">
        <v>31679</v>
      </c>
      <c r="H125" s="112">
        <v>480321.49</v>
      </c>
      <c r="I125" s="117" t="s">
        <v>648</v>
      </c>
      <c r="J125" s="117" t="s">
        <v>649</v>
      </c>
      <c r="K125" s="117" t="s">
        <v>648</v>
      </c>
      <c r="L125" s="117" t="s">
        <v>630</v>
      </c>
      <c r="M125" s="117" t="s">
        <v>631</v>
      </c>
      <c r="N125" s="117" t="s">
        <v>632</v>
      </c>
      <c r="O125" s="117" t="s">
        <v>633</v>
      </c>
      <c r="P125" s="117" t="s">
        <v>648</v>
      </c>
      <c r="Q125" s="114">
        <v>0</v>
      </c>
      <c r="R125" s="114">
        <v>0</v>
      </c>
      <c r="S125" s="114">
        <v>0</v>
      </c>
      <c r="T125" s="114">
        <v>0</v>
      </c>
      <c r="U125" s="114">
        <f t="shared" si="3"/>
        <v>480321.49</v>
      </c>
      <c r="V125" s="118" t="s">
        <v>819</v>
      </c>
      <c r="W125" s="111">
        <v>45595</v>
      </c>
    </row>
    <row r="126" spans="1:23" s="115" customFormat="1" x14ac:dyDescent="0.2">
      <c r="A126" s="115">
        <v>45329</v>
      </c>
      <c r="B126" s="115">
        <v>1</v>
      </c>
      <c r="C126" s="115">
        <v>9236036</v>
      </c>
      <c r="D126" s="111">
        <v>45512</v>
      </c>
      <c r="E126" s="111">
        <v>45595</v>
      </c>
      <c r="F126" s="112">
        <v>994018.34</v>
      </c>
      <c r="G126" s="116">
        <v>31617</v>
      </c>
      <c r="H126" s="112">
        <v>994018.34</v>
      </c>
      <c r="I126" s="117" t="s">
        <v>755</v>
      </c>
      <c r="J126" s="117" t="s">
        <v>756</v>
      </c>
      <c r="K126" s="117" t="s">
        <v>755</v>
      </c>
      <c r="L126" s="117" t="s">
        <v>728</v>
      </c>
      <c r="M126" s="117" t="s">
        <v>729</v>
      </c>
      <c r="N126" s="117" t="s">
        <v>730</v>
      </c>
      <c r="O126" s="117" t="s">
        <v>731</v>
      </c>
      <c r="P126" s="117" t="s">
        <v>755</v>
      </c>
      <c r="Q126" s="114">
        <v>0</v>
      </c>
      <c r="R126" s="114">
        <v>0</v>
      </c>
      <c r="S126" s="114">
        <v>0</v>
      </c>
      <c r="T126" s="114">
        <v>0</v>
      </c>
      <c r="U126" s="114">
        <f t="shared" si="3"/>
        <v>994018.34</v>
      </c>
      <c r="V126" s="118" t="s">
        <v>819</v>
      </c>
      <c r="W126" s="111">
        <v>45595</v>
      </c>
    </row>
    <row r="127" spans="1:23" s="115" customFormat="1" x14ac:dyDescent="0.2">
      <c r="A127" s="115">
        <v>45350</v>
      </c>
      <c r="B127" s="115">
        <v>1</v>
      </c>
      <c r="C127" s="115">
        <v>9236053</v>
      </c>
      <c r="D127" s="111">
        <v>45512</v>
      </c>
      <c r="E127" s="111">
        <v>45595</v>
      </c>
      <c r="F127" s="112">
        <v>1577276.34</v>
      </c>
      <c r="G127" s="116">
        <v>31636</v>
      </c>
      <c r="H127" s="112">
        <v>1577276.34</v>
      </c>
      <c r="I127" s="117" t="s">
        <v>757</v>
      </c>
      <c r="J127" s="117" t="s">
        <v>758</v>
      </c>
      <c r="K127" s="117" t="s">
        <v>757</v>
      </c>
      <c r="L127" s="117" t="s">
        <v>728</v>
      </c>
      <c r="M127" s="117" t="s">
        <v>729</v>
      </c>
      <c r="N127" s="117" t="s">
        <v>730</v>
      </c>
      <c r="O127" s="117" t="s">
        <v>731</v>
      </c>
      <c r="P127" s="117" t="s">
        <v>757</v>
      </c>
      <c r="Q127" s="114">
        <v>0</v>
      </c>
      <c r="R127" s="114">
        <v>0</v>
      </c>
      <c r="S127" s="114">
        <v>0</v>
      </c>
      <c r="T127" s="114">
        <v>0</v>
      </c>
      <c r="U127" s="114">
        <f t="shared" si="3"/>
        <v>1577276.34</v>
      </c>
      <c r="V127" s="118" t="s">
        <v>819</v>
      </c>
      <c r="W127" s="111">
        <v>45595</v>
      </c>
    </row>
    <row r="128" spans="1:23" s="115" customFormat="1" x14ac:dyDescent="0.2">
      <c r="A128" s="115">
        <v>45111</v>
      </c>
      <c r="B128" s="115">
        <v>1</v>
      </c>
      <c r="C128" s="115">
        <v>9235908</v>
      </c>
      <c r="D128" s="111">
        <v>45497</v>
      </c>
      <c r="E128" s="111">
        <v>45595</v>
      </c>
      <c r="F128" s="112">
        <v>1809963.32</v>
      </c>
      <c r="G128" s="116">
        <v>31585</v>
      </c>
      <c r="H128" s="112">
        <v>1809963.32</v>
      </c>
      <c r="I128" s="117" t="s">
        <v>774</v>
      </c>
      <c r="J128" s="117" t="s">
        <v>775</v>
      </c>
      <c r="K128" s="117" t="s">
        <v>774</v>
      </c>
      <c r="L128" s="117" t="s">
        <v>660</v>
      </c>
      <c r="M128" s="117" t="s">
        <v>661</v>
      </c>
      <c r="N128" s="117" t="s">
        <v>662</v>
      </c>
      <c r="O128" s="117" t="s">
        <v>661</v>
      </c>
      <c r="P128" s="117" t="s">
        <v>774</v>
      </c>
      <c r="Q128" s="114">
        <v>0</v>
      </c>
      <c r="R128" s="114">
        <v>0</v>
      </c>
      <c r="S128" s="114">
        <v>0</v>
      </c>
      <c r="T128" s="114">
        <v>0</v>
      </c>
      <c r="U128" s="114">
        <f t="shared" si="3"/>
        <v>1809963.32</v>
      </c>
      <c r="V128" s="118" t="s">
        <v>819</v>
      </c>
      <c r="W128" s="111">
        <v>45595</v>
      </c>
    </row>
    <row r="129" spans="1:23" s="115" customFormat="1" x14ac:dyDescent="0.2">
      <c r="A129" s="115">
        <v>45336</v>
      </c>
      <c r="B129" s="115">
        <v>1</v>
      </c>
      <c r="C129" s="115">
        <v>9236041</v>
      </c>
      <c r="D129" s="111">
        <v>45512</v>
      </c>
      <c r="E129" s="111">
        <v>45595</v>
      </c>
      <c r="F129" s="112">
        <v>2647959.88</v>
      </c>
      <c r="G129" s="116">
        <v>31623</v>
      </c>
      <c r="H129" s="112">
        <v>2647959.88</v>
      </c>
      <c r="I129" s="117" t="s">
        <v>774</v>
      </c>
      <c r="J129" s="117" t="s">
        <v>775</v>
      </c>
      <c r="K129" s="117" t="s">
        <v>774</v>
      </c>
      <c r="L129" s="117" t="s">
        <v>660</v>
      </c>
      <c r="M129" s="117" t="s">
        <v>661</v>
      </c>
      <c r="N129" s="117" t="s">
        <v>662</v>
      </c>
      <c r="O129" s="117" t="s">
        <v>661</v>
      </c>
      <c r="P129" s="117" t="s">
        <v>774</v>
      </c>
      <c r="Q129" s="114">
        <v>0</v>
      </c>
      <c r="R129" s="114">
        <v>0</v>
      </c>
      <c r="S129" s="114">
        <v>0</v>
      </c>
      <c r="T129" s="114">
        <v>0</v>
      </c>
      <c r="U129" s="114">
        <f t="shared" si="3"/>
        <v>2647959.88</v>
      </c>
      <c r="V129" s="118" t="s">
        <v>819</v>
      </c>
      <c r="W129" s="111">
        <v>45595</v>
      </c>
    </row>
    <row r="130" spans="1:23" s="115" customFormat="1" x14ac:dyDescent="0.2">
      <c r="A130" s="115">
        <v>44682</v>
      </c>
      <c r="B130" s="115">
        <v>1</v>
      </c>
      <c r="C130" s="115">
        <v>9235680</v>
      </c>
      <c r="D130" s="111">
        <v>45469</v>
      </c>
      <c r="E130" s="111">
        <v>45595</v>
      </c>
      <c r="F130" s="112">
        <v>2815597.15</v>
      </c>
      <c r="G130" s="116">
        <v>31512</v>
      </c>
      <c r="H130" s="112">
        <v>2815597.15</v>
      </c>
      <c r="I130" s="117" t="s">
        <v>732</v>
      </c>
      <c r="J130" s="117" t="s">
        <v>733</v>
      </c>
      <c r="K130" s="117" t="s">
        <v>732</v>
      </c>
      <c r="L130" s="117" t="s">
        <v>728</v>
      </c>
      <c r="M130" s="117" t="s">
        <v>729</v>
      </c>
      <c r="N130" s="117" t="s">
        <v>650</v>
      </c>
      <c r="O130" s="117" t="s">
        <v>734</v>
      </c>
      <c r="P130" s="117" t="s">
        <v>732</v>
      </c>
      <c r="Q130" s="114">
        <v>0</v>
      </c>
      <c r="R130" s="114">
        <v>0</v>
      </c>
      <c r="S130" s="114">
        <v>0</v>
      </c>
      <c r="T130" s="114">
        <v>0</v>
      </c>
      <c r="U130" s="114">
        <f t="shared" si="3"/>
        <v>2815597.15</v>
      </c>
      <c r="V130" s="118" t="s">
        <v>819</v>
      </c>
      <c r="W130" s="111">
        <v>45595</v>
      </c>
    </row>
    <row r="131" spans="1:23" s="115" customFormat="1" x14ac:dyDescent="0.2">
      <c r="A131" s="115">
        <v>44960</v>
      </c>
      <c r="B131" s="115">
        <v>1</v>
      </c>
      <c r="C131" s="115">
        <v>9235832</v>
      </c>
      <c r="D131" s="111">
        <v>45489</v>
      </c>
      <c r="E131" s="111">
        <v>45595</v>
      </c>
      <c r="F131" s="112">
        <v>5272856.8</v>
      </c>
      <c r="G131" s="116">
        <v>31563</v>
      </c>
      <c r="H131" s="112">
        <v>5272856.8</v>
      </c>
      <c r="I131" s="117" t="s">
        <v>759</v>
      </c>
      <c r="J131" s="117" t="s">
        <v>760</v>
      </c>
      <c r="K131" s="117" t="s">
        <v>759</v>
      </c>
      <c r="L131" s="117" t="s">
        <v>728</v>
      </c>
      <c r="M131" s="117" t="s">
        <v>729</v>
      </c>
      <c r="N131" s="117" t="s">
        <v>730</v>
      </c>
      <c r="O131" s="117" t="s">
        <v>731</v>
      </c>
      <c r="P131" s="117" t="s">
        <v>759</v>
      </c>
      <c r="Q131" s="114">
        <v>0</v>
      </c>
      <c r="R131" s="114">
        <v>0</v>
      </c>
      <c r="S131" s="114">
        <v>0</v>
      </c>
      <c r="T131" s="114">
        <v>0</v>
      </c>
      <c r="U131" s="114">
        <f t="shared" si="3"/>
        <v>5272856.8</v>
      </c>
      <c r="V131" s="118" t="s">
        <v>819</v>
      </c>
      <c r="W131" s="111">
        <v>45595</v>
      </c>
    </row>
    <row r="132" spans="1:23" s="115" customFormat="1" x14ac:dyDescent="0.2">
      <c r="A132" s="115">
        <v>45343</v>
      </c>
      <c r="B132" s="115">
        <v>1</v>
      </c>
      <c r="C132" s="115">
        <v>9236048</v>
      </c>
      <c r="D132" s="111">
        <v>45512</v>
      </c>
      <c r="E132" s="111">
        <v>45595</v>
      </c>
      <c r="F132" s="112">
        <v>7273650</v>
      </c>
      <c r="G132" s="116">
        <v>31630</v>
      </c>
      <c r="H132" s="112">
        <v>7273650</v>
      </c>
      <c r="I132" s="117" t="s">
        <v>732</v>
      </c>
      <c r="J132" s="117" t="s">
        <v>733</v>
      </c>
      <c r="K132" s="117" t="s">
        <v>732</v>
      </c>
      <c r="L132" s="117" t="s">
        <v>728</v>
      </c>
      <c r="M132" s="117" t="s">
        <v>729</v>
      </c>
      <c r="N132" s="117" t="s">
        <v>650</v>
      </c>
      <c r="O132" s="117" t="s">
        <v>734</v>
      </c>
      <c r="P132" s="117" t="s">
        <v>732</v>
      </c>
      <c r="Q132" s="114">
        <v>0</v>
      </c>
      <c r="R132" s="114">
        <v>0</v>
      </c>
      <c r="S132" s="114">
        <v>0</v>
      </c>
      <c r="T132" s="114">
        <v>0</v>
      </c>
      <c r="U132" s="114">
        <f t="shared" si="3"/>
        <v>7273650</v>
      </c>
      <c r="V132" s="118" t="s">
        <v>819</v>
      </c>
      <c r="W132" s="111">
        <v>45595</v>
      </c>
    </row>
    <row r="133" spans="1:23" s="115" customFormat="1" x14ac:dyDescent="0.2">
      <c r="A133" s="115">
        <v>44931</v>
      </c>
      <c r="B133" s="115">
        <v>1</v>
      </c>
      <c r="C133" s="115">
        <v>9235813</v>
      </c>
      <c r="D133" s="111">
        <v>45488</v>
      </c>
      <c r="E133" s="111">
        <v>45595</v>
      </c>
      <c r="F133" s="112">
        <v>7463415.3499999996</v>
      </c>
      <c r="G133" s="116">
        <v>31544</v>
      </c>
      <c r="H133" s="112">
        <v>7463415.3499999996</v>
      </c>
      <c r="I133" s="117" t="s">
        <v>732</v>
      </c>
      <c r="J133" s="117" t="s">
        <v>733</v>
      </c>
      <c r="K133" s="117" t="s">
        <v>732</v>
      </c>
      <c r="L133" s="117" t="s">
        <v>728</v>
      </c>
      <c r="M133" s="117" t="s">
        <v>729</v>
      </c>
      <c r="N133" s="117" t="s">
        <v>650</v>
      </c>
      <c r="O133" s="117" t="s">
        <v>734</v>
      </c>
      <c r="P133" s="117" t="s">
        <v>732</v>
      </c>
      <c r="Q133" s="114">
        <v>0</v>
      </c>
      <c r="R133" s="114">
        <v>0</v>
      </c>
      <c r="S133" s="114">
        <v>0</v>
      </c>
      <c r="T133" s="114">
        <v>0</v>
      </c>
      <c r="U133" s="114">
        <f t="shared" si="3"/>
        <v>7463415.3499999996</v>
      </c>
      <c r="V133" s="118" t="s">
        <v>819</v>
      </c>
      <c r="W133" s="111">
        <v>45595</v>
      </c>
    </row>
    <row r="134" spans="1:23" s="115" customFormat="1" x14ac:dyDescent="0.2">
      <c r="A134" s="115">
        <v>45292</v>
      </c>
      <c r="B134" s="115">
        <v>1</v>
      </c>
      <c r="C134" s="115">
        <v>9236018</v>
      </c>
      <c r="D134" s="111">
        <v>45502</v>
      </c>
      <c r="E134" s="111">
        <v>45595</v>
      </c>
      <c r="F134" s="112">
        <v>8019968.4800000004</v>
      </c>
      <c r="G134" s="116">
        <v>31600</v>
      </c>
      <c r="H134" s="112">
        <v>8019968.4800000004</v>
      </c>
      <c r="I134" s="117" t="s">
        <v>763</v>
      </c>
      <c r="J134" s="117" t="s">
        <v>764</v>
      </c>
      <c r="K134" s="117" t="s">
        <v>763</v>
      </c>
      <c r="L134" s="117" t="s">
        <v>765</v>
      </c>
      <c r="M134" s="117" t="s">
        <v>766</v>
      </c>
      <c r="N134" s="117" t="s">
        <v>767</v>
      </c>
      <c r="O134" s="117" t="s">
        <v>766</v>
      </c>
      <c r="P134" s="117" t="s">
        <v>763</v>
      </c>
      <c r="Q134" s="114">
        <v>0</v>
      </c>
      <c r="R134" s="114">
        <v>0</v>
      </c>
      <c r="S134" s="114">
        <v>0</v>
      </c>
      <c r="T134" s="114">
        <v>0</v>
      </c>
      <c r="U134" s="114">
        <f t="shared" si="3"/>
        <v>8019968.4800000004</v>
      </c>
      <c r="V134" s="118" t="s">
        <v>819</v>
      </c>
      <c r="W134" s="111">
        <v>45595</v>
      </c>
    </row>
    <row r="135" spans="1:23" s="115" customFormat="1" x14ac:dyDescent="0.2">
      <c r="A135" s="115">
        <v>44660</v>
      </c>
      <c r="B135" s="115">
        <v>1</v>
      </c>
      <c r="C135" s="115">
        <v>9235660</v>
      </c>
      <c r="D135" s="111">
        <v>45469</v>
      </c>
      <c r="E135" s="111">
        <v>45595</v>
      </c>
      <c r="F135" s="112">
        <v>8426553.0299999993</v>
      </c>
      <c r="G135" s="116">
        <v>31491</v>
      </c>
      <c r="H135" s="112">
        <v>8426553.0299999993</v>
      </c>
      <c r="I135" s="117" t="s">
        <v>732</v>
      </c>
      <c r="J135" s="117" t="s">
        <v>733</v>
      </c>
      <c r="K135" s="117" t="s">
        <v>732</v>
      </c>
      <c r="L135" s="117" t="s">
        <v>728</v>
      </c>
      <c r="M135" s="117" t="s">
        <v>729</v>
      </c>
      <c r="N135" s="117" t="s">
        <v>650</v>
      </c>
      <c r="O135" s="117" t="s">
        <v>734</v>
      </c>
      <c r="P135" s="117" t="s">
        <v>732</v>
      </c>
      <c r="Q135" s="114">
        <v>0</v>
      </c>
      <c r="R135" s="114">
        <v>0</v>
      </c>
      <c r="S135" s="114">
        <v>0</v>
      </c>
      <c r="T135" s="114">
        <v>0</v>
      </c>
      <c r="U135" s="114">
        <f t="shared" ref="U135:U166" si="4">+H135-Q135-R135-S135-T135</f>
        <v>8426553.0299999993</v>
      </c>
      <c r="V135" s="118" t="s">
        <v>819</v>
      </c>
      <c r="W135" s="111">
        <v>45595</v>
      </c>
    </row>
    <row r="136" spans="1:23" s="115" customFormat="1" x14ac:dyDescent="0.2">
      <c r="A136" s="115">
        <v>45595</v>
      </c>
      <c r="B136" s="115">
        <v>1</v>
      </c>
      <c r="C136" s="115">
        <v>9236166</v>
      </c>
      <c r="D136" s="111">
        <v>45526</v>
      </c>
      <c r="E136" s="111">
        <v>45596</v>
      </c>
      <c r="F136" s="112">
        <v>201007.84</v>
      </c>
      <c r="G136" s="116">
        <v>31680</v>
      </c>
      <c r="H136" s="112">
        <v>201007.84</v>
      </c>
      <c r="I136" s="117" t="s">
        <v>749</v>
      </c>
      <c r="J136" s="117" t="s">
        <v>750</v>
      </c>
      <c r="K136" s="117" t="s">
        <v>749</v>
      </c>
      <c r="L136" s="117" t="s">
        <v>636</v>
      </c>
      <c r="M136" s="117" t="s">
        <v>637</v>
      </c>
      <c r="N136" s="117" t="s">
        <v>638</v>
      </c>
      <c r="O136" s="117" t="s">
        <v>639</v>
      </c>
      <c r="P136" s="117" t="s">
        <v>749</v>
      </c>
      <c r="Q136" s="114">
        <v>0</v>
      </c>
      <c r="R136" s="114">
        <v>0</v>
      </c>
      <c r="S136" s="114">
        <v>0</v>
      </c>
      <c r="T136" s="114">
        <v>0</v>
      </c>
      <c r="U136" s="114">
        <f t="shared" si="4"/>
        <v>201007.84</v>
      </c>
      <c r="V136" s="118" t="s">
        <v>819</v>
      </c>
      <c r="W136" s="111">
        <v>45596</v>
      </c>
    </row>
    <row r="137" spans="1:23" s="115" customFormat="1" x14ac:dyDescent="0.2">
      <c r="A137" s="115">
        <v>45600</v>
      </c>
      <c r="B137" s="115">
        <v>1</v>
      </c>
      <c r="C137" s="115">
        <v>9236171</v>
      </c>
      <c r="D137" s="111">
        <v>45526</v>
      </c>
      <c r="E137" s="111">
        <v>45596</v>
      </c>
      <c r="F137" s="112">
        <v>225517.38</v>
      </c>
      <c r="G137" s="116">
        <v>31685</v>
      </c>
      <c r="H137" s="112">
        <v>225517.38</v>
      </c>
      <c r="I137" s="117" t="s">
        <v>634</v>
      </c>
      <c r="J137" s="117" t="s">
        <v>635</v>
      </c>
      <c r="K137" s="117" t="s">
        <v>634</v>
      </c>
      <c r="L137" s="117" t="s">
        <v>636</v>
      </c>
      <c r="M137" s="117" t="s">
        <v>637</v>
      </c>
      <c r="N137" s="117" t="s">
        <v>638</v>
      </c>
      <c r="O137" s="117" t="s">
        <v>639</v>
      </c>
      <c r="P137" s="117" t="s">
        <v>634</v>
      </c>
      <c r="Q137" s="114">
        <v>0</v>
      </c>
      <c r="R137" s="114">
        <v>0</v>
      </c>
      <c r="S137" s="114">
        <v>0</v>
      </c>
      <c r="T137" s="114">
        <v>0</v>
      </c>
      <c r="U137" s="114">
        <f t="shared" si="4"/>
        <v>225517.38</v>
      </c>
      <c r="V137" s="118" t="s">
        <v>819</v>
      </c>
      <c r="W137" s="111">
        <v>45596</v>
      </c>
    </row>
    <row r="138" spans="1:23" s="115" customFormat="1" x14ac:dyDescent="0.2">
      <c r="A138" s="115">
        <v>45569</v>
      </c>
      <c r="B138" s="115">
        <v>1</v>
      </c>
      <c r="C138" s="115">
        <v>9236153</v>
      </c>
      <c r="D138" s="111">
        <v>45526</v>
      </c>
      <c r="E138" s="111">
        <v>45624</v>
      </c>
      <c r="F138" s="112">
        <v>461624.84</v>
      </c>
      <c r="G138" s="116">
        <v>31665</v>
      </c>
      <c r="H138" s="112">
        <v>461624.84</v>
      </c>
      <c r="I138" s="117" t="s">
        <v>737</v>
      </c>
      <c r="J138" s="117" t="s">
        <v>738</v>
      </c>
      <c r="K138" s="117" t="s">
        <v>737</v>
      </c>
      <c r="L138" s="117" t="s">
        <v>728</v>
      </c>
      <c r="M138" s="117" t="s">
        <v>729</v>
      </c>
      <c r="N138" s="117" t="s">
        <v>730</v>
      </c>
      <c r="O138" s="117" t="s">
        <v>731</v>
      </c>
      <c r="P138" s="117" t="s">
        <v>737</v>
      </c>
      <c r="Q138" s="114">
        <v>0</v>
      </c>
      <c r="R138" s="114">
        <v>0</v>
      </c>
      <c r="S138" s="114">
        <v>0</v>
      </c>
      <c r="T138" s="114">
        <v>0</v>
      </c>
      <c r="U138" s="114">
        <f t="shared" si="4"/>
        <v>461624.84</v>
      </c>
      <c r="V138" s="118" t="s">
        <v>819</v>
      </c>
      <c r="W138" s="111">
        <v>45624</v>
      </c>
    </row>
    <row r="139" spans="1:23" s="115" customFormat="1" x14ac:dyDescent="0.2">
      <c r="A139" s="115">
        <v>45115</v>
      </c>
      <c r="B139" s="115">
        <v>1</v>
      </c>
      <c r="C139" s="115">
        <v>9235911</v>
      </c>
      <c r="D139" s="111">
        <v>45497</v>
      </c>
      <c r="E139" s="111">
        <v>45624</v>
      </c>
      <c r="F139" s="112">
        <v>6197812.3799999999</v>
      </c>
      <c r="G139" s="116">
        <v>31589</v>
      </c>
      <c r="H139" s="112">
        <v>6197812.3799999999</v>
      </c>
      <c r="I139" s="117" t="s">
        <v>732</v>
      </c>
      <c r="J139" s="117" t="s">
        <v>733</v>
      </c>
      <c r="K139" s="117" t="s">
        <v>732</v>
      </c>
      <c r="L139" s="117" t="s">
        <v>728</v>
      </c>
      <c r="M139" s="117" t="s">
        <v>729</v>
      </c>
      <c r="N139" s="117" t="s">
        <v>650</v>
      </c>
      <c r="O139" s="117" t="s">
        <v>734</v>
      </c>
      <c r="P139" s="117" t="s">
        <v>732</v>
      </c>
      <c r="Q139" s="114">
        <v>0</v>
      </c>
      <c r="R139" s="114">
        <v>0</v>
      </c>
      <c r="S139" s="114">
        <v>0</v>
      </c>
      <c r="T139" s="114">
        <v>0</v>
      </c>
      <c r="U139" s="114">
        <f t="shared" si="4"/>
        <v>6197812.3799999999</v>
      </c>
      <c r="V139" s="118" t="s">
        <v>819</v>
      </c>
      <c r="W139" s="111">
        <v>45624</v>
      </c>
    </row>
    <row r="140" spans="1:23" s="115" customFormat="1" x14ac:dyDescent="0.2">
      <c r="A140" s="115">
        <v>45333</v>
      </c>
      <c r="B140" s="115">
        <v>1</v>
      </c>
      <c r="C140" s="115">
        <v>9236038</v>
      </c>
      <c r="D140" s="111">
        <v>45512</v>
      </c>
      <c r="E140" s="111">
        <v>45624</v>
      </c>
      <c r="F140" s="112">
        <v>7356013</v>
      </c>
      <c r="G140" s="116">
        <v>31620</v>
      </c>
      <c r="H140" s="112">
        <v>7356013</v>
      </c>
      <c r="I140" s="117" t="s">
        <v>759</v>
      </c>
      <c r="J140" s="117" t="s">
        <v>760</v>
      </c>
      <c r="K140" s="117" t="s">
        <v>759</v>
      </c>
      <c r="L140" s="117" t="s">
        <v>728</v>
      </c>
      <c r="M140" s="117" t="s">
        <v>729</v>
      </c>
      <c r="N140" s="117" t="s">
        <v>730</v>
      </c>
      <c r="O140" s="117" t="s">
        <v>731</v>
      </c>
      <c r="P140" s="117" t="s">
        <v>759</v>
      </c>
      <c r="Q140" s="114">
        <v>0</v>
      </c>
      <c r="R140" s="114">
        <v>0</v>
      </c>
      <c r="S140" s="114">
        <v>0</v>
      </c>
      <c r="T140" s="114">
        <v>0</v>
      </c>
      <c r="U140" s="114">
        <f t="shared" si="4"/>
        <v>7356013</v>
      </c>
      <c r="V140" s="118" t="s">
        <v>819</v>
      </c>
      <c r="W140" s="111">
        <v>45624</v>
      </c>
    </row>
    <row r="141" spans="1:23" s="115" customFormat="1" x14ac:dyDescent="0.2">
      <c r="A141" s="115">
        <v>45566</v>
      </c>
      <c r="B141" s="115">
        <v>1</v>
      </c>
      <c r="C141" s="115">
        <v>9236150</v>
      </c>
      <c r="D141" s="111">
        <v>45526</v>
      </c>
      <c r="E141" s="111">
        <v>45624</v>
      </c>
      <c r="F141" s="112">
        <v>7533956.9299999997</v>
      </c>
      <c r="G141" s="116">
        <v>31662</v>
      </c>
      <c r="H141" s="112">
        <v>7533956.9299999997</v>
      </c>
      <c r="I141" s="117" t="s">
        <v>772</v>
      </c>
      <c r="J141" s="117" t="s">
        <v>773</v>
      </c>
      <c r="K141" s="117" t="s">
        <v>772</v>
      </c>
      <c r="L141" s="117" t="s">
        <v>660</v>
      </c>
      <c r="M141" s="117" t="s">
        <v>661</v>
      </c>
      <c r="N141" s="117" t="s">
        <v>662</v>
      </c>
      <c r="O141" s="117" t="s">
        <v>661</v>
      </c>
      <c r="P141" s="117" t="s">
        <v>772</v>
      </c>
      <c r="Q141" s="114">
        <v>0</v>
      </c>
      <c r="R141" s="114">
        <v>0</v>
      </c>
      <c r="S141" s="114">
        <v>0</v>
      </c>
      <c r="T141" s="114">
        <v>0</v>
      </c>
      <c r="U141" s="114">
        <f t="shared" si="4"/>
        <v>7533956.9299999997</v>
      </c>
      <c r="V141" s="118" t="s">
        <v>819</v>
      </c>
      <c r="W141" s="111">
        <v>45624</v>
      </c>
    </row>
    <row r="142" spans="1:23" s="115" customFormat="1" x14ac:dyDescent="0.2">
      <c r="A142" s="115">
        <v>45597</v>
      </c>
      <c r="B142" s="115">
        <v>1</v>
      </c>
      <c r="C142" s="115">
        <v>9236168</v>
      </c>
      <c r="D142" s="111">
        <v>45526</v>
      </c>
      <c r="E142" s="111">
        <v>45625</v>
      </c>
      <c r="F142" s="112">
        <v>668071.47</v>
      </c>
      <c r="G142" s="116">
        <v>31682</v>
      </c>
      <c r="H142" s="112">
        <v>668071.47</v>
      </c>
      <c r="I142" s="117" t="s">
        <v>745</v>
      </c>
      <c r="J142" s="117" t="s">
        <v>746</v>
      </c>
      <c r="K142" s="117" t="s">
        <v>745</v>
      </c>
      <c r="L142" s="117" t="s">
        <v>722</v>
      </c>
      <c r="M142" s="117" t="s">
        <v>723</v>
      </c>
      <c r="N142" s="117" t="s">
        <v>724</v>
      </c>
      <c r="O142" s="117" t="s">
        <v>725</v>
      </c>
      <c r="P142" s="117" t="s">
        <v>745</v>
      </c>
      <c r="Q142" s="114">
        <v>0</v>
      </c>
      <c r="R142" s="114">
        <v>0</v>
      </c>
      <c r="S142" s="114">
        <v>0</v>
      </c>
      <c r="T142" s="114">
        <v>0</v>
      </c>
      <c r="U142" s="114">
        <f t="shared" si="4"/>
        <v>668071.47</v>
      </c>
      <c r="V142" s="118" t="s">
        <v>819</v>
      </c>
      <c r="W142" s="111">
        <v>45625</v>
      </c>
    </row>
    <row r="143" spans="1:23" s="115" customFormat="1" x14ac:dyDescent="0.2">
      <c r="A143" s="115">
        <v>45567</v>
      </c>
      <c r="B143" s="115">
        <v>1</v>
      </c>
      <c r="C143" s="115">
        <v>9236151</v>
      </c>
      <c r="D143" s="111">
        <v>45526</v>
      </c>
      <c r="E143" s="111">
        <v>45625</v>
      </c>
      <c r="F143" s="112">
        <v>729753.9</v>
      </c>
      <c r="G143" s="116">
        <v>31663</v>
      </c>
      <c r="H143" s="112">
        <v>729753.9</v>
      </c>
      <c r="I143" s="117" t="s">
        <v>803</v>
      </c>
      <c r="J143" s="117" t="s">
        <v>804</v>
      </c>
      <c r="K143" s="117" t="s">
        <v>803</v>
      </c>
      <c r="L143" s="117" t="s">
        <v>660</v>
      </c>
      <c r="M143" s="117" t="s">
        <v>661</v>
      </c>
      <c r="N143" s="117" t="s">
        <v>650</v>
      </c>
      <c r="O143" s="117" t="s">
        <v>734</v>
      </c>
      <c r="P143" s="117" t="s">
        <v>803</v>
      </c>
      <c r="Q143" s="114">
        <v>0</v>
      </c>
      <c r="R143" s="114">
        <v>0</v>
      </c>
      <c r="S143" s="114">
        <v>0</v>
      </c>
      <c r="T143" s="114">
        <v>0</v>
      </c>
      <c r="U143" s="114">
        <f t="shared" si="4"/>
        <v>729753.9</v>
      </c>
      <c r="V143" s="118" t="s">
        <v>819</v>
      </c>
      <c r="W143" s="111">
        <v>45625</v>
      </c>
    </row>
    <row r="144" spans="1:23" s="115" customFormat="1" x14ac:dyDescent="0.2">
      <c r="A144" s="115">
        <v>45588</v>
      </c>
      <c r="B144" s="115">
        <v>1</v>
      </c>
      <c r="C144" s="115">
        <v>9236160</v>
      </c>
      <c r="D144" s="111">
        <v>45526</v>
      </c>
      <c r="E144" s="111">
        <v>45625</v>
      </c>
      <c r="F144" s="112">
        <v>1460486</v>
      </c>
      <c r="G144" s="116">
        <v>31673</v>
      </c>
      <c r="H144" s="112">
        <v>1460486</v>
      </c>
      <c r="I144" s="117" t="s">
        <v>759</v>
      </c>
      <c r="J144" s="117" t="s">
        <v>760</v>
      </c>
      <c r="K144" s="117" t="s">
        <v>759</v>
      </c>
      <c r="L144" s="117" t="s">
        <v>728</v>
      </c>
      <c r="M144" s="117" t="s">
        <v>729</v>
      </c>
      <c r="N144" s="117" t="s">
        <v>730</v>
      </c>
      <c r="O144" s="117" t="s">
        <v>731</v>
      </c>
      <c r="P144" s="117" t="s">
        <v>759</v>
      </c>
      <c r="Q144" s="114">
        <v>0</v>
      </c>
      <c r="R144" s="114">
        <v>0</v>
      </c>
      <c r="S144" s="114">
        <v>0</v>
      </c>
      <c r="T144" s="114">
        <v>0</v>
      </c>
      <c r="U144" s="114">
        <f t="shared" si="4"/>
        <v>1460486</v>
      </c>
      <c r="V144" s="118" t="s">
        <v>819</v>
      </c>
      <c r="W144" s="111">
        <v>45625</v>
      </c>
    </row>
    <row r="145" spans="1:23" s="115" customFormat="1" x14ac:dyDescent="0.2">
      <c r="A145" s="115">
        <v>45568</v>
      </c>
      <c r="B145" s="115">
        <v>1</v>
      </c>
      <c r="C145" s="115">
        <v>9236152</v>
      </c>
      <c r="D145" s="111">
        <v>45526</v>
      </c>
      <c r="E145" s="111">
        <v>45625</v>
      </c>
      <c r="F145" s="112">
        <v>1654584.4</v>
      </c>
      <c r="G145" s="116">
        <v>31664</v>
      </c>
      <c r="H145" s="112">
        <v>1654584.4</v>
      </c>
      <c r="I145" s="117" t="s">
        <v>726</v>
      </c>
      <c r="J145" s="117" t="s">
        <v>727</v>
      </c>
      <c r="K145" s="117" t="s">
        <v>726</v>
      </c>
      <c r="L145" s="117" t="s">
        <v>728</v>
      </c>
      <c r="M145" s="117" t="s">
        <v>729</v>
      </c>
      <c r="N145" s="117" t="s">
        <v>730</v>
      </c>
      <c r="O145" s="117" t="s">
        <v>731</v>
      </c>
      <c r="P145" s="117" t="s">
        <v>726</v>
      </c>
      <c r="Q145" s="114">
        <v>0</v>
      </c>
      <c r="R145" s="114">
        <v>0</v>
      </c>
      <c r="S145" s="114">
        <v>0</v>
      </c>
      <c r="T145" s="114">
        <v>0</v>
      </c>
      <c r="U145" s="114">
        <f t="shared" si="4"/>
        <v>1654584.4</v>
      </c>
      <c r="V145" s="118" t="s">
        <v>819</v>
      </c>
      <c r="W145" s="111">
        <v>45625</v>
      </c>
    </row>
    <row r="146" spans="1:23" s="115" customFormat="1" x14ac:dyDescent="0.2">
      <c r="A146" s="115">
        <v>45571</v>
      </c>
      <c r="B146" s="115">
        <v>1</v>
      </c>
      <c r="C146" s="115">
        <v>9236155</v>
      </c>
      <c r="D146" s="111">
        <v>45526</v>
      </c>
      <c r="E146" s="111">
        <v>45625</v>
      </c>
      <c r="F146" s="112">
        <v>2739604</v>
      </c>
      <c r="G146" s="116">
        <v>31667</v>
      </c>
      <c r="H146" s="112">
        <v>2739604</v>
      </c>
      <c r="I146" s="117" t="s">
        <v>774</v>
      </c>
      <c r="J146" s="117" t="s">
        <v>775</v>
      </c>
      <c r="K146" s="117" t="s">
        <v>774</v>
      </c>
      <c r="L146" s="117" t="s">
        <v>660</v>
      </c>
      <c r="M146" s="117" t="s">
        <v>661</v>
      </c>
      <c r="N146" s="117" t="s">
        <v>662</v>
      </c>
      <c r="O146" s="117" t="s">
        <v>661</v>
      </c>
      <c r="P146" s="117" t="s">
        <v>774</v>
      </c>
      <c r="Q146" s="114">
        <v>0</v>
      </c>
      <c r="R146" s="114">
        <v>0</v>
      </c>
      <c r="S146" s="114">
        <v>0</v>
      </c>
      <c r="T146" s="114">
        <v>0</v>
      </c>
      <c r="U146" s="114">
        <f t="shared" si="4"/>
        <v>2739604</v>
      </c>
      <c r="V146" s="118" t="s">
        <v>819</v>
      </c>
      <c r="W146" s="111">
        <v>45625</v>
      </c>
    </row>
    <row r="147" spans="1:23" s="115" customFormat="1" x14ac:dyDescent="0.2">
      <c r="A147" s="115">
        <v>45589</v>
      </c>
      <c r="B147" s="115">
        <v>1</v>
      </c>
      <c r="C147" s="115">
        <v>9236161</v>
      </c>
      <c r="D147" s="111">
        <v>45526</v>
      </c>
      <c r="E147" s="111">
        <v>45625</v>
      </c>
      <c r="F147" s="112">
        <v>5281086</v>
      </c>
      <c r="G147" s="116">
        <v>31674</v>
      </c>
      <c r="H147" s="112">
        <v>5281086</v>
      </c>
      <c r="I147" s="117" t="s">
        <v>732</v>
      </c>
      <c r="J147" s="117" t="s">
        <v>733</v>
      </c>
      <c r="K147" s="117" t="s">
        <v>732</v>
      </c>
      <c r="L147" s="117" t="s">
        <v>728</v>
      </c>
      <c r="M147" s="117" t="s">
        <v>729</v>
      </c>
      <c r="N147" s="117" t="s">
        <v>650</v>
      </c>
      <c r="O147" s="117" t="s">
        <v>734</v>
      </c>
      <c r="P147" s="117" t="s">
        <v>732</v>
      </c>
      <c r="Q147" s="114">
        <v>0</v>
      </c>
      <c r="R147" s="114">
        <v>0</v>
      </c>
      <c r="S147" s="114">
        <v>0</v>
      </c>
      <c r="T147" s="114">
        <v>0</v>
      </c>
      <c r="U147" s="114">
        <f t="shared" si="4"/>
        <v>5281086</v>
      </c>
      <c r="V147" s="118" t="s">
        <v>819</v>
      </c>
      <c r="W147" s="111">
        <v>45625</v>
      </c>
    </row>
    <row r="148" spans="1:23" s="115" customFormat="1" x14ac:dyDescent="0.2">
      <c r="A148" s="115">
        <v>45344</v>
      </c>
      <c r="B148" s="115">
        <v>1</v>
      </c>
      <c r="C148" s="115">
        <v>9236048</v>
      </c>
      <c r="D148" s="111">
        <v>45512</v>
      </c>
      <c r="E148" s="111">
        <v>45625</v>
      </c>
      <c r="F148" s="112">
        <v>7273650.5</v>
      </c>
      <c r="G148" s="116">
        <v>31631</v>
      </c>
      <c r="H148" s="112">
        <v>7273650.5</v>
      </c>
      <c r="I148" s="117" t="s">
        <v>732</v>
      </c>
      <c r="J148" s="117" t="s">
        <v>733</v>
      </c>
      <c r="K148" s="117" t="s">
        <v>732</v>
      </c>
      <c r="L148" s="117" t="s">
        <v>728</v>
      </c>
      <c r="M148" s="117" t="s">
        <v>729</v>
      </c>
      <c r="N148" s="117" t="s">
        <v>650</v>
      </c>
      <c r="O148" s="117" t="s">
        <v>734</v>
      </c>
      <c r="P148" s="117" t="s">
        <v>732</v>
      </c>
      <c r="Q148" s="114">
        <v>0</v>
      </c>
      <c r="R148" s="114">
        <v>0</v>
      </c>
      <c r="S148" s="114">
        <v>0</v>
      </c>
      <c r="T148" s="114">
        <v>0</v>
      </c>
      <c r="U148" s="114">
        <f t="shared" si="4"/>
        <v>7273650.5</v>
      </c>
      <c r="V148" s="118" t="s">
        <v>819</v>
      </c>
      <c r="W148" s="111">
        <v>45625</v>
      </c>
    </row>
    <row r="149" spans="1:23" s="115" customFormat="1" x14ac:dyDescent="0.2">
      <c r="A149" s="115">
        <v>45293</v>
      </c>
      <c r="B149" s="115">
        <v>1</v>
      </c>
      <c r="C149" s="115">
        <v>9236018</v>
      </c>
      <c r="D149" s="111">
        <v>45502</v>
      </c>
      <c r="E149" s="111">
        <v>45626</v>
      </c>
      <c r="F149" s="112">
        <v>2159093.9700000002</v>
      </c>
      <c r="G149" s="116">
        <v>31601</v>
      </c>
      <c r="H149" s="112">
        <v>2159093.9700000002</v>
      </c>
      <c r="I149" s="117" t="s">
        <v>763</v>
      </c>
      <c r="J149" s="117" t="s">
        <v>764</v>
      </c>
      <c r="K149" s="117" t="s">
        <v>763</v>
      </c>
      <c r="L149" s="117" t="s">
        <v>765</v>
      </c>
      <c r="M149" s="117" t="s">
        <v>766</v>
      </c>
      <c r="N149" s="117" t="s">
        <v>767</v>
      </c>
      <c r="O149" s="117" t="s">
        <v>766</v>
      </c>
      <c r="P149" s="117" t="s">
        <v>763</v>
      </c>
      <c r="Q149" s="114">
        <v>0</v>
      </c>
      <c r="R149" s="114">
        <v>0</v>
      </c>
      <c r="S149" s="114">
        <v>0</v>
      </c>
      <c r="T149" s="114">
        <v>0</v>
      </c>
      <c r="U149" s="114">
        <f t="shared" si="4"/>
        <v>2159093.9700000002</v>
      </c>
      <c r="V149" s="118" t="s">
        <v>819</v>
      </c>
      <c r="W149" s="111">
        <v>45626</v>
      </c>
    </row>
    <row r="150" spans="1:23" s="115" customFormat="1" x14ac:dyDescent="0.2">
      <c r="A150" s="115">
        <v>45572</v>
      </c>
      <c r="B150" s="115">
        <v>1</v>
      </c>
      <c r="C150" s="115">
        <v>9236155</v>
      </c>
      <c r="D150" s="111">
        <v>45526</v>
      </c>
      <c r="E150" s="111">
        <v>45655</v>
      </c>
      <c r="F150" s="112">
        <v>2739605.6</v>
      </c>
      <c r="G150" s="116">
        <v>31668</v>
      </c>
      <c r="H150" s="112">
        <v>2739605.6</v>
      </c>
      <c r="I150" s="117" t="s">
        <v>774</v>
      </c>
      <c r="J150" s="117" t="s">
        <v>775</v>
      </c>
      <c r="K150" s="117" t="s">
        <v>774</v>
      </c>
      <c r="L150" s="117" t="s">
        <v>660</v>
      </c>
      <c r="M150" s="117" t="s">
        <v>661</v>
      </c>
      <c r="N150" s="117" t="s">
        <v>662</v>
      </c>
      <c r="O150" s="117" t="s">
        <v>661</v>
      </c>
      <c r="P150" s="117" t="s">
        <v>774</v>
      </c>
      <c r="Q150" s="114">
        <v>0</v>
      </c>
      <c r="R150" s="114">
        <v>0</v>
      </c>
      <c r="S150" s="114">
        <v>0</v>
      </c>
      <c r="T150" s="114">
        <v>0</v>
      </c>
      <c r="U150" s="114">
        <f t="shared" si="4"/>
        <v>2739605.6</v>
      </c>
      <c r="V150" s="118" t="s">
        <v>819</v>
      </c>
      <c r="W150" s="111">
        <v>45655</v>
      </c>
    </row>
    <row r="151" spans="1:23" s="115" customFormat="1" x14ac:dyDescent="0.2">
      <c r="A151" s="115">
        <v>45590</v>
      </c>
      <c r="B151" s="115">
        <v>1</v>
      </c>
      <c r="C151" s="115">
        <v>9236161</v>
      </c>
      <c r="D151" s="111">
        <v>45526</v>
      </c>
      <c r="E151" s="111">
        <v>45655</v>
      </c>
      <c r="F151" s="112">
        <v>5281087.83</v>
      </c>
      <c r="G151" s="116">
        <v>31675</v>
      </c>
      <c r="H151" s="112">
        <v>5281087.83</v>
      </c>
      <c r="I151" s="117" t="s">
        <v>732</v>
      </c>
      <c r="J151" s="117" t="s">
        <v>733</v>
      </c>
      <c r="K151" s="117" t="s">
        <v>732</v>
      </c>
      <c r="L151" s="117" t="s">
        <v>728</v>
      </c>
      <c r="M151" s="117" t="s">
        <v>729</v>
      </c>
      <c r="N151" s="117" t="s">
        <v>650</v>
      </c>
      <c r="O151" s="117" t="s">
        <v>734</v>
      </c>
      <c r="P151" s="117" t="s">
        <v>732</v>
      </c>
      <c r="Q151" s="114">
        <v>0</v>
      </c>
      <c r="R151" s="114">
        <v>0</v>
      </c>
      <c r="S151" s="114">
        <v>0</v>
      </c>
      <c r="T151" s="114">
        <v>0</v>
      </c>
      <c r="U151" s="114">
        <f t="shared" si="4"/>
        <v>5281087.83</v>
      </c>
      <c r="V151" s="118" t="s">
        <v>819</v>
      </c>
      <c r="W151" s="111">
        <v>45655</v>
      </c>
    </row>
    <row r="152" spans="1:23" s="115" customFormat="1" x14ac:dyDescent="0.2">
      <c r="A152" s="115">
        <v>45294</v>
      </c>
      <c r="B152" s="115">
        <v>1</v>
      </c>
      <c r="C152" s="115">
        <v>9236018</v>
      </c>
      <c r="D152" s="111">
        <v>45502</v>
      </c>
      <c r="E152" s="111">
        <v>45656</v>
      </c>
      <c r="F152" s="112">
        <v>1257839.25</v>
      </c>
      <c r="G152" s="116">
        <v>31602</v>
      </c>
      <c r="H152" s="112">
        <v>1257839.25</v>
      </c>
      <c r="I152" s="117" t="s">
        <v>763</v>
      </c>
      <c r="J152" s="117" t="s">
        <v>764</v>
      </c>
      <c r="K152" s="117" t="s">
        <v>763</v>
      </c>
      <c r="L152" s="117" t="s">
        <v>765</v>
      </c>
      <c r="M152" s="117" t="s">
        <v>766</v>
      </c>
      <c r="N152" s="117" t="s">
        <v>767</v>
      </c>
      <c r="O152" s="117" t="s">
        <v>766</v>
      </c>
      <c r="P152" s="117" t="s">
        <v>763</v>
      </c>
      <c r="Q152" s="114">
        <v>0</v>
      </c>
      <c r="R152" s="114">
        <v>0</v>
      </c>
      <c r="S152" s="114">
        <v>0</v>
      </c>
      <c r="T152" s="114">
        <v>0</v>
      </c>
      <c r="U152" s="114">
        <f t="shared" si="4"/>
        <v>1257839.25</v>
      </c>
      <c r="V152" s="118" t="s">
        <v>819</v>
      </c>
      <c r="W152" s="111">
        <v>45656</v>
      </c>
    </row>
  </sheetData>
  <sortState xmlns:xlrd2="http://schemas.microsoft.com/office/spreadsheetml/2017/richdata2" ref="A7:W152">
    <sortCondition ref="E7:E15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6CF4-0001-441A-BD88-A779094EAA40}">
  <dimension ref="B3:F7"/>
  <sheetViews>
    <sheetView workbookViewId="0">
      <selection activeCell="K14" sqref="K14"/>
    </sheetView>
  </sheetViews>
  <sheetFormatPr baseColWidth="10" defaultColWidth="11.5" defaultRowHeight="11.25" x14ac:dyDescent="0.2"/>
  <cols>
    <col min="1" max="2" width="11.5" style="99"/>
    <col min="3" max="3" width="17.33203125" style="99" customWidth="1"/>
    <col min="4" max="16384" width="11.5" style="99"/>
  </cols>
  <sheetData>
    <row r="3" spans="2:6" x14ac:dyDescent="0.2">
      <c r="B3" s="97" t="s">
        <v>599</v>
      </c>
      <c r="C3" s="98">
        <v>152562142.5100002</v>
      </c>
      <c r="E3" s="100">
        <f>+C3-Extractos!F2</f>
        <v>0</v>
      </c>
      <c r="F3" s="99" t="s">
        <v>602</v>
      </c>
    </row>
    <row r="4" spans="2:6" x14ac:dyDescent="0.2">
      <c r="B4" s="97" t="s">
        <v>600</v>
      </c>
      <c r="C4" s="98">
        <v>-343944175.81</v>
      </c>
    </row>
    <row r="5" spans="2:6" x14ac:dyDescent="0.2">
      <c r="B5" s="97" t="s">
        <v>601</v>
      </c>
      <c r="C5" s="98">
        <v>0</v>
      </c>
    </row>
    <row r="7" spans="2:6" x14ac:dyDescent="0.2">
      <c r="C7" s="120">
        <f>SUM(C3:C6)</f>
        <v>-191382033.2999998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Extractos</vt:lpstr>
      <vt:lpstr>Movimientos</vt:lpstr>
      <vt:lpstr>CH DIFERIDOS APERTURA</vt:lpstr>
      <vt:lpstr>Saldo Apertura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Martín Príncipe</dc:creator>
  <cp:lastModifiedBy>Fabian Bass</cp:lastModifiedBy>
  <dcterms:created xsi:type="dcterms:W3CDTF">2026-01-30T23:26:00Z</dcterms:created>
  <dcterms:modified xsi:type="dcterms:W3CDTF">2026-03-09T15:16:06Z</dcterms:modified>
</cp:coreProperties>
</file>