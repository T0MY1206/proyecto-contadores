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mas\Downloads\sma2025infoparaconciliacionbancopciabsas\"/>
    </mc:Choice>
  </mc:AlternateContent>
  <xr:revisionPtr revIDLastSave="0" documentId="13_ncr:1_{728B6A14-C3D1-4473-A5F6-8A85F4AB3423}" xr6:coauthVersionLast="47" xr6:coauthVersionMax="47" xr10:uidLastSave="{00000000-0000-0000-0000-000000000000}"/>
  <bookViews>
    <workbookView xWindow="10692" yWindow="0" windowWidth="12444" windowHeight="12336" xr2:uid="{00000000-000D-0000-FFFF-FFFF00000000}"/>
  </bookViews>
  <sheets>
    <sheet name="mayor banco Pcia Bs 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" l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3" i="1" s="1"/>
  <c r="K4" i="1" l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</calcChain>
</file>

<file path=xl/sharedStrings.xml><?xml version="1.0" encoding="utf-8"?>
<sst xmlns="http://schemas.openxmlformats.org/spreadsheetml/2006/main" count="188" uniqueCount="133">
  <si>
    <t>SANATORIO MODELO ADROGUE - EECC 31-08-25 - HISTORICO</t>
  </si>
  <si>
    <t>TIPO ASIENTO</t>
  </si>
  <si>
    <t>2 = COBRANZAS</t>
  </si>
  <si>
    <t>4 = PAGOS</t>
  </si>
  <si>
    <t>1 = COMPRAS</t>
  </si>
  <si>
    <t>3 = VENTAS</t>
  </si>
  <si>
    <t>NUMERO_ASIENTO</t>
  </si>
  <si>
    <t>ATO DIARIO</t>
  </si>
  <si>
    <t>FECHA ATO</t>
  </si>
  <si>
    <t>FECHA COMP</t>
  </si>
  <si>
    <t>DETALLE</t>
  </si>
  <si>
    <t>CUENTA</t>
  </si>
  <si>
    <t>NOMBRE_CUENTA</t>
  </si>
  <si>
    <t>IMPORTE_DEBE</t>
  </si>
  <si>
    <t>IMPORTE_HABER</t>
  </si>
  <si>
    <t>NETO</t>
  </si>
  <si>
    <t>ACUM</t>
  </si>
  <si>
    <t>TIPO_ORIGEN</t>
  </si>
  <si>
    <t>NUMERO_ORIGEN</t>
  </si>
  <si>
    <t>TIPO_ASIENTO</t>
  </si>
  <si>
    <t>RC Nº: A000100001719    00180 - GRUPO MP SALUD E0089F0</t>
  </si>
  <si>
    <t>BANCO PROVINCIA C-C.</t>
  </si>
  <si>
    <t>A000100001719</t>
  </si>
  <si>
    <t>RC Nº: B000100001115    01030 - CONEXION SALUD E0068F0</t>
  </si>
  <si>
    <t>B000100001115</t>
  </si>
  <si>
    <t>RC Nº: B000100001148    00022 - IOMA           -CATEGORIA II</t>
  </si>
  <si>
    <t>B000100001148</t>
  </si>
  <si>
    <t>RC Nº: B000100001149    00022 - IOMA           -CATEGORIA II</t>
  </si>
  <si>
    <t>B000100001149</t>
  </si>
  <si>
    <t>OP Nº: 09236621   GASTO: GTOS BANCARIOS</t>
  </si>
  <si>
    <t>09236621</t>
  </si>
  <si>
    <t>RC Nº: B000100001179    00022 - IOMA           -CATEGORIA II</t>
  </si>
  <si>
    <t>B000100001179</t>
  </si>
  <si>
    <t>RC Nº: A000100001726    00180 - GRUPO MP SALUD E0089F0</t>
  </si>
  <si>
    <t>A000100001726</t>
  </si>
  <si>
    <t>RC Nº: A000100001727    00194 - SALUD INTEGRAL MEPLIFE SRL E</t>
  </si>
  <si>
    <t>A000100001727</t>
  </si>
  <si>
    <t>RC Nº: A000100001728    00194 - SALUD INTEGRAL MEPLIFE SRL E</t>
  </si>
  <si>
    <t>A000100001728</t>
  </si>
  <si>
    <t>RC Nº: A000100001729    01030 - CONEXION SALUD E0068F0</t>
  </si>
  <si>
    <t>A000100001729</t>
  </si>
  <si>
    <t>OP Nº: 09236834   GASTO: GTOS BANCARIOS</t>
  </si>
  <si>
    <t>09236834</t>
  </si>
  <si>
    <t>RC Nº: B000100001182    00022 - IOMA           -CATEGORIA II</t>
  </si>
  <si>
    <t>B000100001182</t>
  </si>
  <si>
    <t>RC Nº: B000100001183    00022 - IOMA           -CATEGORIA II</t>
  </si>
  <si>
    <t>B000100001183</t>
  </si>
  <si>
    <t>RC Nº: B000100001184    00022 - IOMA           -CATEGORIA II</t>
  </si>
  <si>
    <t>B000100001184</t>
  </si>
  <si>
    <t>RC Nº: B000100001202    00180 - GRUPO MP SALUD E0089F0</t>
  </si>
  <si>
    <t>B000100001202</t>
  </si>
  <si>
    <t>RC Nº: B000100001201    01030 - CONEXION SALUD E0068F0</t>
  </si>
  <si>
    <t>B000100001201</t>
  </si>
  <si>
    <t>RC Nº: B000100001125    00194 - SALUD INTEGRAL MEPLIFE SRL E</t>
  </si>
  <si>
    <t>B000100001125</t>
  </si>
  <si>
    <t>RC Nº: B000100001189    00022 - IOMA           -CATEGORIA II</t>
  </si>
  <si>
    <t>B000100001189</t>
  </si>
  <si>
    <t>RC Nº: B000100001190    00022 - IOMA           -CATEGORIA II</t>
  </si>
  <si>
    <t>B000100001190</t>
  </si>
  <si>
    <t>RC Nº: B000100001191    00022 - IOMA           -CATEGORIA II</t>
  </si>
  <si>
    <t>B000100001191</t>
  </si>
  <si>
    <t>RC Nº: A000100001775    00155 - GRUPO ROI SA- PLAN DOCTORED</t>
  </si>
  <si>
    <t>A000100001775</t>
  </si>
  <si>
    <t>RC Nº: A000100001776    00180 - GRUPO MP SALUD E0089F0</t>
  </si>
  <si>
    <t>A000100001776</t>
  </si>
  <si>
    <t>RC Nº: A000100001777    00180 - GRUPO MP SALUD E0089F0</t>
  </si>
  <si>
    <t>A000100001777</t>
  </si>
  <si>
    <t>RC Nº: A000100001778    00194 - SALUD INTEGRAL MEPLIFE SRL E</t>
  </si>
  <si>
    <t>A000100001778</t>
  </si>
  <si>
    <t>RC Nº: B000100001198    00022 - IOMA           -CATEGORIA II</t>
  </si>
  <si>
    <t>B000100001198</t>
  </si>
  <si>
    <t>RC Nº: B000100001199    00022 - IOMA           -CATEGORIA II</t>
  </si>
  <si>
    <t>B000100001199</t>
  </si>
  <si>
    <t>RC Nº: B000100001227    00022 - IOMA           -CATEGORIA II</t>
  </si>
  <si>
    <t>B000100001227</t>
  </si>
  <si>
    <t>RC Nº: B000100001230    00022 - IOMA           -CATEGORIA II</t>
  </si>
  <si>
    <t>B000100001230</t>
  </si>
  <si>
    <t>RC Nº: B000100001232    00022 - IOMA           -CATEGORIA II</t>
  </si>
  <si>
    <t>B000100001232</t>
  </si>
  <si>
    <t>RC Nº: B000100001233    00022 - IOMA           -CATEGORIA II</t>
  </si>
  <si>
    <t>B000100001233</t>
  </si>
  <si>
    <t>OP Nº: 09237522   GASTO: DIRECTORES</t>
  </si>
  <si>
    <t>09237522</t>
  </si>
  <si>
    <t>RC Nº: B000100001207    00180 - GRUPO MP SALUD E0089F0</t>
  </si>
  <si>
    <t>B000100001207</t>
  </si>
  <si>
    <t>RC Nº: B000100001241    00022 - IOMA           -CATEGORIA II</t>
  </si>
  <si>
    <t>B000100001241</t>
  </si>
  <si>
    <t>RC Nº: B000100001242    00022 - IOMA           -CATEGORIA II</t>
  </si>
  <si>
    <t>B000100001242</t>
  </si>
  <si>
    <t>RC Nº: B000100001243    00022 - IOMA           -CATEGORIA II</t>
  </si>
  <si>
    <t>B000100001243</t>
  </si>
  <si>
    <t>RC Nº: B000100001208    00180 - GRUPO MP SALUD E0089F0</t>
  </si>
  <si>
    <t>B000100001208</t>
  </si>
  <si>
    <t>RC Nº: B000100001244    00022 - IOMA           -CATEGORIA II</t>
  </si>
  <si>
    <t>B000100001244</t>
  </si>
  <si>
    <t>RC Nº: B000100001245    00022 - IOMA           -CATEGORIA II</t>
  </si>
  <si>
    <t>B000100001245</t>
  </si>
  <si>
    <t>RC Nº: B000100001209    00180 - GRUPO MP SALUD E0089F0</t>
  </si>
  <si>
    <t>B000100001209</t>
  </si>
  <si>
    <t>RC Nº: B000100001210    00155 - GRUPO ROI SA- PLAN DOCTORED</t>
  </si>
  <si>
    <t>B000100001210</t>
  </si>
  <si>
    <t>RC Nº: B000100001252    00022 - IOMA           -CATEGORIA II</t>
  </si>
  <si>
    <t>B000100001252</t>
  </si>
  <si>
    <t>RC Nº: B000100001253    00022 - IOMA           -CATEGORIA II</t>
  </si>
  <si>
    <t>B000100001253</t>
  </si>
  <si>
    <t>RC Nº: B000100001263    00022 - IOMA           -CATEGORIA II</t>
  </si>
  <si>
    <t>B000100001263</t>
  </si>
  <si>
    <t>RC Nº: B000100001268    00022 - IOMA           -CATEGORIA II</t>
  </si>
  <si>
    <t>B000100001268</t>
  </si>
  <si>
    <t>RC Nº: B000100001214    00155 - GRUPO ROI SA- PLAN DOCTORED</t>
  </si>
  <si>
    <t>B000100001214</t>
  </si>
  <si>
    <t>RC Nº: B000100001271    00022 - IOMA           -CATEGORIA II</t>
  </si>
  <si>
    <t>B000100001271</t>
  </si>
  <si>
    <t>RC Nº: B000100001213    00194 - SALUD INTEGRAL MEPLIFE SRL E</t>
  </si>
  <si>
    <t>B000100001213</t>
  </si>
  <si>
    <t>RC Nº: B000100001272    00022 - IOMA           -CATEGORIA II</t>
  </si>
  <si>
    <t>B000100001272</t>
  </si>
  <si>
    <t>RC Nº: B000100001273    00022 - IOMA           -CATEGORIA II</t>
  </si>
  <si>
    <t>B000100001273</t>
  </si>
  <si>
    <t>RC Nº: B000100001277    00022 - IOMA           -CATEGORIA II</t>
  </si>
  <si>
    <t>B000100001277</t>
  </si>
  <si>
    <t>RC Nº: B000100001278    00022 - IOMA           -CATEGORIA II</t>
  </si>
  <si>
    <t>B000100001278</t>
  </si>
  <si>
    <t>RC Nº: B000100001279    00022 - IOMA           -CATEGORIA II</t>
  </si>
  <si>
    <t>B000100001279</t>
  </si>
  <si>
    <t>RC Nº: B000100001289    00022 - IOMA           -CATEGORIA II</t>
  </si>
  <si>
    <t>B000100001289</t>
  </si>
  <si>
    <t>RC Nº: B000100001290    00022 - IOMA           -CATEGORIA II</t>
  </si>
  <si>
    <t>B000100001290</t>
  </si>
  <si>
    <t>RC Nº: B000100001291    00022 - IOMA           -CATEGORIA II</t>
  </si>
  <si>
    <t>B000100001291</t>
  </si>
  <si>
    <t>RC Nº: B000100001292    00022 - IOMA           -CATEGORIA II</t>
  </si>
  <si>
    <t>B000100001292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</si>
</sst>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8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zoomScale="78" zoomScaleNormal="78" workbookViewId="0">
      <selection activeCell="A5" sqref="A5:XFD6"/>
    </sheetView>
  </sheetViews>
  <sheetFormatPr baseColWidth="10" defaultColWidth="12.6640625" defaultRowHeight="14.4" x14ac:dyDescent="0.3"/>
  <cols>
    <col min="5" max="5" width="58.77734375" customWidth="1"/>
    <col min="7" max="7" width="28.77734375" customWidth="1"/>
    <col min="13" max="13" width="13.5546875" customWidth="1"/>
  </cols>
  <sheetData>
    <row r="1" spans="1:17" x14ac:dyDescent="0.3">
      <c r="A1" s="1" t="s">
        <v>0</v>
      </c>
      <c r="D1" s="2"/>
      <c r="E1" s="3"/>
      <c r="F1" s="3"/>
      <c r="G1" s="2"/>
      <c r="J1" s="4" t="s">
        <v>1</v>
      </c>
      <c r="K1" s="4" t="s">
        <v>2</v>
      </c>
      <c r="L1" s="5" t="s">
        <v>3</v>
      </c>
      <c r="M1" s="4" t="s">
        <v>4</v>
      </c>
      <c r="N1" s="4" t="s">
        <v>5</v>
      </c>
    </row>
    <row r="2" spans="1:17" x14ac:dyDescent="0.3">
      <c r="A2" s="6" t="s">
        <v>6</v>
      </c>
      <c r="B2" s="7" t="s">
        <v>7</v>
      </c>
      <c r="C2" s="7" t="s">
        <v>8</v>
      </c>
      <c r="D2" s="7" t="s">
        <v>9</v>
      </c>
      <c r="E2" s="6" t="s">
        <v>10</v>
      </c>
      <c r="F2" s="7" t="s">
        <v>11</v>
      </c>
      <c r="G2" s="6" t="s">
        <v>12</v>
      </c>
      <c r="H2" s="7" t="s">
        <v>13</v>
      </c>
      <c r="I2" s="7" t="s">
        <v>14</v>
      </c>
      <c r="J2" s="8" t="s">
        <v>15</v>
      </c>
      <c r="K2" s="8" t="s">
        <v>16</v>
      </c>
      <c r="L2" s="7" t="s">
        <v>17</v>
      </c>
      <c r="M2" s="6" t="s">
        <v>18</v>
      </c>
      <c r="N2" s="6" t="s">
        <v>19</v>
      </c>
    </row>
    <row r="3" spans="1:17" x14ac:dyDescent="0.3">
      <c r="A3" s="2">
        <v>6864</v>
      </c>
      <c r="B3" s="2">
        <v>454</v>
      </c>
      <c r="C3" s="9">
        <v>45560</v>
      </c>
      <c r="D3" s="9">
        <v>45560</v>
      </c>
      <c r="E3" s="3" t="s">
        <v>20</v>
      </c>
      <c r="F3">
        <v>110103</v>
      </c>
      <c r="G3" s="3" t="s">
        <v>21</v>
      </c>
      <c r="H3" s="10">
        <v>5315.32</v>
      </c>
      <c r="I3" s="10">
        <v>0</v>
      </c>
      <c r="J3" s="10">
        <f t="shared" ref="J3:J58" si="0">+H3-I3</f>
        <v>5315.32</v>
      </c>
      <c r="K3" s="10">
        <f t="shared" ref="K3:K58" si="1">+IF(F3=F2,K2+J3,J3)</f>
        <v>5315.32</v>
      </c>
      <c r="L3" s="2">
        <v>3</v>
      </c>
      <c r="M3" s="3" t="s">
        <v>22</v>
      </c>
      <c r="N3" s="2">
        <v>2</v>
      </c>
      <c r="P3" s="11"/>
      <c r="Q3" s="11"/>
    </row>
    <row r="4" spans="1:17" x14ac:dyDescent="0.3">
      <c r="A4" s="2">
        <v>6865</v>
      </c>
      <c r="B4" s="2">
        <v>455</v>
      </c>
      <c r="C4" s="9">
        <v>45560</v>
      </c>
      <c r="D4" s="9">
        <v>45560</v>
      </c>
      <c r="E4" s="3" t="s">
        <v>23</v>
      </c>
      <c r="F4">
        <v>110103</v>
      </c>
      <c r="G4" s="3" t="s">
        <v>21</v>
      </c>
      <c r="H4" s="10">
        <v>25040.14</v>
      </c>
      <c r="I4" s="10">
        <v>0</v>
      </c>
      <c r="J4" s="10">
        <f t="shared" si="0"/>
        <v>25040.14</v>
      </c>
      <c r="K4" s="10">
        <f t="shared" si="1"/>
        <v>30355.46</v>
      </c>
      <c r="L4" s="2">
        <v>3</v>
      </c>
      <c r="M4" s="3" t="s">
        <v>24</v>
      </c>
      <c r="N4" s="2">
        <v>2</v>
      </c>
      <c r="P4" s="11"/>
      <c r="Q4" s="11"/>
    </row>
    <row r="5" spans="1:17" x14ac:dyDescent="0.3">
      <c r="A5" s="2">
        <v>6867</v>
      </c>
      <c r="B5" s="2">
        <v>585</v>
      </c>
      <c r="C5" s="9">
        <v>45562</v>
      </c>
      <c r="D5" s="9">
        <v>45562</v>
      </c>
      <c r="E5" s="3" t="s">
        <v>25</v>
      </c>
      <c r="F5">
        <v>110103</v>
      </c>
      <c r="G5" s="3" t="s">
        <v>21</v>
      </c>
      <c r="H5" s="10">
        <v>197572.97</v>
      </c>
      <c r="I5" s="10">
        <v>0</v>
      </c>
      <c r="J5" s="10">
        <f t="shared" si="0"/>
        <v>197572.97</v>
      </c>
      <c r="K5" s="10">
        <f t="shared" si="1"/>
        <v>227928.43</v>
      </c>
      <c r="L5" s="2">
        <v>3</v>
      </c>
      <c r="M5" s="3" t="s">
        <v>26</v>
      </c>
      <c r="N5" s="2">
        <v>2</v>
      </c>
      <c r="P5" s="11"/>
      <c r="Q5" s="11"/>
    </row>
    <row r="6" spans="1:17" x14ac:dyDescent="0.3">
      <c r="A6" s="2">
        <v>6868</v>
      </c>
      <c r="B6" s="2">
        <v>586</v>
      </c>
      <c r="C6" s="9">
        <v>45562</v>
      </c>
      <c r="D6" s="9">
        <v>45562</v>
      </c>
      <c r="E6" s="3" t="s">
        <v>27</v>
      </c>
      <c r="F6">
        <v>110103</v>
      </c>
      <c r="G6" s="3" t="s">
        <v>21</v>
      </c>
      <c r="H6" s="10">
        <v>52519.8</v>
      </c>
      <c r="I6" s="10">
        <v>0</v>
      </c>
      <c r="J6" s="10">
        <f t="shared" si="0"/>
        <v>52519.8</v>
      </c>
      <c r="K6" s="10">
        <f t="shared" si="1"/>
        <v>280448.23</v>
      </c>
      <c r="L6" s="2">
        <v>3</v>
      </c>
      <c r="M6" s="3" t="s">
        <v>28</v>
      </c>
      <c r="N6" s="2">
        <v>2</v>
      </c>
      <c r="P6" s="11"/>
      <c r="Q6" s="11"/>
    </row>
    <row r="7" spans="1:17" x14ac:dyDescent="0.3">
      <c r="A7" s="2">
        <v>7303</v>
      </c>
      <c r="B7" s="2">
        <v>594</v>
      </c>
      <c r="C7" s="9">
        <v>45562</v>
      </c>
      <c r="D7" s="9">
        <v>45562</v>
      </c>
      <c r="E7" s="3" t="s">
        <v>29</v>
      </c>
      <c r="F7">
        <v>110103</v>
      </c>
      <c r="G7" s="3" t="s">
        <v>21</v>
      </c>
      <c r="H7" s="10">
        <v>0</v>
      </c>
      <c r="I7" s="10">
        <v>23805.66</v>
      </c>
      <c r="J7" s="10">
        <f t="shared" si="0"/>
        <v>-23805.66</v>
      </c>
      <c r="K7" s="10">
        <f t="shared" si="1"/>
        <v>256642.56999999998</v>
      </c>
      <c r="L7" s="2">
        <v>3</v>
      </c>
      <c r="M7" s="3" t="s">
        <v>30</v>
      </c>
      <c r="N7" s="2">
        <v>4</v>
      </c>
      <c r="P7" s="11"/>
      <c r="Q7" s="11"/>
    </row>
    <row r="8" spans="1:17" x14ac:dyDescent="0.3">
      <c r="A8" s="2">
        <v>7513</v>
      </c>
      <c r="B8" s="2">
        <v>949</v>
      </c>
      <c r="C8" s="9">
        <v>45582</v>
      </c>
      <c r="D8" s="9">
        <v>45582</v>
      </c>
      <c r="E8" s="3" t="s">
        <v>31</v>
      </c>
      <c r="F8">
        <v>110103</v>
      </c>
      <c r="G8" s="3" t="s">
        <v>21</v>
      </c>
      <c r="H8" s="10">
        <v>5671.36</v>
      </c>
      <c r="I8" s="10">
        <v>0</v>
      </c>
      <c r="J8" s="10">
        <f t="shared" si="0"/>
        <v>5671.36</v>
      </c>
      <c r="K8" s="10">
        <f t="shared" si="1"/>
        <v>262313.93</v>
      </c>
      <c r="L8" s="2">
        <v>3</v>
      </c>
      <c r="M8" s="3" t="s">
        <v>32</v>
      </c>
      <c r="N8" s="2">
        <v>2</v>
      </c>
      <c r="P8" s="11"/>
      <c r="Q8" s="11"/>
    </row>
    <row r="9" spans="1:17" x14ac:dyDescent="0.3">
      <c r="A9" s="2">
        <v>7514</v>
      </c>
      <c r="B9" s="2">
        <v>971</v>
      </c>
      <c r="C9" s="9">
        <v>45586</v>
      </c>
      <c r="D9" s="9">
        <v>45586</v>
      </c>
      <c r="E9" s="3" t="s">
        <v>33</v>
      </c>
      <c r="F9">
        <v>110103</v>
      </c>
      <c r="G9" s="3" t="s">
        <v>21</v>
      </c>
      <c r="H9" s="10">
        <v>78428.39</v>
      </c>
      <c r="I9" s="10">
        <v>0</v>
      </c>
      <c r="J9" s="10">
        <f t="shared" si="0"/>
        <v>78428.39</v>
      </c>
      <c r="K9" s="10">
        <f t="shared" si="1"/>
        <v>340742.32</v>
      </c>
      <c r="L9" s="2">
        <v>3</v>
      </c>
      <c r="M9" s="3" t="s">
        <v>34</v>
      </c>
      <c r="N9" s="2">
        <v>2</v>
      </c>
      <c r="P9" s="11"/>
      <c r="Q9" s="11"/>
    </row>
    <row r="10" spans="1:17" x14ac:dyDescent="0.3">
      <c r="A10" s="2">
        <v>7515</v>
      </c>
      <c r="B10" s="2">
        <v>984</v>
      </c>
      <c r="C10" s="9">
        <v>45587</v>
      </c>
      <c r="D10" s="9">
        <v>45587</v>
      </c>
      <c r="E10" s="3" t="s">
        <v>35</v>
      </c>
      <c r="F10">
        <v>110103</v>
      </c>
      <c r="G10" s="3" t="s">
        <v>21</v>
      </c>
      <c r="H10" s="10">
        <v>43014</v>
      </c>
      <c r="I10" s="10">
        <v>0</v>
      </c>
      <c r="J10" s="10">
        <f t="shared" si="0"/>
        <v>43014</v>
      </c>
      <c r="K10" s="10">
        <f t="shared" si="1"/>
        <v>383756.32</v>
      </c>
      <c r="L10" s="2">
        <v>3</v>
      </c>
      <c r="M10" s="3" t="s">
        <v>36</v>
      </c>
      <c r="N10" s="2">
        <v>2</v>
      </c>
      <c r="P10" s="11"/>
      <c r="Q10" s="11"/>
    </row>
    <row r="11" spans="1:17" x14ac:dyDescent="0.3">
      <c r="A11" s="2">
        <v>7516</v>
      </c>
      <c r="B11" s="2">
        <v>999</v>
      </c>
      <c r="C11" s="9">
        <v>45588</v>
      </c>
      <c r="D11" s="9">
        <v>45588</v>
      </c>
      <c r="E11" s="3" t="s">
        <v>37</v>
      </c>
      <c r="F11">
        <v>110103</v>
      </c>
      <c r="G11" s="3" t="s">
        <v>21</v>
      </c>
      <c r="H11" s="10">
        <v>38882.71</v>
      </c>
      <c r="I11" s="10">
        <v>0</v>
      </c>
      <c r="J11" s="10">
        <f t="shared" si="0"/>
        <v>38882.71</v>
      </c>
      <c r="K11" s="10">
        <f t="shared" si="1"/>
        <v>422639.03</v>
      </c>
      <c r="L11" s="2">
        <v>3</v>
      </c>
      <c r="M11" s="3" t="s">
        <v>38</v>
      </c>
      <c r="N11" s="2">
        <v>2</v>
      </c>
      <c r="P11" s="11"/>
      <c r="Q11" s="11"/>
    </row>
    <row r="12" spans="1:17" x14ac:dyDescent="0.3">
      <c r="A12" s="2">
        <v>7521</v>
      </c>
      <c r="B12" s="2">
        <v>1037</v>
      </c>
      <c r="C12" s="9">
        <v>45590</v>
      </c>
      <c r="D12" s="9">
        <v>45590</v>
      </c>
      <c r="E12" s="3" t="s">
        <v>39</v>
      </c>
      <c r="F12">
        <v>110103</v>
      </c>
      <c r="G12" s="3" t="s">
        <v>21</v>
      </c>
      <c r="H12" s="10">
        <v>14617.94</v>
      </c>
      <c r="I12" s="10">
        <v>0</v>
      </c>
      <c r="J12" s="10">
        <f t="shared" si="0"/>
        <v>14617.94</v>
      </c>
      <c r="K12" s="10">
        <f t="shared" si="1"/>
        <v>437256.97000000003</v>
      </c>
      <c r="L12" s="2">
        <v>3</v>
      </c>
      <c r="M12" s="3" t="s">
        <v>40</v>
      </c>
      <c r="N12" s="2">
        <v>2</v>
      </c>
      <c r="P12" s="11"/>
      <c r="Q12" s="11"/>
    </row>
    <row r="13" spans="1:17" x14ac:dyDescent="0.3">
      <c r="A13" s="2">
        <v>7920</v>
      </c>
      <c r="B13" s="2">
        <v>1249</v>
      </c>
      <c r="C13" s="9">
        <v>45596</v>
      </c>
      <c r="D13" s="9">
        <v>45596</v>
      </c>
      <c r="E13" s="3" t="s">
        <v>41</v>
      </c>
      <c r="F13">
        <v>110103</v>
      </c>
      <c r="G13" s="3" t="s">
        <v>21</v>
      </c>
      <c r="H13" s="10">
        <v>0</v>
      </c>
      <c r="I13" s="10">
        <v>20622.939999999999</v>
      </c>
      <c r="J13" s="10">
        <f t="shared" si="0"/>
        <v>-20622.939999999999</v>
      </c>
      <c r="K13" s="10">
        <f t="shared" si="1"/>
        <v>416634.03</v>
      </c>
      <c r="L13" s="2">
        <v>3</v>
      </c>
      <c r="M13" s="3" t="s">
        <v>42</v>
      </c>
      <c r="N13" s="2">
        <v>4</v>
      </c>
      <c r="P13" s="11"/>
      <c r="Q13" s="11"/>
    </row>
    <row r="14" spans="1:17" x14ac:dyDescent="0.3">
      <c r="A14" s="2">
        <v>8115</v>
      </c>
      <c r="B14" s="2">
        <v>1267</v>
      </c>
      <c r="C14" s="9">
        <v>45597</v>
      </c>
      <c r="D14" s="9">
        <v>45597</v>
      </c>
      <c r="E14" s="3" t="s">
        <v>43</v>
      </c>
      <c r="F14">
        <v>110103</v>
      </c>
      <c r="G14" s="3" t="s">
        <v>21</v>
      </c>
      <c r="H14" s="10">
        <v>52519.8</v>
      </c>
      <c r="I14" s="10">
        <v>0</v>
      </c>
      <c r="J14" s="10">
        <f t="shared" si="0"/>
        <v>52519.8</v>
      </c>
      <c r="K14" s="10">
        <f t="shared" si="1"/>
        <v>469153.83</v>
      </c>
      <c r="L14" s="2">
        <v>3</v>
      </c>
      <c r="M14" s="3" t="s">
        <v>44</v>
      </c>
      <c r="N14" s="2">
        <v>2</v>
      </c>
      <c r="P14" s="11"/>
      <c r="Q14" s="11"/>
    </row>
    <row r="15" spans="1:17" x14ac:dyDescent="0.3">
      <c r="A15" s="2">
        <v>8116</v>
      </c>
      <c r="B15" s="2">
        <v>1268</v>
      </c>
      <c r="C15" s="9">
        <v>45597</v>
      </c>
      <c r="D15" s="9">
        <v>45597</v>
      </c>
      <c r="E15" s="3" t="s">
        <v>45</v>
      </c>
      <c r="F15">
        <v>110103</v>
      </c>
      <c r="G15" s="3" t="s">
        <v>21</v>
      </c>
      <c r="H15" s="10">
        <v>29383.74</v>
      </c>
      <c r="I15" s="10">
        <v>0</v>
      </c>
      <c r="J15" s="10">
        <f t="shared" si="0"/>
        <v>29383.74</v>
      </c>
      <c r="K15" s="10">
        <f t="shared" si="1"/>
        <v>498537.57</v>
      </c>
      <c r="L15" s="2">
        <v>3</v>
      </c>
      <c r="M15" s="3" t="s">
        <v>46</v>
      </c>
      <c r="N15" s="2">
        <v>2</v>
      </c>
      <c r="P15" s="11"/>
      <c r="Q15" s="11"/>
    </row>
    <row r="16" spans="1:17" x14ac:dyDescent="0.3">
      <c r="A16" s="2">
        <v>8117</v>
      </c>
      <c r="B16" s="2">
        <v>1321</v>
      </c>
      <c r="C16" s="9">
        <v>45601</v>
      </c>
      <c r="D16" s="9">
        <v>45601</v>
      </c>
      <c r="E16" s="3" t="s">
        <v>47</v>
      </c>
      <c r="F16">
        <v>110103</v>
      </c>
      <c r="G16" s="3" t="s">
        <v>21</v>
      </c>
      <c r="H16" s="10">
        <v>599425.66</v>
      </c>
      <c r="I16" s="10">
        <v>0</v>
      </c>
      <c r="J16" s="10">
        <f t="shared" si="0"/>
        <v>599425.66</v>
      </c>
      <c r="K16" s="10">
        <f t="shared" si="1"/>
        <v>1097963.23</v>
      </c>
      <c r="L16" s="2">
        <v>3</v>
      </c>
      <c r="M16" s="3" t="s">
        <v>48</v>
      </c>
      <c r="N16" s="2">
        <v>2</v>
      </c>
      <c r="P16" s="11"/>
      <c r="Q16" s="11"/>
    </row>
    <row r="17" spans="1:17" x14ac:dyDescent="0.3">
      <c r="A17" s="2">
        <v>8127</v>
      </c>
      <c r="B17" s="2">
        <v>1544</v>
      </c>
      <c r="C17" s="9">
        <v>45611</v>
      </c>
      <c r="D17" s="9">
        <v>45611</v>
      </c>
      <c r="E17" s="3" t="s">
        <v>49</v>
      </c>
      <c r="F17">
        <v>110103</v>
      </c>
      <c r="G17" s="3" t="s">
        <v>21</v>
      </c>
      <c r="H17" s="10">
        <v>126550.96</v>
      </c>
      <c r="I17" s="10">
        <v>0</v>
      </c>
      <c r="J17" s="10">
        <f t="shared" si="0"/>
        <v>126550.96</v>
      </c>
      <c r="K17" s="10">
        <f t="shared" si="1"/>
        <v>1224514.19</v>
      </c>
      <c r="L17" s="2">
        <v>3</v>
      </c>
      <c r="M17" s="3" t="s">
        <v>50</v>
      </c>
      <c r="N17" s="2">
        <v>2</v>
      </c>
      <c r="P17" s="11"/>
      <c r="Q17" s="11"/>
    </row>
    <row r="18" spans="1:17" x14ac:dyDescent="0.3">
      <c r="A18" s="2">
        <v>8132</v>
      </c>
      <c r="B18" s="2">
        <v>1810</v>
      </c>
      <c r="C18" s="9">
        <v>45623</v>
      </c>
      <c r="D18" s="9">
        <v>45623</v>
      </c>
      <c r="E18" s="3" t="s">
        <v>51</v>
      </c>
      <c r="F18">
        <v>110103</v>
      </c>
      <c r="G18" s="3" t="s">
        <v>21</v>
      </c>
      <c r="H18" s="10">
        <v>23342.28</v>
      </c>
      <c r="I18" s="10">
        <v>0</v>
      </c>
      <c r="J18" s="10">
        <f t="shared" si="0"/>
        <v>23342.28</v>
      </c>
      <c r="K18" s="10">
        <f t="shared" si="1"/>
        <v>1247856.47</v>
      </c>
      <c r="L18" s="2">
        <v>3</v>
      </c>
      <c r="M18" s="3" t="s">
        <v>52</v>
      </c>
      <c r="N18" s="2">
        <v>2</v>
      </c>
      <c r="P18" s="11"/>
      <c r="Q18" s="11"/>
    </row>
    <row r="19" spans="1:17" x14ac:dyDescent="0.3">
      <c r="A19" s="2">
        <v>8139</v>
      </c>
      <c r="B19" s="2">
        <v>1856</v>
      </c>
      <c r="C19" s="9">
        <v>45625</v>
      </c>
      <c r="D19" s="9">
        <v>45625</v>
      </c>
      <c r="E19" s="3" t="s">
        <v>53</v>
      </c>
      <c r="F19">
        <v>110103</v>
      </c>
      <c r="G19" s="3" t="s">
        <v>21</v>
      </c>
      <c r="H19" s="10">
        <v>30581.01</v>
      </c>
      <c r="I19" s="10">
        <v>0</v>
      </c>
      <c r="J19" s="10">
        <f t="shared" si="0"/>
        <v>30581.01</v>
      </c>
      <c r="K19" s="10">
        <f t="shared" si="1"/>
        <v>1278437.48</v>
      </c>
      <c r="L19" s="2">
        <v>3</v>
      </c>
      <c r="M19" s="3" t="s">
        <v>54</v>
      </c>
      <c r="N19" s="2">
        <v>2</v>
      </c>
      <c r="P19" s="11"/>
      <c r="Q19" s="11"/>
    </row>
    <row r="20" spans="1:17" x14ac:dyDescent="0.3">
      <c r="A20" s="2">
        <v>8140</v>
      </c>
      <c r="B20" s="2">
        <v>1857</v>
      </c>
      <c r="C20" s="9">
        <v>45625</v>
      </c>
      <c r="D20" s="9">
        <v>45625</v>
      </c>
      <c r="E20" s="3" t="s">
        <v>55</v>
      </c>
      <c r="F20">
        <v>110103</v>
      </c>
      <c r="G20" s="3" t="s">
        <v>21</v>
      </c>
      <c r="H20" s="10">
        <v>90635.82</v>
      </c>
      <c r="I20" s="10">
        <v>0</v>
      </c>
      <c r="J20" s="10">
        <f t="shared" si="0"/>
        <v>90635.82</v>
      </c>
      <c r="K20" s="10">
        <f t="shared" si="1"/>
        <v>1369073.3</v>
      </c>
      <c r="L20" s="2">
        <v>3</v>
      </c>
      <c r="M20" s="3" t="s">
        <v>56</v>
      </c>
      <c r="N20" s="2">
        <v>2</v>
      </c>
      <c r="P20" s="11"/>
      <c r="Q20" s="11"/>
    </row>
    <row r="21" spans="1:17" x14ac:dyDescent="0.3">
      <c r="A21" s="2">
        <v>8772</v>
      </c>
      <c r="B21" s="2">
        <v>1934</v>
      </c>
      <c r="C21" s="9">
        <v>45629</v>
      </c>
      <c r="D21" s="9">
        <v>45629</v>
      </c>
      <c r="E21" s="3" t="s">
        <v>57</v>
      </c>
      <c r="F21">
        <v>110103</v>
      </c>
      <c r="G21" s="3" t="s">
        <v>21</v>
      </c>
      <c r="H21" s="10">
        <v>52519.8</v>
      </c>
      <c r="I21" s="10">
        <v>0</v>
      </c>
      <c r="J21" s="10">
        <f t="shared" si="0"/>
        <v>52519.8</v>
      </c>
      <c r="K21" s="10">
        <f t="shared" si="1"/>
        <v>1421593.1</v>
      </c>
      <c r="L21" s="2">
        <v>3</v>
      </c>
      <c r="M21" s="3" t="s">
        <v>58</v>
      </c>
      <c r="N21" s="2">
        <v>2</v>
      </c>
      <c r="P21" s="11"/>
      <c r="Q21" s="11"/>
    </row>
    <row r="22" spans="1:17" x14ac:dyDescent="0.3">
      <c r="A22" s="2">
        <v>8773</v>
      </c>
      <c r="B22" s="2">
        <v>1935</v>
      </c>
      <c r="C22" s="9">
        <v>45629</v>
      </c>
      <c r="D22" s="9">
        <v>45629</v>
      </c>
      <c r="E22" s="3" t="s">
        <v>59</v>
      </c>
      <c r="F22">
        <v>110103</v>
      </c>
      <c r="G22" s="3" t="s">
        <v>21</v>
      </c>
      <c r="H22" s="10">
        <v>33841.78</v>
      </c>
      <c r="I22" s="10">
        <v>0</v>
      </c>
      <c r="J22" s="10">
        <f t="shared" si="0"/>
        <v>33841.78</v>
      </c>
      <c r="K22" s="10">
        <f t="shared" si="1"/>
        <v>1455434.8800000001</v>
      </c>
      <c r="L22" s="2">
        <v>3</v>
      </c>
      <c r="M22" s="3" t="s">
        <v>60</v>
      </c>
      <c r="N22" s="2">
        <v>2</v>
      </c>
      <c r="P22" s="11"/>
      <c r="Q22" s="11"/>
    </row>
    <row r="23" spans="1:17" x14ac:dyDescent="0.3">
      <c r="A23" s="2">
        <v>8786</v>
      </c>
      <c r="B23" s="2">
        <v>2239</v>
      </c>
      <c r="C23" s="9">
        <v>45649</v>
      </c>
      <c r="D23" s="9">
        <v>45649</v>
      </c>
      <c r="E23" s="3" t="s">
        <v>61</v>
      </c>
      <c r="F23">
        <v>110103</v>
      </c>
      <c r="G23" s="3" t="s">
        <v>21</v>
      </c>
      <c r="H23" s="10">
        <v>12885.98</v>
      </c>
      <c r="I23" s="10">
        <v>0</v>
      </c>
      <c r="J23" s="10">
        <f t="shared" si="0"/>
        <v>12885.98</v>
      </c>
      <c r="K23" s="10">
        <f t="shared" si="1"/>
        <v>1468320.86</v>
      </c>
      <c r="L23" s="2">
        <v>3</v>
      </c>
      <c r="M23" s="3" t="s">
        <v>62</v>
      </c>
      <c r="N23" s="2">
        <v>2</v>
      </c>
      <c r="P23" s="11"/>
      <c r="Q23" s="11"/>
    </row>
    <row r="24" spans="1:17" x14ac:dyDescent="0.3">
      <c r="A24" s="2">
        <v>8787</v>
      </c>
      <c r="B24" s="2">
        <v>2240</v>
      </c>
      <c r="C24" s="9">
        <v>45649</v>
      </c>
      <c r="D24" s="9">
        <v>45649</v>
      </c>
      <c r="E24" s="3" t="s">
        <v>63</v>
      </c>
      <c r="F24">
        <v>110103</v>
      </c>
      <c r="G24" s="3" t="s">
        <v>21</v>
      </c>
      <c r="H24" s="10">
        <v>235644.89</v>
      </c>
      <c r="I24" s="10">
        <v>0</v>
      </c>
      <c r="J24" s="10">
        <f t="shared" si="0"/>
        <v>235644.89</v>
      </c>
      <c r="K24" s="10">
        <f t="shared" si="1"/>
        <v>1703965.75</v>
      </c>
      <c r="L24" s="2">
        <v>3</v>
      </c>
      <c r="M24" s="3" t="s">
        <v>64</v>
      </c>
      <c r="N24" s="2">
        <v>2</v>
      </c>
      <c r="P24" s="11"/>
      <c r="Q24" s="11"/>
    </row>
    <row r="25" spans="1:17" x14ac:dyDescent="0.3">
      <c r="A25" s="2">
        <v>8791</v>
      </c>
      <c r="B25" s="2">
        <v>2373</v>
      </c>
      <c r="C25" s="9">
        <v>45653</v>
      </c>
      <c r="D25" s="9">
        <v>45653</v>
      </c>
      <c r="E25" s="3" t="s">
        <v>65</v>
      </c>
      <c r="F25">
        <v>110103</v>
      </c>
      <c r="G25" s="3" t="s">
        <v>21</v>
      </c>
      <c r="H25" s="10">
        <v>115080.35</v>
      </c>
      <c r="I25" s="10">
        <v>0</v>
      </c>
      <c r="J25" s="10">
        <f t="shared" si="0"/>
        <v>115080.35</v>
      </c>
      <c r="K25" s="10">
        <f t="shared" si="1"/>
        <v>1819046.1</v>
      </c>
      <c r="L25" s="2">
        <v>3</v>
      </c>
      <c r="M25" s="3" t="s">
        <v>66</v>
      </c>
      <c r="N25" s="2">
        <v>2</v>
      </c>
      <c r="P25" s="11"/>
      <c r="Q25" s="11"/>
    </row>
    <row r="26" spans="1:17" x14ac:dyDescent="0.3">
      <c r="A26" s="2">
        <v>8792</v>
      </c>
      <c r="B26" s="2">
        <v>2374</v>
      </c>
      <c r="C26" s="9">
        <v>45653</v>
      </c>
      <c r="D26" s="9">
        <v>45653</v>
      </c>
      <c r="E26" s="3" t="s">
        <v>67</v>
      </c>
      <c r="F26">
        <v>110103</v>
      </c>
      <c r="G26" s="3" t="s">
        <v>21</v>
      </c>
      <c r="H26" s="10">
        <v>47393.62</v>
      </c>
      <c r="I26" s="10">
        <v>0</v>
      </c>
      <c r="J26" s="10">
        <f t="shared" si="0"/>
        <v>47393.62</v>
      </c>
      <c r="K26" s="10">
        <f t="shared" si="1"/>
        <v>1866439.7200000002</v>
      </c>
      <c r="L26" s="2">
        <v>3</v>
      </c>
      <c r="M26" s="3" t="s">
        <v>68</v>
      </c>
      <c r="N26" s="2">
        <v>2</v>
      </c>
      <c r="P26" s="11"/>
      <c r="Q26" s="11"/>
    </row>
    <row r="27" spans="1:17" x14ac:dyDescent="0.3">
      <c r="A27" s="2">
        <v>9217</v>
      </c>
      <c r="B27" s="2">
        <v>2498</v>
      </c>
      <c r="C27" s="9">
        <v>45660</v>
      </c>
      <c r="D27" s="9">
        <v>45660</v>
      </c>
      <c r="E27" s="3" t="s">
        <v>69</v>
      </c>
      <c r="F27">
        <v>110103</v>
      </c>
      <c r="G27" s="3" t="s">
        <v>21</v>
      </c>
      <c r="H27" s="10">
        <v>31729.15</v>
      </c>
      <c r="I27" s="10">
        <v>0</v>
      </c>
      <c r="J27" s="10">
        <f t="shared" si="0"/>
        <v>31729.15</v>
      </c>
      <c r="K27" s="10">
        <f t="shared" si="1"/>
        <v>1898168.87</v>
      </c>
      <c r="L27" s="2">
        <v>3</v>
      </c>
      <c r="M27" s="3" t="s">
        <v>70</v>
      </c>
      <c r="N27" s="2">
        <v>2</v>
      </c>
      <c r="P27" s="11"/>
      <c r="Q27" s="11"/>
    </row>
    <row r="28" spans="1:17" x14ac:dyDescent="0.3">
      <c r="A28" s="2">
        <v>9219</v>
      </c>
      <c r="B28" s="2">
        <v>2560</v>
      </c>
      <c r="C28" s="9">
        <v>45664</v>
      </c>
      <c r="D28" s="9">
        <v>45664</v>
      </c>
      <c r="E28" s="3" t="s">
        <v>71</v>
      </c>
      <c r="F28">
        <v>110103</v>
      </c>
      <c r="G28" s="3" t="s">
        <v>21</v>
      </c>
      <c r="H28" s="10">
        <v>52519.8</v>
      </c>
      <c r="I28" s="10">
        <v>0</v>
      </c>
      <c r="J28" s="10">
        <f t="shared" si="0"/>
        <v>52519.8</v>
      </c>
      <c r="K28" s="10">
        <f t="shared" si="1"/>
        <v>1950688.6700000002</v>
      </c>
      <c r="L28" s="2">
        <v>3</v>
      </c>
      <c r="M28" s="3" t="s">
        <v>72</v>
      </c>
      <c r="N28" s="2">
        <v>2</v>
      </c>
      <c r="P28" s="11"/>
      <c r="Q28" s="11"/>
    </row>
    <row r="29" spans="1:17" x14ac:dyDescent="0.3">
      <c r="A29" s="2">
        <v>9227</v>
      </c>
      <c r="B29" s="2">
        <v>2710</v>
      </c>
      <c r="C29" s="9">
        <v>45673</v>
      </c>
      <c r="D29" s="9">
        <v>45673</v>
      </c>
      <c r="E29" s="3" t="s">
        <v>73</v>
      </c>
      <c r="F29">
        <v>110103</v>
      </c>
      <c r="G29" s="3" t="s">
        <v>21</v>
      </c>
      <c r="H29" s="10">
        <v>33841.78</v>
      </c>
      <c r="I29" s="10">
        <v>0</v>
      </c>
      <c r="J29" s="10">
        <f t="shared" si="0"/>
        <v>33841.78</v>
      </c>
      <c r="K29" s="10">
        <f t="shared" si="1"/>
        <v>1984530.4500000002</v>
      </c>
      <c r="L29" s="2">
        <v>3</v>
      </c>
      <c r="M29" s="3" t="s">
        <v>74</v>
      </c>
      <c r="N29" s="2">
        <v>2</v>
      </c>
      <c r="P29" s="11"/>
      <c r="Q29" s="11"/>
    </row>
    <row r="30" spans="1:17" x14ac:dyDescent="0.3">
      <c r="A30" s="2">
        <v>9237</v>
      </c>
      <c r="B30" s="2">
        <v>3002</v>
      </c>
      <c r="C30" s="9">
        <v>45687</v>
      </c>
      <c r="D30" s="9">
        <v>45687</v>
      </c>
      <c r="E30" s="3" t="s">
        <v>75</v>
      </c>
      <c r="F30">
        <v>110103</v>
      </c>
      <c r="G30" s="3" t="s">
        <v>21</v>
      </c>
      <c r="H30" s="10">
        <v>35060.71</v>
      </c>
      <c r="I30" s="10">
        <v>0</v>
      </c>
      <c r="J30" s="10">
        <f t="shared" si="0"/>
        <v>35060.71</v>
      </c>
      <c r="K30" s="10">
        <f t="shared" si="1"/>
        <v>2019591.1600000001</v>
      </c>
      <c r="L30" s="2">
        <v>3</v>
      </c>
      <c r="M30" s="3" t="s">
        <v>76</v>
      </c>
      <c r="N30" s="2">
        <v>2</v>
      </c>
      <c r="P30" s="11"/>
      <c r="Q30" s="11"/>
    </row>
    <row r="31" spans="1:17" x14ac:dyDescent="0.3">
      <c r="A31" s="2">
        <v>9238</v>
      </c>
      <c r="B31" s="2">
        <v>3003</v>
      </c>
      <c r="C31" s="9">
        <v>45687</v>
      </c>
      <c r="D31" s="9">
        <v>45687</v>
      </c>
      <c r="E31" s="3" t="s">
        <v>77</v>
      </c>
      <c r="F31">
        <v>110103</v>
      </c>
      <c r="G31" s="3" t="s">
        <v>21</v>
      </c>
      <c r="H31" s="10">
        <v>1750142.51</v>
      </c>
      <c r="I31" s="10">
        <v>0</v>
      </c>
      <c r="J31" s="10">
        <f t="shared" si="0"/>
        <v>1750142.51</v>
      </c>
      <c r="K31" s="10">
        <f t="shared" si="1"/>
        <v>3769733.67</v>
      </c>
      <c r="L31" s="2">
        <v>3</v>
      </c>
      <c r="M31" s="3" t="s">
        <v>78</v>
      </c>
      <c r="N31" s="2">
        <v>2</v>
      </c>
      <c r="P31" s="11"/>
      <c r="Q31" s="11"/>
    </row>
    <row r="32" spans="1:17" x14ac:dyDescent="0.3">
      <c r="A32" s="2">
        <v>9239</v>
      </c>
      <c r="B32" s="2">
        <v>3004</v>
      </c>
      <c r="C32" s="9">
        <v>45687</v>
      </c>
      <c r="D32" s="9">
        <v>45687</v>
      </c>
      <c r="E32" s="3" t="s">
        <v>79</v>
      </c>
      <c r="F32">
        <v>110103</v>
      </c>
      <c r="G32" s="3" t="s">
        <v>21</v>
      </c>
      <c r="H32" s="10">
        <v>52519.8</v>
      </c>
      <c r="I32" s="10">
        <v>0</v>
      </c>
      <c r="J32" s="10">
        <f t="shared" si="0"/>
        <v>52519.8</v>
      </c>
      <c r="K32" s="10">
        <f t="shared" si="1"/>
        <v>3822253.4699999997</v>
      </c>
      <c r="L32" s="2">
        <v>3</v>
      </c>
      <c r="M32" s="3" t="s">
        <v>80</v>
      </c>
      <c r="N32" s="2">
        <v>2</v>
      </c>
      <c r="P32" s="11"/>
      <c r="Q32" s="11"/>
    </row>
    <row r="33" spans="1:17" x14ac:dyDescent="0.3">
      <c r="A33" s="2">
        <v>9833</v>
      </c>
      <c r="B33" s="2">
        <v>3263</v>
      </c>
      <c r="C33" s="9">
        <v>45701</v>
      </c>
      <c r="D33" s="9">
        <v>45701</v>
      </c>
      <c r="E33" s="3" t="s">
        <v>81</v>
      </c>
      <c r="F33">
        <v>110103</v>
      </c>
      <c r="G33" s="3" t="s">
        <v>21</v>
      </c>
      <c r="H33" s="10">
        <v>0</v>
      </c>
      <c r="I33" s="10">
        <v>6000000</v>
      </c>
      <c r="J33" s="10">
        <f t="shared" si="0"/>
        <v>-6000000</v>
      </c>
      <c r="K33" s="10">
        <f t="shared" si="1"/>
        <v>-2177746.5300000003</v>
      </c>
      <c r="L33" s="2">
        <v>3</v>
      </c>
      <c r="M33" s="3" t="s">
        <v>82</v>
      </c>
      <c r="N33" s="2">
        <v>4</v>
      </c>
      <c r="P33" s="11"/>
      <c r="Q33" s="11"/>
    </row>
    <row r="34" spans="1:17" x14ac:dyDescent="0.3">
      <c r="A34" s="2">
        <v>9759</v>
      </c>
      <c r="B34" s="2">
        <v>3305</v>
      </c>
      <c r="C34" s="9">
        <v>45705</v>
      </c>
      <c r="D34" s="9">
        <v>45705</v>
      </c>
      <c r="E34" s="3" t="s">
        <v>83</v>
      </c>
      <c r="F34">
        <v>110103</v>
      </c>
      <c r="G34" s="3" t="s">
        <v>21</v>
      </c>
      <c r="H34" s="10">
        <v>927733.44</v>
      </c>
      <c r="I34" s="10">
        <v>0</v>
      </c>
      <c r="J34" s="10">
        <f t="shared" si="0"/>
        <v>927733.44</v>
      </c>
      <c r="K34" s="10">
        <f t="shared" si="1"/>
        <v>-1250013.0900000003</v>
      </c>
      <c r="L34" s="2">
        <v>3</v>
      </c>
      <c r="M34" s="3" t="s">
        <v>84</v>
      </c>
      <c r="N34" s="2">
        <v>2</v>
      </c>
      <c r="P34" s="11"/>
      <c r="Q34" s="11"/>
    </row>
    <row r="35" spans="1:17" x14ac:dyDescent="0.3">
      <c r="A35" s="2">
        <v>9770</v>
      </c>
      <c r="B35" s="2">
        <v>3537</v>
      </c>
      <c r="C35" s="9">
        <v>45714</v>
      </c>
      <c r="D35" s="9">
        <v>45714</v>
      </c>
      <c r="E35" s="3" t="s">
        <v>85</v>
      </c>
      <c r="F35">
        <v>110103</v>
      </c>
      <c r="G35" s="3" t="s">
        <v>21</v>
      </c>
      <c r="H35" s="10">
        <v>1292228.1599999999</v>
      </c>
      <c r="I35" s="10">
        <v>0</v>
      </c>
      <c r="J35" s="10">
        <f t="shared" si="0"/>
        <v>1292228.1599999999</v>
      </c>
      <c r="K35" s="10">
        <f t="shared" si="1"/>
        <v>42215.0699999996</v>
      </c>
      <c r="L35" s="2">
        <v>3</v>
      </c>
      <c r="M35" s="3" t="s">
        <v>86</v>
      </c>
      <c r="N35" s="2">
        <v>2</v>
      </c>
      <c r="P35" s="11"/>
      <c r="Q35" s="11"/>
    </row>
    <row r="36" spans="1:17" x14ac:dyDescent="0.3">
      <c r="A36" s="2">
        <v>9771</v>
      </c>
      <c r="B36" s="2">
        <v>3553</v>
      </c>
      <c r="C36" s="9">
        <v>45715</v>
      </c>
      <c r="D36" s="9">
        <v>45715</v>
      </c>
      <c r="E36" s="3" t="s">
        <v>87</v>
      </c>
      <c r="F36">
        <v>110103</v>
      </c>
      <c r="G36" s="3" t="s">
        <v>21</v>
      </c>
      <c r="H36" s="10">
        <v>35060.71</v>
      </c>
      <c r="I36" s="10">
        <v>0</v>
      </c>
      <c r="J36" s="10">
        <f t="shared" si="0"/>
        <v>35060.71</v>
      </c>
      <c r="K36" s="10">
        <f t="shared" si="1"/>
        <v>77275.779999999591</v>
      </c>
      <c r="L36" s="2">
        <v>3</v>
      </c>
      <c r="M36" s="3" t="s">
        <v>88</v>
      </c>
      <c r="N36" s="2">
        <v>2</v>
      </c>
      <c r="P36" s="11"/>
      <c r="Q36" s="11"/>
    </row>
    <row r="37" spans="1:17" x14ac:dyDescent="0.3">
      <c r="A37" s="2">
        <v>9772</v>
      </c>
      <c r="B37" s="2">
        <v>3554</v>
      </c>
      <c r="C37" s="9">
        <v>45715</v>
      </c>
      <c r="D37" s="9">
        <v>45715</v>
      </c>
      <c r="E37" s="3" t="s">
        <v>89</v>
      </c>
      <c r="F37">
        <v>110103</v>
      </c>
      <c r="G37" s="3" t="s">
        <v>21</v>
      </c>
      <c r="H37" s="10">
        <v>52519.8</v>
      </c>
      <c r="I37" s="10">
        <v>0</v>
      </c>
      <c r="J37" s="10">
        <f t="shared" si="0"/>
        <v>52519.8</v>
      </c>
      <c r="K37" s="10">
        <f t="shared" si="1"/>
        <v>129795.57999999959</v>
      </c>
      <c r="L37" s="2">
        <v>3</v>
      </c>
      <c r="M37" s="3" t="s">
        <v>90</v>
      </c>
      <c r="N37" s="2">
        <v>2</v>
      </c>
      <c r="P37" s="11"/>
      <c r="Q37" s="11"/>
    </row>
    <row r="38" spans="1:17" x14ac:dyDescent="0.3">
      <c r="A38" s="2">
        <v>10205</v>
      </c>
      <c r="B38" s="2">
        <v>3900</v>
      </c>
      <c r="C38" s="9">
        <v>45735</v>
      </c>
      <c r="D38" s="9">
        <v>45735</v>
      </c>
      <c r="E38" s="3" t="s">
        <v>91</v>
      </c>
      <c r="F38">
        <v>110103</v>
      </c>
      <c r="G38" s="3" t="s">
        <v>21</v>
      </c>
      <c r="H38" s="10">
        <v>62631.72</v>
      </c>
      <c r="I38" s="10">
        <v>0</v>
      </c>
      <c r="J38" s="10">
        <f t="shared" si="0"/>
        <v>62631.72</v>
      </c>
      <c r="K38" s="10">
        <f t="shared" si="1"/>
        <v>192427.29999999958</v>
      </c>
      <c r="L38" s="2">
        <v>3</v>
      </c>
      <c r="M38" s="3" t="s">
        <v>92</v>
      </c>
      <c r="N38" s="2">
        <v>2</v>
      </c>
      <c r="P38" s="11"/>
      <c r="Q38" s="11"/>
    </row>
    <row r="39" spans="1:17" x14ac:dyDescent="0.3">
      <c r="A39" s="2">
        <v>10208</v>
      </c>
      <c r="B39" s="2">
        <v>3996</v>
      </c>
      <c r="C39" s="9">
        <v>45741</v>
      </c>
      <c r="D39" s="9">
        <v>45741</v>
      </c>
      <c r="E39" s="3" t="s">
        <v>93</v>
      </c>
      <c r="F39">
        <v>110103</v>
      </c>
      <c r="G39" s="3" t="s">
        <v>21</v>
      </c>
      <c r="H39" s="10">
        <v>63458.3</v>
      </c>
      <c r="I39" s="10">
        <v>0</v>
      </c>
      <c r="J39" s="10">
        <f t="shared" si="0"/>
        <v>63458.3</v>
      </c>
      <c r="K39" s="10">
        <f t="shared" si="1"/>
        <v>255885.59999999957</v>
      </c>
      <c r="L39" s="2">
        <v>3</v>
      </c>
      <c r="M39" s="3" t="s">
        <v>94</v>
      </c>
      <c r="N39" s="2">
        <v>2</v>
      </c>
      <c r="P39" s="11"/>
      <c r="Q39" s="11"/>
    </row>
    <row r="40" spans="1:17" x14ac:dyDescent="0.3">
      <c r="A40" s="2">
        <v>10209</v>
      </c>
      <c r="B40" s="2">
        <v>4011</v>
      </c>
      <c r="C40" s="9">
        <v>45742</v>
      </c>
      <c r="D40" s="9">
        <v>45742</v>
      </c>
      <c r="E40" s="3" t="s">
        <v>95</v>
      </c>
      <c r="F40">
        <v>110103</v>
      </c>
      <c r="G40" s="3" t="s">
        <v>21</v>
      </c>
      <c r="H40" s="10">
        <v>52519.8</v>
      </c>
      <c r="I40" s="10">
        <v>0</v>
      </c>
      <c r="J40" s="10">
        <f t="shared" si="0"/>
        <v>52519.8</v>
      </c>
      <c r="K40" s="10">
        <f t="shared" si="1"/>
        <v>308405.39999999956</v>
      </c>
      <c r="L40" s="2">
        <v>3</v>
      </c>
      <c r="M40" s="3" t="s">
        <v>96</v>
      </c>
      <c r="N40" s="2">
        <v>2</v>
      </c>
      <c r="P40" s="11"/>
      <c r="Q40" s="11"/>
    </row>
    <row r="41" spans="1:17" x14ac:dyDescent="0.3">
      <c r="A41" s="2">
        <v>10788</v>
      </c>
      <c r="B41" s="2">
        <v>4543</v>
      </c>
      <c r="C41" s="9">
        <v>45769</v>
      </c>
      <c r="D41" s="9">
        <v>45769</v>
      </c>
      <c r="E41" s="3" t="s">
        <v>97</v>
      </c>
      <c r="F41">
        <v>110103</v>
      </c>
      <c r="G41" s="3" t="s">
        <v>21</v>
      </c>
      <c r="H41" s="10">
        <v>289898.19</v>
      </c>
      <c r="I41" s="10">
        <v>0</v>
      </c>
      <c r="J41" s="10">
        <f t="shared" si="0"/>
        <v>289898.19</v>
      </c>
      <c r="K41" s="10">
        <f t="shared" si="1"/>
        <v>598303.58999999962</v>
      </c>
      <c r="L41" s="2">
        <v>3</v>
      </c>
      <c r="M41" s="3" t="s">
        <v>98</v>
      </c>
      <c r="N41" s="2">
        <v>2</v>
      </c>
      <c r="P41" s="11"/>
      <c r="Q41" s="11"/>
    </row>
    <row r="42" spans="1:17" x14ac:dyDescent="0.3">
      <c r="A42" s="2">
        <v>10793</v>
      </c>
      <c r="B42" s="2">
        <v>4761</v>
      </c>
      <c r="C42" s="9">
        <v>45776</v>
      </c>
      <c r="D42" s="9">
        <v>45776</v>
      </c>
      <c r="E42" s="3" t="s">
        <v>99</v>
      </c>
      <c r="F42">
        <v>110103</v>
      </c>
      <c r="G42" s="3" t="s">
        <v>21</v>
      </c>
      <c r="H42" s="10">
        <v>25233.97</v>
      </c>
      <c r="I42" s="10">
        <v>0</v>
      </c>
      <c r="J42" s="10">
        <f t="shared" si="0"/>
        <v>25233.97</v>
      </c>
      <c r="K42" s="10">
        <f t="shared" si="1"/>
        <v>623537.55999999959</v>
      </c>
      <c r="L42" s="2">
        <v>3</v>
      </c>
      <c r="M42" s="3" t="s">
        <v>100</v>
      </c>
      <c r="N42" s="2">
        <v>2</v>
      </c>
      <c r="P42" s="11"/>
      <c r="Q42" s="11"/>
    </row>
    <row r="43" spans="1:17" x14ac:dyDescent="0.3">
      <c r="A43" s="2">
        <v>10794</v>
      </c>
      <c r="B43" s="2">
        <v>4762</v>
      </c>
      <c r="C43" s="9">
        <v>45776</v>
      </c>
      <c r="D43" s="9">
        <v>45776</v>
      </c>
      <c r="E43" s="3" t="s">
        <v>101</v>
      </c>
      <c r="F43">
        <v>110103</v>
      </c>
      <c r="G43" s="3" t="s">
        <v>21</v>
      </c>
      <c r="H43" s="10">
        <v>52519.8</v>
      </c>
      <c r="I43" s="10">
        <v>0</v>
      </c>
      <c r="J43" s="10">
        <f t="shared" si="0"/>
        <v>52519.8</v>
      </c>
      <c r="K43" s="10">
        <f t="shared" si="1"/>
        <v>676057.35999999964</v>
      </c>
      <c r="L43" s="2">
        <v>3</v>
      </c>
      <c r="M43" s="3" t="s">
        <v>102</v>
      </c>
      <c r="N43" s="2">
        <v>2</v>
      </c>
      <c r="P43" s="11"/>
      <c r="Q43" s="11"/>
    </row>
    <row r="44" spans="1:17" x14ac:dyDescent="0.3">
      <c r="A44" s="2">
        <v>10797</v>
      </c>
      <c r="B44" s="2">
        <v>4788</v>
      </c>
      <c r="C44" s="9">
        <v>45777</v>
      </c>
      <c r="D44" s="9">
        <v>45777</v>
      </c>
      <c r="E44" s="3" t="s">
        <v>103</v>
      </c>
      <c r="F44">
        <v>110103</v>
      </c>
      <c r="G44" s="3" t="s">
        <v>21</v>
      </c>
      <c r="H44" s="10">
        <v>1192099.52</v>
      </c>
      <c r="I44" s="10">
        <v>0</v>
      </c>
      <c r="J44" s="10">
        <f t="shared" si="0"/>
        <v>1192099.52</v>
      </c>
      <c r="K44" s="10">
        <f t="shared" si="1"/>
        <v>1868156.8799999997</v>
      </c>
      <c r="L44" s="2">
        <v>3</v>
      </c>
      <c r="M44" s="3" t="s">
        <v>104</v>
      </c>
      <c r="N44" s="2">
        <v>2</v>
      </c>
      <c r="P44" s="11"/>
      <c r="Q44" s="11"/>
    </row>
    <row r="45" spans="1:17" x14ac:dyDescent="0.3">
      <c r="A45" s="2">
        <v>11419</v>
      </c>
      <c r="B45" s="2">
        <v>5386</v>
      </c>
      <c r="C45" s="9">
        <v>45806</v>
      </c>
      <c r="D45" s="9">
        <v>45806</v>
      </c>
      <c r="E45" s="3" t="s">
        <v>105</v>
      </c>
      <c r="F45">
        <v>110103</v>
      </c>
      <c r="G45" s="3" t="s">
        <v>21</v>
      </c>
      <c r="H45" s="10">
        <v>937825.38</v>
      </c>
      <c r="I45" s="10">
        <v>0</v>
      </c>
      <c r="J45" s="10">
        <f t="shared" si="0"/>
        <v>937825.38</v>
      </c>
      <c r="K45" s="10">
        <f t="shared" si="1"/>
        <v>2805982.26</v>
      </c>
      <c r="L45" s="2">
        <v>3</v>
      </c>
      <c r="M45" s="3" t="s">
        <v>106</v>
      </c>
      <c r="N45" s="2">
        <v>2</v>
      </c>
      <c r="P45" s="11"/>
      <c r="Q45" s="11"/>
    </row>
    <row r="46" spans="1:17" x14ac:dyDescent="0.3">
      <c r="A46" s="2">
        <v>12002</v>
      </c>
      <c r="B46" s="2">
        <v>5686</v>
      </c>
      <c r="C46" s="9">
        <v>45820</v>
      </c>
      <c r="D46" s="9">
        <v>45820</v>
      </c>
      <c r="E46" s="3" t="s">
        <v>107</v>
      </c>
      <c r="F46">
        <v>110103</v>
      </c>
      <c r="G46" s="3" t="s">
        <v>21</v>
      </c>
      <c r="H46" s="10">
        <v>52519.8</v>
      </c>
      <c r="I46" s="10">
        <v>0</v>
      </c>
      <c r="J46" s="10">
        <f t="shared" si="0"/>
        <v>52519.8</v>
      </c>
      <c r="K46" s="10">
        <f t="shared" si="1"/>
        <v>2858502.0599999996</v>
      </c>
      <c r="L46" s="2">
        <v>3</v>
      </c>
      <c r="M46" s="3" t="s">
        <v>108</v>
      </c>
      <c r="N46" s="2">
        <v>2</v>
      </c>
      <c r="P46" s="11"/>
      <c r="Q46" s="11"/>
    </row>
    <row r="47" spans="1:17" x14ac:dyDescent="0.3">
      <c r="A47" s="2">
        <v>12018</v>
      </c>
      <c r="B47" s="2">
        <v>5884</v>
      </c>
      <c r="C47" s="9">
        <v>45833</v>
      </c>
      <c r="D47" s="9">
        <v>45833</v>
      </c>
      <c r="E47" s="3" t="s">
        <v>109</v>
      </c>
      <c r="F47">
        <v>110103</v>
      </c>
      <c r="G47" s="3" t="s">
        <v>21</v>
      </c>
      <c r="H47" s="10">
        <v>17200.099999999999</v>
      </c>
      <c r="I47" s="10">
        <v>0</v>
      </c>
      <c r="J47" s="10">
        <f t="shared" si="0"/>
        <v>17200.099999999999</v>
      </c>
      <c r="K47" s="10">
        <f t="shared" si="1"/>
        <v>2875702.1599999997</v>
      </c>
      <c r="L47" s="2">
        <v>3</v>
      </c>
      <c r="M47" s="3" t="s">
        <v>110</v>
      </c>
      <c r="N47" s="2">
        <v>2</v>
      </c>
      <c r="P47" s="11"/>
      <c r="Q47" s="11"/>
    </row>
    <row r="48" spans="1:17" x14ac:dyDescent="0.3">
      <c r="A48" s="2">
        <v>12020</v>
      </c>
      <c r="B48" s="2">
        <v>5912</v>
      </c>
      <c r="C48" s="9">
        <v>45834</v>
      </c>
      <c r="D48" s="9">
        <v>45834</v>
      </c>
      <c r="E48" s="3" t="s">
        <v>111</v>
      </c>
      <c r="F48">
        <v>110103</v>
      </c>
      <c r="G48" s="3" t="s">
        <v>21</v>
      </c>
      <c r="H48" s="10">
        <v>234853.97</v>
      </c>
      <c r="I48" s="10">
        <v>0</v>
      </c>
      <c r="J48" s="10">
        <f t="shared" si="0"/>
        <v>234853.97</v>
      </c>
      <c r="K48" s="10">
        <f t="shared" si="1"/>
        <v>3110556.13</v>
      </c>
      <c r="L48" s="2">
        <v>3</v>
      </c>
      <c r="M48" s="3" t="s">
        <v>112</v>
      </c>
      <c r="N48" s="2">
        <v>2</v>
      </c>
      <c r="P48" s="11"/>
      <c r="Q48" s="11"/>
    </row>
    <row r="49" spans="1:17" x14ac:dyDescent="0.3">
      <c r="A49" s="2">
        <v>12024</v>
      </c>
      <c r="B49" s="2">
        <v>6054</v>
      </c>
      <c r="C49" s="9">
        <v>45838</v>
      </c>
      <c r="D49" s="9">
        <v>45838</v>
      </c>
      <c r="E49" s="3" t="s">
        <v>113</v>
      </c>
      <c r="F49">
        <v>110103</v>
      </c>
      <c r="G49" s="3" t="s">
        <v>21</v>
      </c>
      <c r="H49" s="10">
        <v>3052418.75</v>
      </c>
      <c r="I49" s="10">
        <v>0</v>
      </c>
      <c r="J49" s="10">
        <f t="shared" si="0"/>
        <v>3052418.75</v>
      </c>
      <c r="K49" s="10">
        <f t="shared" si="1"/>
        <v>6162974.8799999999</v>
      </c>
      <c r="L49" s="2">
        <v>3</v>
      </c>
      <c r="M49" s="3" t="s">
        <v>114</v>
      </c>
      <c r="N49" s="2">
        <v>2</v>
      </c>
      <c r="P49" s="11"/>
      <c r="Q49" s="11"/>
    </row>
    <row r="50" spans="1:17" x14ac:dyDescent="0.3">
      <c r="A50" s="2">
        <v>12458</v>
      </c>
      <c r="B50" s="2">
        <v>6149</v>
      </c>
      <c r="C50" s="9">
        <v>45841</v>
      </c>
      <c r="D50" s="9">
        <v>45841</v>
      </c>
      <c r="E50" s="3" t="s">
        <v>115</v>
      </c>
      <c r="F50">
        <v>110103</v>
      </c>
      <c r="G50" s="3" t="s">
        <v>21</v>
      </c>
      <c r="H50" s="10">
        <v>39990.080000000002</v>
      </c>
      <c r="I50" s="10">
        <v>0</v>
      </c>
      <c r="J50" s="10">
        <f t="shared" si="0"/>
        <v>39990.080000000002</v>
      </c>
      <c r="K50" s="10">
        <f t="shared" si="1"/>
        <v>6202964.96</v>
      </c>
      <c r="L50" s="2">
        <v>3</v>
      </c>
      <c r="M50" s="3" t="s">
        <v>116</v>
      </c>
      <c r="N50" s="2">
        <v>2</v>
      </c>
      <c r="P50" s="11"/>
      <c r="Q50" s="11"/>
    </row>
    <row r="51" spans="1:17" x14ac:dyDescent="0.3">
      <c r="A51" s="2">
        <v>12459</v>
      </c>
      <c r="B51" s="2">
        <v>6150</v>
      </c>
      <c r="C51" s="9">
        <v>45841</v>
      </c>
      <c r="D51" s="9">
        <v>45841</v>
      </c>
      <c r="E51" s="3" t="s">
        <v>117</v>
      </c>
      <c r="F51">
        <v>110103</v>
      </c>
      <c r="G51" s="3" t="s">
        <v>21</v>
      </c>
      <c r="H51" s="10">
        <v>52519.8</v>
      </c>
      <c r="I51" s="10">
        <v>0</v>
      </c>
      <c r="J51" s="10">
        <f t="shared" si="0"/>
        <v>52519.8</v>
      </c>
      <c r="K51" s="10">
        <f t="shared" si="1"/>
        <v>6255484.7599999998</v>
      </c>
      <c r="L51" s="2">
        <v>3</v>
      </c>
      <c r="M51" s="3" t="s">
        <v>118</v>
      </c>
      <c r="N51" s="2">
        <v>2</v>
      </c>
      <c r="P51" s="11"/>
      <c r="Q51" s="11"/>
    </row>
    <row r="52" spans="1:17" x14ac:dyDescent="0.3">
      <c r="A52" s="2">
        <v>12476</v>
      </c>
      <c r="B52" s="2">
        <v>6672</v>
      </c>
      <c r="C52" s="9">
        <v>45869</v>
      </c>
      <c r="D52" s="9">
        <v>45869</v>
      </c>
      <c r="E52" s="3" t="s">
        <v>119</v>
      </c>
      <c r="F52">
        <v>110103</v>
      </c>
      <c r="G52" s="3" t="s">
        <v>21</v>
      </c>
      <c r="H52" s="10">
        <v>156507.04</v>
      </c>
      <c r="I52" s="10">
        <v>0</v>
      </c>
      <c r="J52" s="10">
        <f t="shared" si="0"/>
        <v>156507.04</v>
      </c>
      <c r="K52" s="10">
        <f t="shared" si="1"/>
        <v>6411991.7999999998</v>
      </c>
      <c r="L52" s="2">
        <v>3</v>
      </c>
      <c r="M52" s="3" t="s">
        <v>120</v>
      </c>
      <c r="N52" s="2">
        <v>2</v>
      </c>
      <c r="P52" s="11"/>
      <c r="Q52" s="11"/>
    </row>
    <row r="53" spans="1:17" x14ac:dyDescent="0.3">
      <c r="A53" s="2">
        <v>12477</v>
      </c>
      <c r="B53" s="2">
        <v>6673</v>
      </c>
      <c r="C53" s="9">
        <v>45869</v>
      </c>
      <c r="D53" s="9">
        <v>45869</v>
      </c>
      <c r="E53" s="3" t="s">
        <v>121</v>
      </c>
      <c r="F53">
        <v>110103</v>
      </c>
      <c r="G53" s="3" t="s">
        <v>21</v>
      </c>
      <c r="H53" s="10">
        <v>52519.8</v>
      </c>
      <c r="I53" s="10">
        <v>0</v>
      </c>
      <c r="J53" s="10">
        <f t="shared" si="0"/>
        <v>52519.8</v>
      </c>
      <c r="K53" s="10">
        <f t="shared" si="1"/>
        <v>6464511.5999999996</v>
      </c>
      <c r="L53" s="2">
        <v>3</v>
      </c>
      <c r="M53" s="3" t="s">
        <v>122</v>
      </c>
      <c r="N53" s="2">
        <v>2</v>
      </c>
      <c r="P53" s="11"/>
      <c r="Q53" s="11"/>
    </row>
    <row r="54" spans="1:17" x14ac:dyDescent="0.3">
      <c r="A54" s="2">
        <v>12478</v>
      </c>
      <c r="B54" s="2">
        <v>6674</v>
      </c>
      <c r="C54" s="9">
        <v>45869</v>
      </c>
      <c r="D54" s="9">
        <v>45869</v>
      </c>
      <c r="E54" s="3" t="s">
        <v>123</v>
      </c>
      <c r="F54">
        <v>110103</v>
      </c>
      <c r="G54" s="3" t="s">
        <v>21</v>
      </c>
      <c r="H54" s="10">
        <v>39990.080000000002</v>
      </c>
      <c r="I54" s="10">
        <v>0</v>
      </c>
      <c r="J54" s="10">
        <f t="shared" si="0"/>
        <v>39990.080000000002</v>
      </c>
      <c r="K54" s="10">
        <f t="shared" si="1"/>
        <v>6504501.6799999997</v>
      </c>
      <c r="L54" s="2">
        <v>3</v>
      </c>
      <c r="M54" s="3" t="s">
        <v>124</v>
      </c>
      <c r="N54" s="2">
        <v>2</v>
      </c>
      <c r="P54" s="11"/>
      <c r="Q54" s="11"/>
    </row>
    <row r="55" spans="1:17" x14ac:dyDescent="0.3">
      <c r="A55" s="2">
        <v>13058</v>
      </c>
      <c r="B55" s="2">
        <v>7147</v>
      </c>
      <c r="C55" s="9">
        <v>45897</v>
      </c>
      <c r="D55" s="9">
        <v>45897</v>
      </c>
      <c r="E55" s="3" t="s">
        <v>125</v>
      </c>
      <c r="F55">
        <v>110103</v>
      </c>
      <c r="G55" s="3" t="s">
        <v>21</v>
      </c>
      <c r="H55" s="10">
        <v>1679632.04</v>
      </c>
      <c r="I55" s="10">
        <v>0</v>
      </c>
      <c r="J55" s="10">
        <f t="shared" si="0"/>
        <v>1679632.04</v>
      </c>
      <c r="K55" s="10">
        <f t="shared" si="1"/>
        <v>8184133.7199999997</v>
      </c>
      <c r="L55" s="2">
        <v>3</v>
      </c>
      <c r="M55" s="3" t="s">
        <v>126</v>
      </c>
      <c r="N55" s="2">
        <v>2</v>
      </c>
      <c r="P55" s="11"/>
      <c r="Q55" s="11"/>
    </row>
    <row r="56" spans="1:17" x14ac:dyDescent="0.3">
      <c r="A56" s="2">
        <v>13059</v>
      </c>
      <c r="B56" s="2">
        <v>7148</v>
      </c>
      <c r="C56" s="9">
        <v>45897</v>
      </c>
      <c r="D56" s="9">
        <v>45897</v>
      </c>
      <c r="E56" s="3" t="s">
        <v>127</v>
      </c>
      <c r="F56">
        <v>110103</v>
      </c>
      <c r="G56" s="3" t="s">
        <v>21</v>
      </c>
      <c r="H56" s="10">
        <v>560879.30000000005</v>
      </c>
      <c r="I56" s="10">
        <v>0</v>
      </c>
      <c r="J56" s="10">
        <f t="shared" si="0"/>
        <v>560879.30000000005</v>
      </c>
      <c r="K56" s="10">
        <f t="shared" si="1"/>
        <v>8745013.0199999996</v>
      </c>
      <c r="L56" s="2">
        <v>3</v>
      </c>
      <c r="M56" s="3" t="s">
        <v>128</v>
      </c>
      <c r="N56" s="2">
        <v>2</v>
      </c>
      <c r="P56" s="11"/>
      <c r="Q56" s="11"/>
    </row>
    <row r="57" spans="1:17" x14ac:dyDescent="0.3">
      <c r="A57" s="2">
        <v>13060</v>
      </c>
      <c r="B57" s="2">
        <v>7149</v>
      </c>
      <c r="C57" s="9">
        <v>45897</v>
      </c>
      <c r="D57" s="9">
        <v>45897</v>
      </c>
      <c r="E57" s="3" t="s">
        <v>129</v>
      </c>
      <c r="F57">
        <v>110103</v>
      </c>
      <c r="G57" s="3" t="s">
        <v>21</v>
      </c>
      <c r="H57" s="10">
        <v>479553.7</v>
      </c>
      <c r="I57" s="10">
        <v>0</v>
      </c>
      <c r="J57" s="10">
        <f t="shared" si="0"/>
        <v>479553.7</v>
      </c>
      <c r="K57" s="10">
        <f t="shared" si="1"/>
        <v>9224566.7199999988</v>
      </c>
      <c r="L57" s="2">
        <v>3</v>
      </c>
      <c r="M57" s="3" t="s">
        <v>130</v>
      </c>
      <c r="N57" s="2">
        <v>2</v>
      </c>
      <c r="P57" s="11"/>
      <c r="Q57" s="11"/>
    </row>
    <row r="58" spans="1:17" x14ac:dyDescent="0.3">
      <c r="A58" s="2">
        <v>13061</v>
      </c>
      <c r="B58" s="2">
        <v>7150</v>
      </c>
      <c r="C58" s="9">
        <v>45897</v>
      </c>
      <c r="D58" s="9">
        <v>45897</v>
      </c>
      <c r="E58" s="3" t="s">
        <v>131</v>
      </c>
      <c r="F58">
        <v>110103</v>
      </c>
      <c r="G58" s="3" t="s">
        <v>21</v>
      </c>
      <c r="H58" s="10">
        <v>7785.47</v>
      </c>
      <c r="I58" s="10">
        <v>0</v>
      </c>
      <c r="J58" s="10">
        <f t="shared" si="0"/>
        <v>7785.47</v>
      </c>
      <c r="K58" s="10">
        <f t="shared" si="1"/>
        <v>9232352.1899999995</v>
      </c>
      <c r="L58" s="2">
        <v>3</v>
      </c>
      <c r="M58" s="3" t="s">
        <v>132</v>
      </c>
      <c r="N58" s="2">
        <v>2</v>
      </c>
      <c r="P58" s="11"/>
      <c r="Q5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 banco Pcia Bs 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outlet</dc:creator>
  <cp:lastModifiedBy>Tomas Tutor Onetto</cp:lastModifiedBy>
  <dcterms:created xsi:type="dcterms:W3CDTF">2026-02-12T11:40:44Z</dcterms:created>
  <dcterms:modified xsi:type="dcterms:W3CDTF">2026-02-12T13:04:40Z</dcterms:modified>
</cp:coreProperties>
</file>