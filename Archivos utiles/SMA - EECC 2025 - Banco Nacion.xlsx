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ocuments\Trabajo\Sanatorio Modelo de Adrogue\EECC 2025-08\"/>
    </mc:Choice>
  </mc:AlternateContent>
  <xr:revisionPtr revIDLastSave="0" documentId="13_ncr:1_{9A72141B-D26D-4005-965F-F1F1CD51EC94}" xr6:coauthVersionLast="47" xr6:coauthVersionMax="47" xr10:uidLastSave="{00000000-0000-0000-0000-000000000000}"/>
  <bookViews>
    <workbookView xWindow="-108" yWindow="-108" windowWidth="23256" windowHeight="12576" activeTab="2" xr2:uid="{CC21E6A7-4A10-4CB7-8FA4-0343E4074D9D}"/>
  </bookViews>
  <sheets>
    <sheet name="Extractos" sheetId="1" r:id="rId1"/>
    <sheet name="Movimientos" sheetId="2" r:id="rId2"/>
    <sheet name="Saldo Apertu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4" i="2" l="1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9" i="3"/>
  <c r="D7" i="3"/>
  <c r="F736" i="1" l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686" i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643" i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42" i="1"/>
  <c r="F587" i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524" i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469" i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429" i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362" i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361" i="1"/>
  <c r="F286" i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285" i="1"/>
  <c r="F196" i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194" i="1"/>
  <c r="F195" i="1" s="1"/>
  <c r="F95" i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</calcChain>
</file>

<file path=xl/sharedStrings.xml><?xml version="1.0" encoding="utf-8"?>
<sst xmlns="http://schemas.openxmlformats.org/spreadsheetml/2006/main" count="1580" uniqueCount="35">
  <si>
    <t>FECHA</t>
  </si>
  <si>
    <t>MOVIMIENTOS</t>
  </si>
  <si>
    <t>COMPROB.</t>
  </si>
  <si>
    <t>DEBITOS</t>
  </si>
  <si>
    <t>CREDITOS</t>
  </si>
  <si>
    <t>SALDO</t>
  </si>
  <si>
    <t>SALDO ANTERIOR</t>
  </si>
  <si>
    <t>BCA.E.TR.P/BCO -SUC 0001</t>
  </si>
  <si>
    <t>COMIS.COMPENSACION ATEN C</t>
  </si>
  <si>
    <t>COMIS.TRANSF.NE24</t>
  </si>
  <si>
    <t>DEB.TRAN.INTERB-LINK</t>
  </si>
  <si>
    <t>DEB.TRAN.INTERB-LINK TIT</t>
  </si>
  <si>
    <t>GRAVAMEN LEY 25413 S/DEB</t>
  </si>
  <si>
    <t>GRAVAMEN IB PERCEP. BA</t>
  </si>
  <si>
    <t>GRAVAMEN LEY 25413 S/CRED</t>
  </si>
  <si>
    <t>I.V.A. BASE</t>
  </si>
  <si>
    <t>PAGO VEP AFIP</t>
  </si>
  <si>
    <t>REG.REC.SIRCREB</t>
  </si>
  <si>
    <t>RETEN. I.V.A. RG.2408</t>
  </si>
  <si>
    <t>c</t>
  </si>
  <si>
    <t>ORDEN DE EMBARGO</t>
  </si>
  <si>
    <t>PAGO CHEQ.GT MISMO TITU</t>
  </si>
  <si>
    <t>COMI TRANSFERENCIA</t>
  </si>
  <si>
    <t>IVA COMISION GT</t>
  </si>
  <si>
    <t>IVA RG3337 COMISION GT</t>
  </si>
  <si>
    <t>COMIS.COMPENSACION ATENC C</t>
  </si>
  <si>
    <t>BCA.E.TR.O/BCO -SUC 0001</t>
  </si>
  <si>
    <t>C BE TR P/BCO-D-SUC 0001K</t>
  </si>
  <si>
    <t>CRED BE O BCO-M-SUC 0001K</t>
  </si>
  <si>
    <t xml:space="preserve">COMIS.TRANSF.NE24 </t>
  </si>
  <si>
    <t>SALDO EXT</t>
  </si>
  <si>
    <t>CH DIF</t>
  </si>
  <si>
    <t>MOV PEND</t>
  </si>
  <si>
    <t>CONTROL VS EXTRACTO</t>
  </si>
  <si>
    <t>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</si>
</sst>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_-* #,##0.00\ _€_-;\-* #,##0.00\ _€_-;_-* &quot;-&quot;??\ _€_-;_-@_-"/>
  </numFmts>
  <fonts count="8" x14ac:knownFonts="1">
    <font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8"/>
      <color rgb="FF000000"/>
      <name val="Calibri"/>
      <family val="2"/>
    </font>
    <font>
      <sz val="8"/>
      <name val="Calibri"/>
      <family val="2"/>
    </font>
    <font>
      <b/>
      <sz val="8"/>
      <color rgb="FF000000"/>
      <name val="Calibri"/>
      <family val="2"/>
    </font>
    <font>
      <sz val="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0" applyFont="1" applyBorder="1" applyAlignment="1">
      <alignment horizontal="center" vertical="top"/>
    </xf>
    <xf numFmtId="43" fontId="3" fillId="0" borderId="1" xfId="1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  <xf numFmtId="43" fontId="4" fillId="0" borderId="2" xfId="1" applyFont="1" applyBorder="1" applyAlignment="1">
      <alignment horizontal="left" vertical="center"/>
    </xf>
    <xf numFmtId="43" fontId="4" fillId="0" borderId="2" xfId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1" fontId="4" fillId="0" borderId="0" xfId="0" applyNumberFormat="1" applyFont="1" applyAlignment="1">
      <alignment horizontal="left" vertical="top"/>
    </xf>
    <xf numFmtId="43" fontId="4" fillId="0" borderId="0" xfId="1" applyFont="1" applyAlignment="1">
      <alignment horizontal="right" vertical="top"/>
    </xf>
    <xf numFmtId="43" fontId="4" fillId="0" borderId="0" xfId="1" applyFont="1" applyAlignment="1">
      <alignment horizontal="left"/>
    </xf>
    <xf numFmtId="43" fontId="4" fillId="0" borderId="0" xfId="1" applyFont="1" applyAlignment="1">
      <alignment horizontal="left" vertical="top"/>
    </xf>
    <xf numFmtId="0" fontId="4" fillId="0" borderId="0" xfId="0" applyFont="1" applyAlignment="1">
      <alignment horizontal="left"/>
    </xf>
    <xf numFmtId="43" fontId="4" fillId="0" borderId="0" xfId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/>
    </xf>
    <xf numFmtId="43" fontId="3" fillId="0" borderId="3" xfId="1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Alignment="1">
      <alignment horizontal="left" vertical="center"/>
    </xf>
    <xf numFmtId="14" fontId="4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/>
    </xf>
    <xf numFmtId="1" fontId="7" fillId="0" borderId="0" xfId="0" applyNumberFormat="1" applyFont="1" applyAlignment="1">
      <alignment horizontal="left" vertical="top"/>
    </xf>
    <xf numFmtId="43" fontId="7" fillId="0" borderId="0" xfId="1" applyFont="1" applyAlignment="1">
      <alignment horizontal="left" vertical="top"/>
    </xf>
    <xf numFmtId="0" fontId="4" fillId="0" borderId="2" xfId="0" applyFont="1" applyBorder="1" applyAlignment="1">
      <alignment horizontal="left"/>
    </xf>
    <xf numFmtId="43" fontId="4" fillId="0" borderId="2" xfId="1" applyFont="1" applyBorder="1" applyAlignment="1">
      <alignment horizontal="left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/>
    </xf>
    <xf numFmtId="1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/>
    </xf>
    <xf numFmtId="14" fontId="3" fillId="0" borderId="1" xfId="0" applyNumberFormat="1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left" vertical="top"/>
    </xf>
    <xf numFmtId="14" fontId="3" fillId="0" borderId="3" xfId="0" applyNumberFormat="1" applyFont="1" applyBorder="1" applyAlignment="1">
      <alignment horizontal="center" vertical="top"/>
    </xf>
    <xf numFmtId="14" fontId="4" fillId="0" borderId="0" xfId="0" applyNumberFormat="1" applyFont="1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14" fontId="5" fillId="0" borderId="3" xfId="0" applyNumberFormat="1" applyFont="1" applyBorder="1" applyAlignment="1">
      <alignment horizontal="center" vertical="top"/>
    </xf>
    <xf numFmtId="14" fontId="4" fillId="0" borderId="2" xfId="0" applyNumberFormat="1" applyFont="1" applyBorder="1" applyAlignment="1">
      <alignment horizontal="center"/>
    </xf>
    <xf numFmtId="43" fontId="5" fillId="0" borderId="3" xfId="1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2" fillId="2" borderId="4" xfId="0" applyFont="1" applyFill="1" applyBorder="1"/>
    <xf numFmtId="164" fontId="0" fillId="0" borderId="4" xfId="0" applyNumberFormat="1" applyBorder="1"/>
    <xf numFmtId="164" fontId="0" fillId="3" borderId="0" xfId="0" applyNumberFormat="1" applyFill="1"/>
    <xf numFmtId="165" fontId="0" fillId="0" borderId="0" xfId="0" applyNumberFormat="1"/>
    <xf numFmtId="14" fontId="3" fillId="0" borderId="4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43" fontId="3" fillId="0" borderId="4" xfId="1" applyFont="1" applyBorder="1" applyAlignment="1">
      <alignment horizontal="center" vertical="top"/>
    </xf>
    <xf numFmtId="14" fontId="4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1" fontId="4" fillId="0" borderId="4" xfId="0" applyNumberFormat="1" applyFont="1" applyBorder="1" applyAlignment="1">
      <alignment horizontal="center" vertical="top"/>
    </xf>
    <xf numFmtId="14" fontId="4" fillId="0" borderId="4" xfId="0" applyNumberFormat="1" applyFont="1" applyBorder="1" applyAlignment="1">
      <alignment horizontal="left" vertical="top"/>
    </xf>
    <xf numFmtId="0" fontId="7" fillId="0" borderId="4" xfId="0" applyFont="1" applyBorder="1" applyAlignment="1">
      <alignment vertical="top"/>
    </xf>
    <xf numFmtId="1" fontId="7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14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 vertical="top"/>
    </xf>
    <xf numFmtId="164" fontId="4" fillId="0" borderId="4" xfId="1" applyNumberFormat="1" applyFont="1" applyBorder="1" applyAlignment="1">
      <alignment vertical="top"/>
    </xf>
    <xf numFmtId="164" fontId="4" fillId="0" borderId="4" xfId="1" applyNumberFormat="1" applyFont="1" applyBorder="1" applyAlignment="1"/>
    <xf numFmtId="164" fontId="7" fillId="0" borderId="4" xfId="1" applyNumberFormat="1" applyFont="1" applyBorder="1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1276-1084-41EF-ADE0-D84FFDCFAC36}">
  <dimension ref="A1:G779"/>
  <sheetViews>
    <sheetView workbookViewId="0">
      <pane ySplit="1" topLeftCell="A155" activePane="bottomLeft" state="frozen"/>
      <selection pane="bottomLeft" activeCell="F190" sqref="F190"/>
    </sheetView>
  </sheetViews>
  <sheetFormatPr baseColWidth="10" defaultRowHeight="10.199999999999999" x14ac:dyDescent="0.2"/>
  <cols>
    <col min="1" max="1" width="13.140625" style="36" bestFit="1" customWidth="1"/>
    <col min="2" max="2" width="30.42578125" style="15" bestFit="1" customWidth="1"/>
    <col min="3" max="3" width="11.28515625" style="15" bestFit="1" customWidth="1"/>
    <col min="4" max="4" width="14.42578125" style="12" bestFit="1" customWidth="1"/>
    <col min="5" max="6" width="15" style="12" bestFit="1" customWidth="1"/>
    <col min="7" max="7" width="4.140625" style="15" bestFit="1" customWidth="1"/>
  </cols>
  <sheetData>
    <row r="1" spans="1:7" x14ac:dyDescent="0.2">
      <c r="A1" s="34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2">
      <c r="A2" s="35"/>
      <c r="B2" s="5" t="s">
        <v>6</v>
      </c>
      <c r="C2" s="4"/>
      <c r="D2" s="6"/>
      <c r="E2" s="6"/>
      <c r="F2" s="7">
        <v>8829365.0099999998</v>
      </c>
      <c r="G2" s="3">
        <v>1</v>
      </c>
    </row>
    <row r="3" spans="1:7" x14ac:dyDescent="0.2">
      <c r="A3" s="21">
        <v>45537</v>
      </c>
      <c r="B3" s="8" t="s">
        <v>11</v>
      </c>
      <c r="C3" s="9">
        <v>49660</v>
      </c>
      <c r="D3" s="10">
        <v>5000000</v>
      </c>
      <c r="E3" s="11"/>
      <c r="F3" s="12">
        <v>3829365.01</v>
      </c>
      <c r="G3" s="13">
        <v>2</v>
      </c>
    </row>
    <row r="4" spans="1:7" x14ac:dyDescent="0.2">
      <c r="A4" s="21">
        <v>45538</v>
      </c>
      <c r="B4" s="8" t="s">
        <v>9</v>
      </c>
      <c r="C4" s="9">
        <v>49661</v>
      </c>
      <c r="D4" s="10">
        <v>956</v>
      </c>
      <c r="E4" s="11"/>
      <c r="F4" s="12">
        <v>3828409.01</v>
      </c>
      <c r="G4" s="13">
        <v>3</v>
      </c>
    </row>
    <row r="5" spans="1:7" x14ac:dyDescent="0.2">
      <c r="A5" s="21">
        <v>45538</v>
      </c>
      <c r="B5" s="8" t="s">
        <v>15</v>
      </c>
      <c r="C5" s="9">
        <v>49662</v>
      </c>
      <c r="D5" s="10">
        <v>200.76</v>
      </c>
      <c r="E5" s="11"/>
      <c r="F5" s="12">
        <v>3828208.25</v>
      </c>
      <c r="G5" s="13">
        <v>4</v>
      </c>
    </row>
    <row r="6" spans="1:7" x14ac:dyDescent="0.2">
      <c r="A6" s="21">
        <v>45538</v>
      </c>
      <c r="B6" s="8" t="s">
        <v>12</v>
      </c>
      <c r="C6" s="9">
        <v>49661</v>
      </c>
      <c r="D6" s="10">
        <v>5.74</v>
      </c>
      <c r="E6" s="11"/>
      <c r="F6" s="12">
        <v>3828202.51</v>
      </c>
      <c r="G6" s="13">
        <v>5</v>
      </c>
    </row>
    <row r="7" spans="1:7" x14ac:dyDescent="0.2">
      <c r="A7" s="21">
        <v>45538</v>
      </c>
      <c r="B7" s="8" t="s">
        <v>12</v>
      </c>
      <c r="C7" s="9">
        <v>49662</v>
      </c>
      <c r="D7" s="10">
        <v>1.2</v>
      </c>
      <c r="E7" s="11"/>
      <c r="F7" s="12">
        <v>3828201.3099999996</v>
      </c>
      <c r="G7" s="13">
        <v>6</v>
      </c>
    </row>
    <row r="8" spans="1:7" x14ac:dyDescent="0.2">
      <c r="A8" s="21">
        <v>45551</v>
      </c>
      <c r="B8" s="8" t="s">
        <v>7</v>
      </c>
      <c r="C8" s="9">
        <v>9444935</v>
      </c>
      <c r="D8" s="11"/>
      <c r="E8" s="14">
        <v>372404983.60000002</v>
      </c>
      <c r="F8" s="12">
        <v>376233184.91000003</v>
      </c>
      <c r="G8" s="13">
        <v>7</v>
      </c>
    </row>
    <row r="9" spans="1:7" x14ac:dyDescent="0.2">
      <c r="A9" s="21">
        <v>45551</v>
      </c>
      <c r="B9" s="8" t="s">
        <v>14</v>
      </c>
      <c r="C9" s="9">
        <v>9444935</v>
      </c>
      <c r="D9" s="10">
        <v>2234429.9</v>
      </c>
      <c r="E9" s="11"/>
      <c r="F9" s="12">
        <v>373998755.01000005</v>
      </c>
      <c r="G9" s="13">
        <v>8</v>
      </c>
    </row>
    <row r="10" spans="1:7" x14ac:dyDescent="0.2">
      <c r="A10" s="21">
        <v>45551</v>
      </c>
      <c r="B10" s="8" t="s">
        <v>17</v>
      </c>
      <c r="C10" s="9">
        <v>9444935</v>
      </c>
      <c r="D10" s="10">
        <v>3724049.84</v>
      </c>
      <c r="E10" s="11"/>
      <c r="F10" s="12">
        <v>370274705.17000008</v>
      </c>
      <c r="G10" s="13">
        <v>9</v>
      </c>
    </row>
    <row r="11" spans="1:7" x14ac:dyDescent="0.2">
      <c r="A11" s="21">
        <v>45551</v>
      </c>
      <c r="B11" s="8" t="s">
        <v>12</v>
      </c>
      <c r="C11" s="9">
        <v>9444935</v>
      </c>
      <c r="D11" s="10">
        <v>22344.3</v>
      </c>
      <c r="E11" s="11"/>
      <c r="F11" s="12">
        <v>370252360.87000006</v>
      </c>
      <c r="G11" s="13">
        <v>10</v>
      </c>
    </row>
    <row r="12" spans="1:7" x14ac:dyDescent="0.2">
      <c r="A12" s="21">
        <v>45552</v>
      </c>
      <c r="B12" s="8" t="s">
        <v>11</v>
      </c>
      <c r="C12" s="9">
        <v>49669</v>
      </c>
      <c r="D12" s="10">
        <v>20000000</v>
      </c>
      <c r="E12" s="11"/>
      <c r="F12" s="12">
        <v>350252360.87000006</v>
      </c>
      <c r="G12" s="13">
        <v>11</v>
      </c>
    </row>
    <row r="13" spans="1:7" x14ac:dyDescent="0.2">
      <c r="A13" s="21">
        <v>45552</v>
      </c>
      <c r="B13" s="8" t="s">
        <v>11</v>
      </c>
      <c r="C13" s="9">
        <v>49670</v>
      </c>
      <c r="D13" s="10">
        <v>20000000</v>
      </c>
      <c r="E13" s="11"/>
      <c r="F13" s="12">
        <v>330252360.87000006</v>
      </c>
      <c r="G13" s="13">
        <v>12</v>
      </c>
    </row>
    <row r="14" spans="1:7" x14ac:dyDescent="0.2">
      <c r="A14" s="21">
        <v>45552</v>
      </c>
      <c r="B14" s="8" t="s">
        <v>11</v>
      </c>
      <c r="C14" s="9">
        <v>49671</v>
      </c>
      <c r="D14" s="10">
        <v>20000000</v>
      </c>
      <c r="E14" s="11"/>
      <c r="F14" s="12">
        <v>310252360.87000006</v>
      </c>
      <c r="G14" s="13">
        <v>13</v>
      </c>
    </row>
    <row r="15" spans="1:7" x14ac:dyDescent="0.2">
      <c r="A15" s="21">
        <v>45552</v>
      </c>
      <c r="B15" s="8" t="s">
        <v>11</v>
      </c>
      <c r="C15" s="9">
        <v>49672</v>
      </c>
      <c r="D15" s="10">
        <v>20000000</v>
      </c>
      <c r="E15" s="11"/>
      <c r="F15" s="12">
        <v>290252360.87000006</v>
      </c>
      <c r="G15" s="13">
        <v>14</v>
      </c>
    </row>
    <row r="16" spans="1:7" x14ac:dyDescent="0.2">
      <c r="A16" s="21">
        <v>45552</v>
      </c>
      <c r="B16" s="8" t="s">
        <v>16</v>
      </c>
      <c r="C16" s="9">
        <v>707863</v>
      </c>
      <c r="D16" s="10">
        <v>2790838.74</v>
      </c>
      <c r="E16" s="11"/>
      <c r="F16" s="12">
        <v>287461522.13000005</v>
      </c>
      <c r="G16" s="13">
        <v>15</v>
      </c>
    </row>
    <row r="17" spans="1:7" x14ac:dyDescent="0.2">
      <c r="A17" s="21">
        <v>45552</v>
      </c>
      <c r="B17" s="8" t="s">
        <v>16</v>
      </c>
      <c r="C17" s="9">
        <v>707864</v>
      </c>
      <c r="D17" s="10">
        <v>5790587.5499999998</v>
      </c>
      <c r="E17" s="11"/>
      <c r="F17" s="12">
        <v>281670934.58000004</v>
      </c>
      <c r="G17" s="13">
        <v>16</v>
      </c>
    </row>
    <row r="18" spans="1:7" x14ac:dyDescent="0.2">
      <c r="A18" s="21">
        <v>45552</v>
      </c>
      <c r="B18" s="8" t="s">
        <v>16</v>
      </c>
      <c r="C18" s="9">
        <v>101245</v>
      </c>
      <c r="D18" s="10">
        <v>17764.89</v>
      </c>
      <c r="E18" s="11"/>
      <c r="F18" s="12">
        <v>281653169.69000006</v>
      </c>
      <c r="G18" s="13">
        <v>17</v>
      </c>
    </row>
    <row r="19" spans="1:7" x14ac:dyDescent="0.2">
      <c r="A19" s="21">
        <v>45552</v>
      </c>
      <c r="B19" s="8" t="s">
        <v>16</v>
      </c>
      <c r="C19" s="9">
        <v>101246</v>
      </c>
      <c r="D19" s="10">
        <v>4407363.0199999996</v>
      </c>
      <c r="E19" s="11"/>
      <c r="F19" s="12">
        <v>277245806.67000008</v>
      </c>
      <c r="G19" s="13">
        <v>18</v>
      </c>
    </row>
    <row r="20" spans="1:7" x14ac:dyDescent="0.2">
      <c r="A20" s="21">
        <v>45552</v>
      </c>
      <c r="B20" s="8" t="s">
        <v>16</v>
      </c>
      <c r="C20" s="9">
        <v>101247</v>
      </c>
      <c r="D20" s="10">
        <v>1581475.26</v>
      </c>
      <c r="E20" s="11"/>
      <c r="F20" s="12">
        <v>275664331.41000009</v>
      </c>
      <c r="G20" s="13">
        <v>19</v>
      </c>
    </row>
    <row r="21" spans="1:7" x14ac:dyDescent="0.2">
      <c r="A21" s="21">
        <v>45552</v>
      </c>
      <c r="B21" s="8" t="s">
        <v>12</v>
      </c>
      <c r="C21" s="9">
        <v>707863</v>
      </c>
      <c r="D21" s="10">
        <v>16745.03</v>
      </c>
      <c r="E21" s="11"/>
      <c r="F21" s="12">
        <v>275647586.38000011</v>
      </c>
      <c r="G21" s="13">
        <v>20</v>
      </c>
    </row>
    <row r="22" spans="1:7" x14ac:dyDescent="0.2">
      <c r="A22" s="21">
        <v>45552</v>
      </c>
      <c r="B22" s="8" t="s">
        <v>12</v>
      </c>
      <c r="C22" s="9">
        <v>707864</v>
      </c>
      <c r="D22" s="10">
        <v>34743.53</v>
      </c>
      <c r="E22" s="11"/>
      <c r="F22" s="12">
        <v>275612842.85000014</v>
      </c>
      <c r="G22" s="13">
        <v>21</v>
      </c>
    </row>
    <row r="23" spans="1:7" x14ac:dyDescent="0.2">
      <c r="A23" s="21">
        <v>45552</v>
      </c>
      <c r="B23" s="8" t="s">
        <v>12</v>
      </c>
      <c r="C23" s="9">
        <v>101245</v>
      </c>
      <c r="D23" s="10">
        <v>106.59</v>
      </c>
      <c r="E23" s="11"/>
      <c r="F23" s="12">
        <v>275612736.26000017</v>
      </c>
      <c r="G23" s="13">
        <v>22</v>
      </c>
    </row>
    <row r="24" spans="1:7" x14ac:dyDescent="0.2">
      <c r="A24" s="21">
        <v>45552</v>
      </c>
      <c r="B24" s="8" t="s">
        <v>12</v>
      </c>
      <c r="C24" s="9">
        <v>101246</v>
      </c>
      <c r="D24" s="10">
        <v>26444.18</v>
      </c>
      <c r="E24" s="11"/>
      <c r="F24" s="12">
        <v>275586292.08000016</v>
      </c>
      <c r="G24" s="13">
        <v>23</v>
      </c>
    </row>
    <row r="25" spans="1:7" x14ac:dyDescent="0.2">
      <c r="A25" s="21">
        <v>45552</v>
      </c>
      <c r="B25" s="8" t="s">
        <v>12</v>
      </c>
      <c r="C25" s="9">
        <v>101247</v>
      </c>
      <c r="D25" s="10">
        <v>9488.85</v>
      </c>
      <c r="E25" s="11"/>
      <c r="F25" s="12">
        <v>275576803.23000014</v>
      </c>
      <c r="G25" s="13">
        <v>24</v>
      </c>
    </row>
    <row r="26" spans="1:7" x14ac:dyDescent="0.2">
      <c r="A26" s="21">
        <v>45553</v>
      </c>
      <c r="B26" s="8" t="s">
        <v>9</v>
      </c>
      <c r="C26" s="9">
        <v>49684</v>
      </c>
      <c r="D26" s="10">
        <v>956</v>
      </c>
      <c r="E26" s="11"/>
      <c r="F26" s="12">
        <v>275575847.23000014</v>
      </c>
      <c r="G26" s="13">
        <v>25</v>
      </c>
    </row>
    <row r="27" spans="1:7" x14ac:dyDescent="0.2">
      <c r="A27" s="21">
        <v>45553</v>
      </c>
      <c r="B27" s="8" t="s">
        <v>9</v>
      </c>
      <c r="C27" s="9">
        <v>49685</v>
      </c>
      <c r="D27" s="10">
        <v>956</v>
      </c>
      <c r="E27" s="11"/>
      <c r="F27" s="12">
        <v>275574891.23000014</v>
      </c>
      <c r="G27" s="13">
        <v>26</v>
      </c>
    </row>
    <row r="28" spans="1:7" x14ac:dyDescent="0.2">
      <c r="A28" s="21">
        <v>45553</v>
      </c>
      <c r="B28" s="8" t="s">
        <v>9</v>
      </c>
      <c r="C28" s="9">
        <v>49686</v>
      </c>
      <c r="D28" s="10">
        <v>956</v>
      </c>
      <c r="E28" s="11"/>
      <c r="F28" s="12">
        <v>275573935.23000014</v>
      </c>
      <c r="G28" s="13">
        <v>27</v>
      </c>
    </row>
    <row r="29" spans="1:7" x14ac:dyDescent="0.2">
      <c r="A29" s="21">
        <v>45553</v>
      </c>
      <c r="B29" s="8" t="s">
        <v>9</v>
      </c>
      <c r="C29" s="9">
        <v>49687</v>
      </c>
      <c r="D29" s="10">
        <v>956</v>
      </c>
      <c r="E29" s="11"/>
      <c r="F29" s="12">
        <v>275572979.23000014</v>
      </c>
      <c r="G29" s="13">
        <v>28</v>
      </c>
    </row>
    <row r="30" spans="1:7" x14ac:dyDescent="0.2">
      <c r="A30" s="21">
        <v>45553</v>
      </c>
      <c r="B30" s="8" t="s">
        <v>15</v>
      </c>
      <c r="C30" s="9">
        <v>49688</v>
      </c>
      <c r="D30" s="10">
        <v>803.04</v>
      </c>
      <c r="E30" s="11"/>
      <c r="F30" s="12">
        <v>275572176.19000012</v>
      </c>
      <c r="G30" s="13">
        <v>29</v>
      </c>
    </row>
    <row r="31" spans="1:7" x14ac:dyDescent="0.2">
      <c r="A31" s="21">
        <v>45553</v>
      </c>
      <c r="B31" s="8" t="s">
        <v>18</v>
      </c>
      <c r="C31" s="9">
        <v>49688</v>
      </c>
      <c r="D31" s="10">
        <v>114.72</v>
      </c>
      <c r="E31" s="11"/>
      <c r="F31" s="12">
        <v>275572061.47000009</v>
      </c>
      <c r="G31" s="13">
        <v>30</v>
      </c>
    </row>
    <row r="32" spans="1:7" x14ac:dyDescent="0.2">
      <c r="A32" s="21">
        <v>45553</v>
      </c>
      <c r="B32" s="8" t="s">
        <v>12</v>
      </c>
      <c r="C32" s="9">
        <v>49684</v>
      </c>
      <c r="D32" s="10">
        <v>5.74</v>
      </c>
      <c r="E32" s="11"/>
      <c r="F32" s="12">
        <v>275572055.73000008</v>
      </c>
      <c r="G32" s="13">
        <v>31</v>
      </c>
    </row>
    <row r="33" spans="1:7" x14ac:dyDescent="0.2">
      <c r="A33" s="21">
        <v>45553</v>
      </c>
      <c r="B33" s="8" t="s">
        <v>12</v>
      </c>
      <c r="C33" s="9">
        <v>49685</v>
      </c>
      <c r="D33" s="10">
        <v>5.74</v>
      </c>
      <c r="E33" s="11"/>
      <c r="F33" s="12">
        <v>275572049.99000007</v>
      </c>
      <c r="G33" s="13">
        <v>32</v>
      </c>
    </row>
    <row r="34" spans="1:7" x14ac:dyDescent="0.2">
      <c r="A34" s="21">
        <v>45553</v>
      </c>
      <c r="B34" s="8" t="s">
        <v>12</v>
      </c>
      <c r="C34" s="9">
        <v>49686</v>
      </c>
      <c r="D34" s="10">
        <v>5.74</v>
      </c>
      <c r="E34" s="11"/>
      <c r="F34" s="12">
        <v>275572044.25000006</v>
      </c>
      <c r="G34" s="13">
        <v>33</v>
      </c>
    </row>
    <row r="35" spans="1:7" x14ac:dyDescent="0.2">
      <c r="A35" s="21">
        <v>45553</v>
      </c>
      <c r="B35" s="8" t="s">
        <v>12</v>
      </c>
      <c r="C35" s="9">
        <v>49687</v>
      </c>
      <c r="D35" s="10">
        <v>5.74</v>
      </c>
      <c r="E35" s="11"/>
      <c r="F35" s="12">
        <v>275572038.51000005</v>
      </c>
      <c r="G35" s="13">
        <v>34</v>
      </c>
    </row>
    <row r="36" spans="1:7" x14ac:dyDescent="0.2">
      <c r="A36" s="21">
        <v>45553</v>
      </c>
      <c r="B36" s="8" t="s">
        <v>12</v>
      </c>
      <c r="C36" s="9">
        <v>49688</v>
      </c>
      <c r="D36" s="10">
        <v>4.82</v>
      </c>
      <c r="E36" s="11"/>
      <c r="F36" s="12">
        <v>275572033.69000006</v>
      </c>
      <c r="G36" s="13">
        <v>35</v>
      </c>
    </row>
    <row r="37" spans="1:7" x14ac:dyDescent="0.2">
      <c r="A37" s="21">
        <v>45553</v>
      </c>
      <c r="B37" s="8" t="s">
        <v>12</v>
      </c>
      <c r="C37" s="9">
        <v>49688</v>
      </c>
      <c r="D37" s="10">
        <v>0.69</v>
      </c>
      <c r="E37" s="11"/>
      <c r="F37" s="12">
        <v>275572033.00000006</v>
      </c>
      <c r="G37" s="13">
        <v>36</v>
      </c>
    </row>
    <row r="38" spans="1:7" x14ac:dyDescent="0.2">
      <c r="A38" s="21">
        <v>45558</v>
      </c>
      <c r="B38" s="8" t="s">
        <v>11</v>
      </c>
      <c r="C38" s="9">
        <v>49696</v>
      </c>
      <c r="D38" s="10">
        <v>20000000</v>
      </c>
      <c r="E38" s="11"/>
      <c r="F38" s="12">
        <v>255572033.00000006</v>
      </c>
      <c r="G38" s="13">
        <v>37</v>
      </c>
    </row>
    <row r="39" spans="1:7" x14ac:dyDescent="0.2">
      <c r="A39" s="21">
        <v>45558</v>
      </c>
      <c r="B39" s="8" t="s">
        <v>11</v>
      </c>
      <c r="C39" s="9">
        <v>49697</v>
      </c>
      <c r="D39" s="10">
        <v>20000000</v>
      </c>
      <c r="E39" s="11"/>
      <c r="F39" s="12">
        <v>235572033.00000006</v>
      </c>
      <c r="G39" s="13">
        <v>38</v>
      </c>
    </row>
    <row r="40" spans="1:7" x14ac:dyDescent="0.2">
      <c r="A40" s="21">
        <v>45558</v>
      </c>
      <c r="B40" s="8" t="s">
        <v>11</v>
      </c>
      <c r="C40" s="9">
        <v>49698</v>
      </c>
      <c r="D40" s="10">
        <v>20000000</v>
      </c>
      <c r="E40" s="11"/>
      <c r="F40" s="12">
        <v>215572033.00000006</v>
      </c>
      <c r="G40" s="13">
        <v>39</v>
      </c>
    </row>
    <row r="41" spans="1:7" x14ac:dyDescent="0.2">
      <c r="A41" s="21">
        <v>45558</v>
      </c>
      <c r="B41" s="8" t="s">
        <v>11</v>
      </c>
      <c r="C41" s="9">
        <v>49699</v>
      </c>
      <c r="D41" s="10">
        <v>20000000</v>
      </c>
      <c r="E41" s="11"/>
      <c r="F41" s="12">
        <v>195572033.00000006</v>
      </c>
      <c r="G41" s="13">
        <v>40</v>
      </c>
    </row>
    <row r="42" spans="1:7" x14ac:dyDescent="0.2">
      <c r="A42" s="21">
        <v>45558</v>
      </c>
      <c r="B42" s="8" t="s">
        <v>11</v>
      </c>
      <c r="C42" s="9">
        <v>49701</v>
      </c>
      <c r="D42" s="10">
        <v>20000000</v>
      </c>
      <c r="E42" s="11"/>
      <c r="F42" s="12">
        <v>175572033.00000006</v>
      </c>
      <c r="G42" s="13">
        <v>41</v>
      </c>
    </row>
    <row r="43" spans="1:7" x14ac:dyDescent="0.2">
      <c r="A43" s="36">
        <v>45559</v>
      </c>
      <c r="B43" s="8" t="s">
        <v>9</v>
      </c>
      <c r="C43" s="9">
        <v>49702</v>
      </c>
      <c r="D43" s="10">
        <v>956</v>
      </c>
      <c r="E43" s="11"/>
      <c r="F43" s="12">
        <v>175571077.00000006</v>
      </c>
      <c r="G43" s="13">
        <v>42</v>
      </c>
    </row>
    <row r="44" spans="1:7" x14ac:dyDescent="0.2">
      <c r="A44" s="36">
        <v>45559</v>
      </c>
      <c r="B44" s="8" t="s">
        <v>9</v>
      </c>
      <c r="C44" s="9">
        <v>49703</v>
      </c>
      <c r="D44" s="10">
        <v>956</v>
      </c>
      <c r="E44" s="11"/>
      <c r="F44" s="12">
        <v>175570121.00000006</v>
      </c>
      <c r="G44" s="13">
        <v>43</v>
      </c>
    </row>
    <row r="45" spans="1:7" x14ac:dyDescent="0.2">
      <c r="A45" s="36">
        <v>45559</v>
      </c>
      <c r="B45" s="8" t="s">
        <v>9</v>
      </c>
      <c r="C45" s="9">
        <v>49704</v>
      </c>
      <c r="D45" s="10">
        <v>956</v>
      </c>
      <c r="E45" s="11"/>
      <c r="F45" s="12">
        <v>175569165.00000006</v>
      </c>
      <c r="G45" s="13">
        <v>44</v>
      </c>
    </row>
    <row r="46" spans="1:7" x14ac:dyDescent="0.2">
      <c r="A46" s="36">
        <v>45559</v>
      </c>
      <c r="B46" s="8" t="s">
        <v>9</v>
      </c>
      <c r="C46" s="9">
        <v>49705</v>
      </c>
      <c r="D46" s="10">
        <v>956</v>
      </c>
      <c r="E46" s="11"/>
      <c r="F46" s="12">
        <v>175568209.00000006</v>
      </c>
      <c r="G46" s="13">
        <v>45</v>
      </c>
    </row>
    <row r="47" spans="1:7" x14ac:dyDescent="0.2">
      <c r="A47" s="36">
        <v>45559</v>
      </c>
      <c r="B47" s="8" t="s">
        <v>9</v>
      </c>
      <c r="C47" s="9">
        <v>49706</v>
      </c>
      <c r="D47" s="10">
        <v>956</v>
      </c>
      <c r="E47" s="11"/>
      <c r="F47" s="12">
        <v>175567253.00000006</v>
      </c>
      <c r="G47" s="13">
        <v>46</v>
      </c>
    </row>
    <row r="48" spans="1:7" x14ac:dyDescent="0.2">
      <c r="A48" s="36">
        <v>45559</v>
      </c>
      <c r="B48" s="8" t="s">
        <v>15</v>
      </c>
      <c r="C48" s="9">
        <v>49707</v>
      </c>
      <c r="D48" s="10">
        <v>1003.8</v>
      </c>
      <c r="E48" s="11"/>
      <c r="F48" s="12">
        <v>175566249.20000005</v>
      </c>
      <c r="G48" s="13">
        <v>47</v>
      </c>
    </row>
    <row r="49" spans="1:7" x14ac:dyDescent="0.2">
      <c r="A49" s="36">
        <v>45559</v>
      </c>
      <c r="B49" s="8" t="s">
        <v>18</v>
      </c>
      <c r="C49" s="9">
        <v>49707</v>
      </c>
      <c r="D49" s="10">
        <v>143.4</v>
      </c>
      <c r="E49" s="11"/>
      <c r="F49" s="12">
        <v>175566105.80000004</v>
      </c>
      <c r="G49" s="13">
        <v>48</v>
      </c>
    </row>
    <row r="50" spans="1:7" x14ac:dyDescent="0.2">
      <c r="A50" s="36">
        <v>45559</v>
      </c>
      <c r="B50" s="8" t="s">
        <v>12</v>
      </c>
      <c r="C50" s="9">
        <v>49702</v>
      </c>
      <c r="D50" s="10">
        <v>5.74</v>
      </c>
      <c r="E50" s="11"/>
      <c r="F50" s="12">
        <v>175566100.06000003</v>
      </c>
      <c r="G50" s="13">
        <v>49</v>
      </c>
    </row>
    <row r="51" spans="1:7" x14ac:dyDescent="0.2">
      <c r="A51" s="36">
        <v>45559</v>
      </c>
      <c r="B51" s="8" t="s">
        <v>12</v>
      </c>
      <c r="C51" s="9">
        <v>49703</v>
      </c>
      <c r="D51" s="10">
        <v>5.74</v>
      </c>
      <c r="E51" s="11"/>
      <c r="F51" s="12">
        <v>175566094.32000002</v>
      </c>
      <c r="G51" s="13">
        <v>50</v>
      </c>
    </row>
    <row r="52" spans="1:7" x14ac:dyDescent="0.2">
      <c r="A52" s="36">
        <v>45559</v>
      </c>
      <c r="B52" s="8" t="s">
        <v>12</v>
      </c>
      <c r="C52" s="9">
        <v>49704</v>
      </c>
      <c r="D52" s="10">
        <v>5.74</v>
      </c>
      <c r="E52" s="11"/>
      <c r="F52" s="12">
        <v>175566088.58000001</v>
      </c>
      <c r="G52" s="13">
        <v>51</v>
      </c>
    </row>
    <row r="53" spans="1:7" x14ac:dyDescent="0.2">
      <c r="A53" s="36">
        <v>45559</v>
      </c>
      <c r="B53" s="8" t="s">
        <v>12</v>
      </c>
      <c r="C53" s="9">
        <v>49705</v>
      </c>
      <c r="D53" s="10">
        <v>5.74</v>
      </c>
      <c r="E53" s="11"/>
      <c r="F53" s="12">
        <v>175566082.84</v>
      </c>
      <c r="G53" s="13">
        <v>52</v>
      </c>
    </row>
    <row r="54" spans="1:7" x14ac:dyDescent="0.2">
      <c r="A54" s="36">
        <v>45559</v>
      </c>
      <c r="B54" s="8" t="s">
        <v>12</v>
      </c>
      <c r="C54" s="9">
        <v>49706</v>
      </c>
      <c r="D54" s="10">
        <v>5.74</v>
      </c>
      <c r="E54" s="11"/>
      <c r="F54" s="12">
        <v>175566077.09999999</v>
      </c>
      <c r="G54" s="13">
        <v>53</v>
      </c>
    </row>
    <row r="55" spans="1:7" x14ac:dyDescent="0.2">
      <c r="A55" s="36">
        <v>45559</v>
      </c>
      <c r="B55" s="8" t="s">
        <v>12</v>
      </c>
      <c r="C55" s="9">
        <v>49707</v>
      </c>
      <c r="D55" s="10">
        <v>6.02</v>
      </c>
      <c r="E55" s="11"/>
      <c r="F55" s="12">
        <v>175566071.07999998</v>
      </c>
      <c r="G55" s="13">
        <v>54</v>
      </c>
    </row>
    <row r="56" spans="1:7" x14ac:dyDescent="0.2">
      <c r="A56" s="36">
        <v>45559</v>
      </c>
      <c r="B56" s="8" t="s">
        <v>12</v>
      </c>
      <c r="C56" s="9">
        <v>49707</v>
      </c>
      <c r="D56" s="10">
        <v>0.86</v>
      </c>
      <c r="E56" s="11"/>
      <c r="F56" s="12">
        <v>175566070.21999997</v>
      </c>
      <c r="G56" s="13">
        <v>55</v>
      </c>
    </row>
    <row r="57" spans="1:7" x14ac:dyDescent="0.2">
      <c r="A57" s="36">
        <v>45560</v>
      </c>
      <c r="B57" s="8" t="s">
        <v>11</v>
      </c>
      <c r="C57" s="9">
        <v>49716</v>
      </c>
      <c r="D57" s="10">
        <v>20000000</v>
      </c>
      <c r="E57" s="11"/>
      <c r="F57" s="12">
        <v>155566070.21999997</v>
      </c>
      <c r="G57" s="13">
        <v>56</v>
      </c>
    </row>
    <row r="58" spans="1:7" x14ac:dyDescent="0.2">
      <c r="A58" s="36">
        <v>45560</v>
      </c>
      <c r="B58" s="8" t="s">
        <v>11</v>
      </c>
      <c r="C58" s="9">
        <v>49717</v>
      </c>
      <c r="D58" s="10">
        <v>20000000</v>
      </c>
      <c r="E58" s="11"/>
      <c r="F58" s="12">
        <v>135566070.21999997</v>
      </c>
      <c r="G58" s="13">
        <v>57</v>
      </c>
    </row>
    <row r="59" spans="1:7" x14ac:dyDescent="0.2">
      <c r="A59" s="36">
        <v>45560</v>
      </c>
      <c r="B59" s="8" t="s">
        <v>11</v>
      </c>
      <c r="C59" s="9">
        <v>49718</v>
      </c>
      <c r="D59" s="10">
        <v>20000000</v>
      </c>
      <c r="E59" s="11"/>
      <c r="F59" s="12">
        <v>115566070.21999997</v>
      </c>
      <c r="G59" s="13">
        <v>58</v>
      </c>
    </row>
    <row r="60" spans="1:7" x14ac:dyDescent="0.2">
      <c r="A60" s="36">
        <v>45561</v>
      </c>
      <c r="B60" s="8" t="s">
        <v>9</v>
      </c>
      <c r="C60" s="9">
        <v>49719</v>
      </c>
      <c r="D60" s="10">
        <v>956</v>
      </c>
      <c r="E60" s="11"/>
      <c r="F60" s="12">
        <v>115565114.21999997</v>
      </c>
      <c r="G60" s="13">
        <v>59</v>
      </c>
    </row>
    <row r="61" spans="1:7" x14ac:dyDescent="0.2">
      <c r="A61" s="36">
        <v>45561</v>
      </c>
      <c r="B61" s="8" t="s">
        <v>9</v>
      </c>
      <c r="C61" s="9">
        <v>49720</v>
      </c>
      <c r="D61" s="10">
        <v>956</v>
      </c>
      <c r="E61" s="11"/>
      <c r="F61" s="12">
        <v>115564158.21999997</v>
      </c>
      <c r="G61" s="13">
        <v>60</v>
      </c>
    </row>
    <row r="62" spans="1:7" x14ac:dyDescent="0.2">
      <c r="A62" s="36">
        <v>45561</v>
      </c>
      <c r="B62" s="8" t="s">
        <v>9</v>
      </c>
      <c r="C62" s="9">
        <v>49721</v>
      </c>
      <c r="D62" s="10">
        <v>956</v>
      </c>
      <c r="E62" s="11"/>
      <c r="F62" s="12">
        <v>115563202.21999997</v>
      </c>
      <c r="G62" s="13">
        <v>61</v>
      </c>
    </row>
    <row r="63" spans="1:7" x14ac:dyDescent="0.2">
      <c r="A63" s="36">
        <v>45561</v>
      </c>
      <c r="B63" s="8" t="s">
        <v>15</v>
      </c>
      <c r="C63" s="9">
        <v>49722</v>
      </c>
      <c r="D63" s="10">
        <v>602.28</v>
      </c>
      <c r="E63" s="11"/>
      <c r="F63" s="12">
        <v>115562599.93999997</v>
      </c>
      <c r="G63" s="13">
        <v>62</v>
      </c>
    </row>
    <row r="64" spans="1:7" x14ac:dyDescent="0.2">
      <c r="A64" s="36">
        <v>45561</v>
      </c>
      <c r="B64" s="8" t="s">
        <v>18</v>
      </c>
      <c r="C64" s="9">
        <v>49722</v>
      </c>
      <c r="D64" s="10">
        <v>86.04</v>
      </c>
      <c r="E64" s="11"/>
      <c r="F64" s="12">
        <v>115562513.89999996</v>
      </c>
      <c r="G64" s="13">
        <v>63</v>
      </c>
    </row>
    <row r="65" spans="1:7" x14ac:dyDescent="0.2">
      <c r="A65" s="36">
        <v>45561</v>
      </c>
      <c r="B65" s="8" t="s">
        <v>12</v>
      </c>
      <c r="C65" s="9">
        <v>49719</v>
      </c>
      <c r="D65" s="10">
        <v>5.74</v>
      </c>
      <c r="E65" s="11"/>
      <c r="F65" s="12">
        <v>115562508.15999997</v>
      </c>
      <c r="G65" s="13">
        <v>64</v>
      </c>
    </row>
    <row r="66" spans="1:7" x14ac:dyDescent="0.2">
      <c r="A66" s="36">
        <v>45561</v>
      </c>
      <c r="B66" s="8" t="s">
        <v>12</v>
      </c>
      <c r="C66" s="9">
        <v>49720</v>
      </c>
      <c r="D66" s="10">
        <v>5.74</v>
      </c>
      <c r="E66" s="11"/>
      <c r="F66" s="12">
        <v>115562502.41999997</v>
      </c>
      <c r="G66" s="13">
        <v>65</v>
      </c>
    </row>
    <row r="67" spans="1:7" x14ac:dyDescent="0.2">
      <c r="A67" s="36">
        <v>45561</v>
      </c>
      <c r="B67" s="8" t="s">
        <v>12</v>
      </c>
      <c r="C67" s="9">
        <v>49721</v>
      </c>
      <c r="D67" s="10">
        <v>5.74</v>
      </c>
      <c r="E67" s="11"/>
      <c r="F67" s="12">
        <v>115562496.67999998</v>
      </c>
      <c r="G67" s="13">
        <v>66</v>
      </c>
    </row>
    <row r="68" spans="1:7" x14ac:dyDescent="0.2">
      <c r="A68" s="36">
        <v>45561</v>
      </c>
      <c r="B68" s="8" t="s">
        <v>12</v>
      </c>
      <c r="C68" s="9">
        <v>49722</v>
      </c>
      <c r="D68" s="10">
        <v>3.61</v>
      </c>
      <c r="E68" s="11"/>
      <c r="F68" s="12">
        <v>115562493.06999998</v>
      </c>
      <c r="G68" s="13">
        <v>67</v>
      </c>
    </row>
    <row r="69" spans="1:7" x14ac:dyDescent="0.2">
      <c r="A69" s="36">
        <v>45561</v>
      </c>
      <c r="B69" s="8" t="s">
        <v>12</v>
      </c>
      <c r="C69" s="9">
        <v>49722</v>
      </c>
      <c r="D69" s="10">
        <v>0.52</v>
      </c>
      <c r="E69" s="11"/>
      <c r="F69" s="12">
        <v>115562492.54999998</v>
      </c>
      <c r="G69" s="13">
        <v>68</v>
      </c>
    </row>
    <row r="70" spans="1:7" x14ac:dyDescent="0.2">
      <c r="A70" s="36">
        <v>45562</v>
      </c>
      <c r="B70" s="8" t="s">
        <v>10</v>
      </c>
      <c r="C70" s="9">
        <v>49729</v>
      </c>
      <c r="D70" s="10">
        <v>2000000</v>
      </c>
      <c r="E70" s="11"/>
      <c r="F70" s="12">
        <v>113562492.54999998</v>
      </c>
      <c r="G70" s="13">
        <v>69</v>
      </c>
    </row>
    <row r="71" spans="1:7" x14ac:dyDescent="0.2">
      <c r="A71" s="36">
        <v>45562</v>
      </c>
      <c r="B71" s="8" t="s">
        <v>11</v>
      </c>
      <c r="C71" s="9">
        <v>49730</v>
      </c>
      <c r="D71" s="10">
        <v>20000000</v>
      </c>
      <c r="E71" s="11"/>
      <c r="F71" s="12">
        <v>93562492.549999982</v>
      </c>
      <c r="G71" s="13">
        <v>70</v>
      </c>
    </row>
    <row r="72" spans="1:7" x14ac:dyDescent="0.2">
      <c r="A72" s="36">
        <v>45562</v>
      </c>
      <c r="B72" s="8" t="s">
        <v>11</v>
      </c>
      <c r="C72" s="9">
        <v>49731</v>
      </c>
      <c r="D72" s="10">
        <v>20000000</v>
      </c>
      <c r="E72" s="11"/>
      <c r="F72" s="12">
        <v>73562492.549999982</v>
      </c>
      <c r="G72" s="13">
        <v>71</v>
      </c>
    </row>
    <row r="73" spans="1:7" x14ac:dyDescent="0.2">
      <c r="A73" s="36">
        <v>45562</v>
      </c>
      <c r="B73" s="8" t="s">
        <v>8</v>
      </c>
      <c r="C73" s="9">
        <v>49732</v>
      </c>
      <c r="D73" s="10">
        <v>23400</v>
      </c>
      <c r="E73" s="11"/>
      <c r="F73" s="12">
        <v>73539092.549999982</v>
      </c>
      <c r="G73" s="13">
        <v>72</v>
      </c>
    </row>
    <row r="74" spans="1:7" x14ac:dyDescent="0.2">
      <c r="A74" s="36">
        <v>45562</v>
      </c>
      <c r="B74" s="8" t="s">
        <v>15</v>
      </c>
      <c r="C74" s="9">
        <v>49733</v>
      </c>
      <c r="D74" s="10">
        <v>4914</v>
      </c>
      <c r="E74" s="11"/>
      <c r="F74" s="12">
        <v>73534178.549999982</v>
      </c>
      <c r="G74" s="13">
        <v>73</v>
      </c>
    </row>
    <row r="75" spans="1:7" x14ac:dyDescent="0.2">
      <c r="A75" s="36">
        <v>45562</v>
      </c>
      <c r="B75" s="8" t="s">
        <v>18</v>
      </c>
      <c r="C75" s="9">
        <v>49733</v>
      </c>
      <c r="D75" s="10">
        <v>702</v>
      </c>
      <c r="E75" s="11"/>
      <c r="F75" s="12">
        <v>73533476.549999982</v>
      </c>
      <c r="G75" s="13">
        <v>74</v>
      </c>
    </row>
    <row r="76" spans="1:7" x14ac:dyDescent="0.2">
      <c r="A76" s="36">
        <v>45562</v>
      </c>
      <c r="B76" s="8" t="s">
        <v>12</v>
      </c>
      <c r="C76" s="9">
        <v>49729</v>
      </c>
      <c r="D76" s="10">
        <v>12000</v>
      </c>
      <c r="E76" s="11"/>
      <c r="F76" s="12">
        <v>73521476.549999982</v>
      </c>
      <c r="G76" s="13">
        <v>75</v>
      </c>
    </row>
    <row r="77" spans="1:7" x14ac:dyDescent="0.2">
      <c r="A77" s="36">
        <v>45562</v>
      </c>
      <c r="B77" s="8" t="s">
        <v>12</v>
      </c>
      <c r="C77" s="9">
        <v>49732</v>
      </c>
      <c r="D77" s="10">
        <v>140.4</v>
      </c>
      <c r="E77" s="11"/>
      <c r="F77" s="12">
        <v>73521336.149999976</v>
      </c>
      <c r="G77" s="13">
        <v>76</v>
      </c>
    </row>
    <row r="78" spans="1:7" x14ac:dyDescent="0.2">
      <c r="A78" s="36">
        <v>45562</v>
      </c>
      <c r="B78" s="8" t="s">
        <v>13</v>
      </c>
      <c r="C78" s="9">
        <v>49732</v>
      </c>
      <c r="D78" s="10">
        <v>351</v>
      </c>
      <c r="E78" s="11"/>
      <c r="F78" s="12">
        <v>73520985.149999976</v>
      </c>
      <c r="G78" s="13">
        <v>77</v>
      </c>
    </row>
    <row r="79" spans="1:7" x14ac:dyDescent="0.2">
      <c r="A79" s="36">
        <v>45562</v>
      </c>
      <c r="B79" s="8" t="s">
        <v>12</v>
      </c>
      <c r="C79" s="9">
        <v>49733</v>
      </c>
      <c r="D79" s="10">
        <v>29.48</v>
      </c>
      <c r="E79" s="11"/>
      <c r="F79" s="12">
        <v>73520955.669999972</v>
      </c>
      <c r="G79" s="13">
        <v>78</v>
      </c>
    </row>
    <row r="80" spans="1:7" x14ac:dyDescent="0.2">
      <c r="A80" s="36">
        <v>45562</v>
      </c>
      <c r="B80" s="8" t="s">
        <v>12</v>
      </c>
      <c r="C80" s="9">
        <v>49733</v>
      </c>
      <c r="D80" s="10">
        <v>4.21</v>
      </c>
      <c r="E80" s="11"/>
      <c r="F80" s="12">
        <v>73520951.459999979</v>
      </c>
      <c r="G80" s="13">
        <v>79</v>
      </c>
    </row>
    <row r="81" spans="1:7" x14ac:dyDescent="0.2">
      <c r="A81" s="36">
        <v>45562</v>
      </c>
      <c r="B81" s="8" t="s">
        <v>12</v>
      </c>
      <c r="C81" s="9">
        <v>49732</v>
      </c>
      <c r="D81" s="10">
        <v>2.11</v>
      </c>
      <c r="E81" s="11"/>
      <c r="F81" s="12">
        <v>73520949.349999979</v>
      </c>
      <c r="G81" s="13">
        <v>80</v>
      </c>
    </row>
    <row r="82" spans="1:7" x14ac:dyDescent="0.2">
      <c r="A82" s="36">
        <v>45565</v>
      </c>
      <c r="B82" s="8" t="s">
        <v>9</v>
      </c>
      <c r="C82" s="9">
        <v>49741</v>
      </c>
      <c r="D82" s="10">
        <v>956</v>
      </c>
      <c r="E82" s="11"/>
      <c r="F82" s="12">
        <v>73519993.349999979</v>
      </c>
      <c r="G82" s="13">
        <v>81</v>
      </c>
    </row>
    <row r="83" spans="1:7" x14ac:dyDescent="0.2">
      <c r="A83" s="36">
        <v>45565</v>
      </c>
      <c r="B83" s="8" t="s">
        <v>9</v>
      </c>
      <c r="C83" s="9">
        <v>49742</v>
      </c>
      <c r="D83" s="10">
        <v>956</v>
      </c>
      <c r="E83" s="11"/>
      <c r="F83" s="12">
        <v>73519037.349999979</v>
      </c>
      <c r="G83" s="13">
        <v>82</v>
      </c>
    </row>
    <row r="84" spans="1:7" x14ac:dyDescent="0.2">
      <c r="A84" s="36">
        <v>45565</v>
      </c>
      <c r="B84" s="8" t="s">
        <v>9</v>
      </c>
      <c r="C84" s="9">
        <v>49743</v>
      </c>
      <c r="D84" s="10">
        <v>956</v>
      </c>
      <c r="E84" s="11"/>
      <c r="F84" s="12">
        <v>73518081.349999979</v>
      </c>
      <c r="G84" s="13">
        <v>83</v>
      </c>
    </row>
    <row r="85" spans="1:7" x14ac:dyDescent="0.2">
      <c r="A85" s="36">
        <v>45565</v>
      </c>
      <c r="B85" s="8" t="s">
        <v>15</v>
      </c>
      <c r="C85" s="9">
        <v>49744</v>
      </c>
      <c r="D85" s="10">
        <v>602.28</v>
      </c>
      <c r="E85" s="11"/>
      <c r="F85" s="12">
        <v>73517479.069999978</v>
      </c>
      <c r="G85" s="13">
        <v>84</v>
      </c>
    </row>
    <row r="86" spans="1:7" x14ac:dyDescent="0.2">
      <c r="A86" s="36">
        <v>45565</v>
      </c>
      <c r="B86" s="8" t="s">
        <v>18</v>
      </c>
      <c r="C86" s="9">
        <v>49744</v>
      </c>
      <c r="D86" s="10">
        <v>86.04</v>
      </c>
      <c r="E86" s="11"/>
      <c r="F86" s="12">
        <v>73517393.029999971</v>
      </c>
      <c r="G86" s="13">
        <v>85</v>
      </c>
    </row>
    <row r="87" spans="1:7" x14ac:dyDescent="0.2">
      <c r="A87" s="36">
        <v>45565</v>
      </c>
      <c r="B87" s="8" t="s">
        <v>12</v>
      </c>
      <c r="C87" s="9">
        <v>49741</v>
      </c>
      <c r="D87" s="10">
        <v>5.74</v>
      </c>
      <c r="E87" s="11"/>
      <c r="F87" s="12">
        <v>73517387.289999977</v>
      </c>
      <c r="G87" s="13">
        <v>86</v>
      </c>
    </row>
    <row r="88" spans="1:7" x14ac:dyDescent="0.2">
      <c r="A88" s="36">
        <v>45565</v>
      </c>
      <c r="B88" s="8" t="s">
        <v>12</v>
      </c>
      <c r="C88" s="9">
        <v>49742</v>
      </c>
      <c r="D88" s="10">
        <v>5.74</v>
      </c>
      <c r="E88" s="11"/>
      <c r="F88" s="12">
        <v>73517381.549999982</v>
      </c>
      <c r="G88" s="13">
        <v>87</v>
      </c>
    </row>
    <row r="89" spans="1:7" x14ac:dyDescent="0.2">
      <c r="A89" s="36">
        <v>45565</v>
      </c>
      <c r="B89" s="8" t="s">
        <v>12</v>
      </c>
      <c r="C89" s="9">
        <v>49743</v>
      </c>
      <c r="D89" s="10">
        <v>5.74</v>
      </c>
      <c r="E89" s="11"/>
      <c r="F89" s="12">
        <v>73517375.809999987</v>
      </c>
      <c r="G89" s="13">
        <v>88</v>
      </c>
    </row>
    <row r="90" spans="1:7" x14ac:dyDescent="0.2">
      <c r="A90" s="36">
        <v>45565</v>
      </c>
      <c r="B90" s="8" t="s">
        <v>12</v>
      </c>
      <c r="C90" s="9">
        <v>49744</v>
      </c>
      <c r="D90" s="10">
        <v>3.61</v>
      </c>
      <c r="E90" s="11"/>
      <c r="F90" s="12">
        <v>73517372.199999988</v>
      </c>
      <c r="G90" s="13">
        <v>89</v>
      </c>
    </row>
    <row r="91" spans="1:7" x14ac:dyDescent="0.2">
      <c r="A91" s="36">
        <v>45565</v>
      </c>
      <c r="B91" s="8" t="s">
        <v>12</v>
      </c>
      <c r="C91" s="9">
        <v>49744</v>
      </c>
      <c r="D91" s="10">
        <v>0.52</v>
      </c>
      <c r="E91" s="11"/>
      <c r="F91" s="12">
        <v>73517371.679999992</v>
      </c>
      <c r="G91" s="13">
        <v>90</v>
      </c>
    </row>
    <row r="93" spans="1:7" x14ac:dyDescent="0.2">
      <c r="A93" s="37" t="s">
        <v>19</v>
      </c>
      <c r="B93" s="16" t="s">
        <v>1</v>
      </c>
      <c r="C93" s="16" t="s">
        <v>2</v>
      </c>
      <c r="D93" s="17" t="s">
        <v>3</v>
      </c>
      <c r="E93" s="17" t="s">
        <v>4</v>
      </c>
      <c r="F93" s="17" t="s">
        <v>5</v>
      </c>
      <c r="G93" s="18"/>
    </row>
    <row r="94" spans="1:7" x14ac:dyDescent="0.2">
      <c r="A94" s="38"/>
      <c r="B94" s="8" t="s">
        <v>6</v>
      </c>
      <c r="C94" s="3"/>
      <c r="D94" s="20"/>
      <c r="E94" s="20"/>
      <c r="F94" s="10">
        <v>73517371.680000007</v>
      </c>
      <c r="G94" s="3">
        <v>1</v>
      </c>
    </row>
    <row r="95" spans="1:7" x14ac:dyDescent="0.2">
      <c r="A95" s="21">
        <v>45567</v>
      </c>
      <c r="B95" s="8" t="s">
        <v>11</v>
      </c>
      <c r="C95" s="9">
        <v>49754</v>
      </c>
      <c r="D95" s="10">
        <v>20000000</v>
      </c>
      <c r="E95" s="11"/>
      <c r="F95" s="12">
        <f t="shared" ref="F95:F158" si="0">+F94+E95-D95</f>
        <v>53517371.680000007</v>
      </c>
      <c r="G95" s="13">
        <v>2</v>
      </c>
    </row>
    <row r="96" spans="1:7" x14ac:dyDescent="0.2">
      <c r="A96" s="21">
        <v>45567</v>
      </c>
      <c r="B96" s="8" t="s">
        <v>11</v>
      </c>
      <c r="C96" s="9">
        <v>49755</v>
      </c>
      <c r="D96" s="10">
        <v>20000000</v>
      </c>
      <c r="E96" s="11"/>
      <c r="F96" s="12">
        <f t="shared" si="0"/>
        <v>33517371.680000007</v>
      </c>
      <c r="G96" s="13">
        <v>3</v>
      </c>
    </row>
    <row r="97" spans="1:7" x14ac:dyDescent="0.2">
      <c r="A97" s="21">
        <v>45567</v>
      </c>
      <c r="B97" s="8" t="s">
        <v>11</v>
      </c>
      <c r="C97" s="9">
        <v>49758</v>
      </c>
      <c r="D97" s="10">
        <v>20000000</v>
      </c>
      <c r="E97" s="11"/>
      <c r="F97" s="12">
        <f t="shared" si="0"/>
        <v>13517371.680000007</v>
      </c>
      <c r="G97" s="13">
        <v>4</v>
      </c>
    </row>
    <row r="98" spans="1:7" x14ac:dyDescent="0.2">
      <c r="A98" s="21">
        <v>45567</v>
      </c>
      <c r="B98" s="8" t="s">
        <v>11</v>
      </c>
      <c r="C98" s="9">
        <v>49761</v>
      </c>
      <c r="D98" s="10">
        <v>10000000</v>
      </c>
      <c r="E98" s="11"/>
      <c r="F98" s="12">
        <f t="shared" si="0"/>
        <v>3517371.6800000072</v>
      </c>
      <c r="G98" s="13">
        <v>5</v>
      </c>
    </row>
    <row r="99" spans="1:7" x14ac:dyDescent="0.2">
      <c r="A99" s="21">
        <v>45568</v>
      </c>
      <c r="B99" s="8" t="s">
        <v>9</v>
      </c>
      <c r="C99" s="9">
        <v>49763</v>
      </c>
      <c r="D99" s="10">
        <v>956</v>
      </c>
      <c r="E99" s="11"/>
      <c r="F99" s="12">
        <f t="shared" si="0"/>
        <v>3516415.6800000072</v>
      </c>
      <c r="G99" s="13">
        <v>6</v>
      </c>
    </row>
    <row r="100" spans="1:7" x14ac:dyDescent="0.2">
      <c r="A100" s="21">
        <v>45568</v>
      </c>
      <c r="B100" s="8" t="s">
        <v>9</v>
      </c>
      <c r="C100" s="9">
        <v>49764</v>
      </c>
      <c r="D100" s="10">
        <v>956</v>
      </c>
      <c r="E100" s="11"/>
      <c r="F100" s="12">
        <f t="shared" si="0"/>
        <v>3515459.6800000072</v>
      </c>
      <c r="G100" s="13">
        <v>7</v>
      </c>
    </row>
    <row r="101" spans="1:7" x14ac:dyDescent="0.2">
      <c r="A101" s="21">
        <v>45568</v>
      </c>
      <c r="B101" s="8" t="s">
        <v>9</v>
      </c>
      <c r="C101" s="9">
        <v>49765</v>
      </c>
      <c r="D101" s="10">
        <v>956</v>
      </c>
      <c r="E101" s="11"/>
      <c r="F101" s="12">
        <f t="shared" si="0"/>
        <v>3514503.6800000072</v>
      </c>
      <c r="G101" s="13">
        <v>8</v>
      </c>
    </row>
    <row r="102" spans="1:7" x14ac:dyDescent="0.2">
      <c r="A102" s="21">
        <v>45568</v>
      </c>
      <c r="B102" s="8" t="s">
        <v>9</v>
      </c>
      <c r="C102" s="9">
        <v>49766</v>
      </c>
      <c r="D102" s="10">
        <v>956</v>
      </c>
      <c r="E102" s="11"/>
      <c r="F102" s="12">
        <f t="shared" si="0"/>
        <v>3513547.6800000072</v>
      </c>
      <c r="G102" s="13">
        <v>9</v>
      </c>
    </row>
    <row r="103" spans="1:7" x14ac:dyDescent="0.2">
      <c r="A103" s="21">
        <v>45568</v>
      </c>
      <c r="B103" s="8" t="s">
        <v>15</v>
      </c>
      <c r="C103" s="9">
        <v>49767</v>
      </c>
      <c r="D103" s="10">
        <v>803.04</v>
      </c>
      <c r="E103" s="11"/>
      <c r="F103" s="12">
        <f t="shared" si="0"/>
        <v>3512744.6400000071</v>
      </c>
      <c r="G103" s="13">
        <v>10</v>
      </c>
    </row>
    <row r="104" spans="1:7" x14ac:dyDescent="0.2">
      <c r="A104" s="21">
        <v>45568</v>
      </c>
      <c r="B104" s="8" t="s">
        <v>18</v>
      </c>
      <c r="C104" s="9">
        <v>49767</v>
      </c>
      <c r="D104" s="10">
        <v>114.72</v>
      </c>
      <c r="E104" s="11"/>
      <c r="F104" s="12">
        <f t="shared" si="0"/>
        <v>3512629.9200000069</v>
      </c>
      <c r="G104" s="13">
        <v>11</v>
      </c>
    </row>
    <row r="105" spans="1:7" x14ac:dyDescent="0.2">
      <c r="A105" s="21">
        <v>45568</v>
      </c>
      <c r="B105" s="8" t="s">
        <v>12</v>
      </c>
      <c r="C105" s="9">
        <v>49763</v>
      </c>
      <c r="D105" s="10">
        <v>5.74</v>
      </c>
      <c r="E105" s="11"/>
      <c r="F105" s="12">
        <f t="shared" si="0"/>
        <v>3512624.1800000067</v>
      </c>
      <c r="G105" s="13">
        <v>12</v>
      </c>
    </row>
    <row r="106" spans="1:7" x14ac:dyDescent="0.2">
      <c r="A106" s="21">
        <v>45568</v>
      </c>
      <c r="B106" s="8" t="s">
        <v>12</v>
      </c>
      <c r="C106" s="9">
        <v>49764</v>
      </c>
      <c r="D106" s="10">
        <v>5.74</v>
      </c>
      <c r="E106" s="11"/>
      <c r="F106" s="12">
        <f t="shared" si="0"/>
        <v>3512618.4400000065</v>
      </c>
      <c r="G106" s="13">
        <v>13</v>
      </c>
    </row>
    <row r="107" spans="1:7" x14ac:dyDescent="0.2">
      <c r="A107" s="21">
        <v>45568</v>
      </c>
      <c r="B107" s="8" t="s">
        <v>12</v>
      </c>
      <c r="C107" s="9">
        <v>49765</v>
      </c>
      <c r="D107" s="10">
        <v>5.74</v>
      </c>
      <c r="E107" s="11"/>
      <c r="F107" s="12">
        <f t="shared" si="0"/>
        <v>3512612.7000000062</v>
      </c>
      <c r="G107" s="13">
        <v>14</v>
      </c>
    </row>
    <row r="108" spans="1:7" x14ac:dyDescent="0.2">
      <c r="A108" s="21">
        <v>45568</v>
      </c>
      <c r="B108" s="8" t="s">
        <v>12</v>
      </c>
      <c r="C108" s="9">
        <v>49766</v>
      </c>
      <c r="D108" s="10">
        <v>5.74</v>
      </c>
      <c r="E108" s="11"/>
      <c r="F108" s="12">
        <f t="shared" si="0"/>
        <v>3512606.960000006</v>
      </c>
      <c r="G108" s="13">
        <v>15</v>
      </c>
    </row>
    <row r="109" spans="1:7" x14ac:dyDescent="0.2">
      <c r="A109" s="21">
        <v>45568</v>
      </c>
      <c r="B109" s="8" t="s">
        <v>12</v>
      </c>
      <c r="C109" s="9">
        <v>49767</v>
      </c>
      <c r="D109" s="10">
        <v>4.82</v>
      </c>
      <c r="E109" s="11"/>
      <c r="F109" s="12">
        <f t="shared" si="0"/>
        <v>3512602.1400000062</v>
      </c>
      <c r="G109" s="13">
        <v>16</v>
      </c>
    </row>
    <row r="110" spans="1:7" x14ac:dyDescent="0.2">
      <c r="A110" s="21">
        <v>45568</v>
      </c>
      <c r="B110" s="8" t="s">
        <v>12</v>
      </c>
      <c r="C110" s="9">
        <v>49767</v>
      </c>
      <c r="D110" s="10">
        <v>0.69</v>
      </c>
      <c r="E110" s="11"/>
      <c r="F110" s="12">
        <f t="shared" si="0"/>
        <v>3512601.4500000062</v>
      </c>
      <c r="G110" s="13">
        <v>17</v>
      </c>
    </row>
    <row r="111" spans="1:7" x14ac:dyDescent="0.2">
      <c r="A111" s="21">
        <v>45580</v>
      </c>
      <c r="B111" s="8" t="s">
        <v>7</v>
      </c>
      <c r="C111" s="9">
        <v>8783588</v>
      </c>
      <c r="D111" s="11"/>
      <c r="E111" s="12">
        <v>380732049.62</v>
      </c>
      <c r="F111" s="12">
        <f t="shared" si="0"/>
        <v>384244651.06999999</v>
      </c>
      <c r="G111" s="13">
        <v>18</v>
      </c>
    </row>
    <row r="112" spans="1:7" x14ac:dyDescent="0.2">
      <c r="A112" s="21">
        <v>45580</v>
      </c>
      <c r="B112" s="8" t="s">
        <v>14</v>
      </c>
      <c r="C112" s="9">
        <v>8783588</v>
      </c>
      <c r="D112" s="10">
        <v>2284392.2999999998</v>
      </c>
      <c r="E112" s="11"/>
      <c r="F112" s="12">
        <f t="shared" si="0"/>
        <v>381960258.76999998</v>
      </c>
      <c r="G112" s="13">
        <v>19</v>
      </c>
    </row>
    <row r="113" spans="1:7" x14ac:dyDescent="0.2">
      <c r="A113" s="21">
        <v>45580</v>
      </c>
      <c r="B113" s="8" t="s">
        <v>17</v>
      </c>
      <c r="C113" s="9">
        <v>8783588</v>
      </c>
      <c r="D113" s="10">
        <v>761464.1</v>
      </c>
      <c r="E113" s="11"/>
      <c r="F113" s="12">
        <f t="shared" si="0"/>
        <v>381198794.66999996</v>
      </c>
      <c r="G113" s="13">
        <v>20</v>
      </c>
    </row>
    <row r="114" spans="1:7" x14ac:dyDescent="0.2">
      <c r="A114" s="21">
        <v>45580</v>
      </c>
      <c r="B114" s="8" t="s">
        <v>12</v>
      </c>
      <c r="C114" s="9">
        <v>8783588</v>
      </c>
      <c r="D114" s="10">
        <v>4568.78</v>
      </c>
      <c r="E114" s="11"/>
      <c r="F114" s="12">
        <f t="shared" si="0"/>
        <v>381194225.88999999</v>
      </c>
      <c r="G114" s="13">
        <v>21</v>
      </c>
    </row>
    <row r="115" spans="1:7" x14ac:dyDescent="0.2">
      <c r="A115" s="21">
        <v>45581</v>
      </c>
      <c r="B115" s="8" t="s">
        <v>11</v>
      </c>
      <c r="C115" s="9">
        <v>49779</v>
      </c>
      <c r="D115" s="10">
        <v>20000000</v>
      </c>
      <c r="E115" s="11"/>
      <c r="F115" s="12">
        <f t="shared" si="0"/>
        <v>361194225.88999999</v>
      </c>
      <c r="G115" s="13">
        <v>22</v>
      </c>
    </row>
    <row r="116" spans="1:7" x14ac:dyDescent="0.2">
      <c r="A116" s="21">
        <v>45581</v>
      </c>
      <c r="B116" s="8" t="s">
        <v>11</v>
      </c>
      <c r="C116" s="9">
        <v>49780</v>
      </c>
      <c r="D116" s="10">
        <v>20000000</v>
      </c>
      <c r="E116" s="11"/>
      <c r="F116" s="12">
        <f t="shared" si="0"/>
        <v>341194225.88999999</v>
      </c>
      <c r="G116" s="13">
        <v>23</v>
      </c>
    </row>
    <row r="117" spans="1:7" x14ac:dyDescent="0.2">
      <c r="A117" s="21">
        <v>45581</v>
      </c>
      <c r="B117" s="8" t="s">
        <v>11</v>
      </c>
      <c r="C117" s="9">
        <v>49781</v>
      </c>
      <c r="D117" s="10">
        <v>20000000</v>
      </c>
      <c r="E117" s="11"/>
      <c r="F117" s="12">
        <f t="shared" si="0"/>
        <v>321194225.88999999</v>
      </c>
      <c r="G117" s="13">
        <v>24</v>
      </c>
    </row>
    <row r="118" spans="1:7" x14ac:dyDescent="0.2">
      <c r="A118" s="21">
        <v>45581</v>
      </c>
      <c r="B118" s="8" t="s">
        <v>11</v>
      </c>
      <c r="C118" s="9">
        <v>49782</v>
      </c>
      <c r="D118" s="10">
        <v>20000000</v>
      </c>
      <c r="E118" s="11"/>
      <c r="F118" s="12">
        <f t="shared" si="0"/>
        <v>301194225.88999999</v>
      </c>
      <c r="G118" s="13">
        <v>25</v>
      </c>
    </row>
    <row r="119" spans="1:7" x14ac:dyDescent="0.2">
      <c r="A119" s="21">
        <v>45581</v>
      </c>
      <c r="B119" s="8" t="s">
        <v>16</v>
      </c>
      <c r="C119" s="9">
        <v>465676</v>
      </c>
      <c r="D119" s="10">
        <v>2863544.13</v>
      </c>
      <c r="E119" s="11"/>
      <c r="F119" s="12">
        <f t="shared" si="0"/>
        <v>298330681.75999999</v>
      </c>
      <c r="G119" s="13">
        <v>26</v>
      </c>
    </row>
    <row r="120" spans="1:7" x14ac:dyDescent="0.2">
      <c r="A120" s="21">
        <v>45581</v>
      </c>
      <c r="B120" s="8" t="s">
        <v>16</v>
      </c>
      <c r="C120" s="9">
        <v>465677</v>
      </c>
      <c r="D120" s="10">
        <v>5954192.2599999998</v>
      </c>
      <c r="E120" s="11"/>
      <c r="F120" s="12">
        <f t="shared" si="0"/>
        <v>292376489.5</v>
      </c>
      <c r="G120" s="13">
        <v>27</v>
      </c>
    </row>
    <row r="121" spans="1:7" x14ac:dyDescent="0.2">
      <c r="A121" s="21">
        <v>45581</v>
      </c>
      <c r="B121" s="8" t="s">
        <v>16</v>
      </c>
      <c r="C121" s="9">
        <v>220549</v>
      </c>
      <c r="D121" s="10">
        <v>17413.11</v>
      </c>
      <c r="E121" s="11"/>
      <c r="F121" s="12">
        <f t="shared" si="0"/>
        <v>292359076.38999999</v>
      </c>
      <c r="G121" s="13">
        <v>28</v>
      </c>
    </row>
    <row r="122" spans="1:7" x14ac:dyDescent="0.2">
      <c r="A122" s="21">
        <v>45581</v>
      </c>
      <c r="B122" s="8" t="s">
        <v>16</v>
      </c>
      <c r="C122" s="9">
        <v>220550</v>
      </c>
      <c r="D122" s="10">
        <v>3176236.24</v>
      </c>
      <c r="E122" s="11"/>
      <c r="F122" s="12">
        <f t="shared" si="0"/>
        <v>289182840.14999998</v>
      </c>
      <c r="G122" s="13">
        <v>29</v>
      </c>
    </row>
    <row r="123" spans="1:7" x14ac:dyDescent="0.2">
      <c r="A123" s="21">
        <v>45581</v>
      </c>
      <c r="B123" s="8" t="s">
        <v>16</v>
      </c>
      <c r="C123" s="9">
        <v>33143</v>
      </c>
      <c r="D123" s="10">
        <v>1622674.99</v>
      </c>
      <c r="E123" s="11"/>
      <c r="F123" s="12">
        <f t="shared" si="0"/>
        <v>287560165.15999997</v>
      </c>
      <c r="G123" s="13">
        <v>30</v>
      </c>
    </row>
    <row r="124" spans="1:7" x14ac:dyDescent="0.2">
      <c r="A124" s="21">
        <v>45581</v>
      </c>
      <c r="B124" s="8" t="s">
        <v>12</v>
      </c>
      <c r="C124" s="9">
        <v>465676</v>
      </c>
      <c r="D124" s="10">
        <v>17181.259999999998</v>
      </c>
      <c r="E124" s="11"/>
      <c r="F124" s="12">
        <f t="shared" si="0"/>
        <v>287542983.89999998</v>
      </c>
      <c r="G124" s="13">
        <v>31</v>
      </c>
    </row>
    <row r="125" spans="1:7" x14ac:dyDescent="0.2">
      <c r="A125" s="21">
        <v>45581</v>
      </c>
      <c r="B125" s="8" t="s">
        <v>12</v>
      </c>
      <c r="C125" s="9">
        <v>465677</v>
      </c>
      <c r="D125" s="10">
        <v>35725.15</v>
      </c>
      <c r="E125" s="11"/>
      <c r="F125" s="12">
        <f t="shared" si="0"/>
        <v>287507258.75</v>
      </c>
      <c r="G125" s="13">
        <v>32</v>
      </c>
    </row>
    <row r="126" spans="1:7" x14ac:dyDescent="0.2">
      <c r="A126" s="21">
        <v>45581</v>
      </c>
      <c r="B126" s="8" t="s">
        <v>12</v>
      </c>
      <c r="C126" s="9">
        <v>220549</v>
      </c>
      <c r="D126" s="10">
        <v>104.48</v>
      </c>
      <c r="E126" s="11"/>
      <c r="F126" s="12">
        <f t="shared" si="0"/>
        <v>287507154.26999998</v>
      </c>
      <c r="G126" s="13">
        <v>33</v>
      </c>
    </row>
    <row r="127" spans="1:7" x14ac:dyDescent="0.2">
      <c r="A127" s="21">
        <v>45581</v>
      </c>
      <c r="B127" s="8" t="s">
        <v>12</v>
      </c>
      <c r="C127" s="9">
        <v>220550</v>
      </c>
      <c r="D127" s="10">
        <v>19057.419999999998</v>
      </c>
      <c r="E127" s="11"/>
      <c r="F127" s="12">
        <f t="shared" si="0"/>
        <v>287488096.84999996</v>
      </c>
      <c r="G127" s="13">
        <v>34</v>
      </c>
    </row>
    <row r="128" spans="1:7" x14ac:dyDescent="0.2">
      <c r="A128" s="21">
        <v>45581</v>
      </c>
      <c r="B128" s="8" t="s">
        <v>12</v>
      </c>
      <c r="C128" s="9">
        <v>33143</v>
      </c>
      <c r="D128" s="10">
        <v>9736.0499999999993</v>
      </c>
      <c r="E128" s="11"/>
      <c r="F128" s="12">
        <f t="shared" si="0"/>
        <v>287478360.79999995</v>
      </c>
      <c r="G128" s="13">
        <v>35</v>
      </c>
    </row>
    <row r="129" spans="1:7" x14ac:dyDescent="0.2">
      <c r="A129" s="21">
        <v>45582</v>
      </c>
      <c r="B129" s="8" t="s">
        <v>9</v>
      </c>
      <c r="C129" s="9">
        <v>49793</v>
      </c>
      <c r="D129" s="10">
        <v>956</v>
      </c>
      <c r="E129" s="11"/>
      <c r="F129" s="12">
        <f t="shared" si="0"/>
        <v>287477404.79999995</v>
      </c>
      <c r="G129" s="13">
        <v>36</v>
      </c>
    </row>
    <row r="130" spans="1:7" x14ac:dyDescent="0.2">
      <c r="A130" s="21">
        <v>45582</v>
      </c>
      <c r="B130" s="8" t="s">
        <v>9</v>
      </c>
      <c r="C130" s="9">
        <v>49794</v>
      </c>
      <c r="D130" s="10">
        <v>956</v>
      </c>
      <c r="E130" s="11"/>
      <c r="F130" s="12">
        <f t="shared" si="0"/>
        <v>287476448.79999995</v>
      </c>
      <c r="G130" s="13">
        <v>37</v>
      </c>
    </row>
    <row r="131" spans="1:7" x14ac:dyDescent="0.2">
      <c r="A131" s="21">
        <v>45582</v>
      </c>
      <c r="B131" s="8" t="s">
        <v>9</v>
      </c>
      <c r="C131" s="9">
        <v>49795</v>
      </c>
      <c r="D131" s="10">
        <v>956</v>
      </c>
      <c r="E131" s="11"/>
      <c r="F131" s="12">
        <f t="shared" si="0"/>
        <v>287475492.79999995</v>
      </c>
      <c r="G131" s="13">
        <v>38</v>
      </c>
    </row>
    <row r="132" spans="1:7" x14ac:dyDescent="0.2">
      <c r="A132" s="21">
        <v>45582</v>
      </c>
      <c r="B132" s="8" t="s">
        <v>9</v>
      </c>
      <c r="C132" s="9">
        <v>49796</v>
      </c>
      <c r="D132" s="10">
        <v>956</v>
      </c>
      <c r="E132" s="11"/>
      <c r="F132" s="12">
        <f t="shared" si="0"/>
        <v>287474536.79999995</v>
      </c>
      <c r="G132" s="13">
        <v>39</v>
      </c>
    </row>
    <row r="133" spans="1:7" x14ac:dyDescent="0.2">
      <c r="A133" s="21">
        <v>45582</v>
      </c>
      <c r="B133" s="8" t="s">
        <v>15</v>
      </c>
      <c r="C133" s="9">
        <v>49797</v>
      </c>
      <c r="D133" s="10">
        <v>803.04</v>
      </c>
      <c r="E133" s="11"/>
      <c r="F133" s="12">
        <f t="shared" si="0"/>
        <v>287473733.75999993</v>
      </c>
      <c r="G133" s="13">
        <v>40</v>
      </c>
    </row>
    <row r="134" spans="1:7" x14ac:dyDescent="0.2">
      <c r="A134" s="21">
        <v>45582</v>
      </c>
      <c r="B134" s="8" t="s">
        <v>18</v>
      </c>
      <c r="C134" s="9">
        <v>49797</v>
      </c>
      <c r="D134" s="10">
        <v>114.72</v>
      </c>
      <c r="E134" s="11"/>
      <c r="F134" s="12">
        <f t="shared" si="0"/>
        <v>287473619.0399999</v>
      </c>
      <c r="G134" s="13">
        <v>41</v>
      </c>
    </row>
    <row r="135" spans="1:7" x14ac:dyDescent="0.2">
      <c r="A135" s="21">
        <v>45582</v>
      </c>
      <c r="B135" s="8" t="s">
        <v>12</v>
      </c>
      <c r="C135" s="9">
        <v>49793</v>
      </c>
      <c r="D135" s="10">
        <v>5.74</v>
      </c>
      <c r="E135" s="11"/>
      <c r="F135" s="12">
        <f t="shared" si="0"/>
        <v>287473613.29999989</v>
      </c>
      <c r="G135" s="13">
        <v>42</v>
      </c>
    </row>
    <row r="136" spans="1:7" x14ac:dyDescent="0.2">
      <c r="A136" s="21">
        <v>45582</v>
      </c>
      <c r="B136" s="8" t="s">
        <v>12</v>
      </c>
      <c r="C136" s="9">
        <v>49794</v>
      </c>
      <c r="D136" s="10">
        <v>5.74</v>
      </c>
      <c r="E136" s="11"/>
      <c r="F136" s="12">
        <f t="shared" si="0"/>
        <v>287473607.55999988</v>
      </c>
      <c r="G136" s="13">
        <v>43</v>
      </c>
    </row>
    <row r="137" spans="1:7" x14ac:dyDescent="0.2">
      <c r="A137" s="21">
        <v>45582</v>
      </c>
      <c r="B137" s="8" t="s">
        <v>12</v>
      </c>
      <c r="C137" s="9">
        <v>49795</v>
      </c>
      <c r="D137" s="10">
        <v>5.74</v>
      </c>
      <c r="E137" s="11"/>
      <c r="F137" s="12">
        <f t="shared" si="0"/>
        <v>287473601.81999987</v>
      </c>
      <c r="G137" s="13">
        <v>44</v>
      </c>
    </row>
    <row r="138" spans="1:7" x14ac:dyDescent="0.2">
      <c r="A138" s="21">
        <v>45582</v>
      </c>
      <c r="B138" s="8" t="s">
        <v>12</v>
      </c>
      <c r="C138" s="9">
        <v>49796</v>
      </c>
      <c r="D138" s="10">
        <v>5.74</v>
      </c>
      <c r="E138" s="11"/>
      <c r="F138" s="12">
        <f t="shared" si="0"/>
        <v>287473596.07999986</v>
      </c>
      <c r="G138" s="13">
        <v>45</v>
      </c>
    </row>
    <row r="139" spans="1:7" x14ac:dyDescent="0.2">
      <c r="A139" s="21">
        <v>45582</v>
      </c>
      <c r="B139" s="8" t="s">
        <v>12</v>
      </c>
      <c r="C139" s="9">
        <v>49797</v>
      </c>
      <c r="D139" s="10">
        <v>4.82</v>
      </c>
      <c r="E139" s="11"/>
      <c r="F139" s="12">
        <f t="shared" si="0"/>
        <v>287473591.25999987</v>
      </c>
      <c r="G139" s="13">
        <v>46</v>
      </c>
    </row>
    <row r="140" spans="1:7" x14ac:dyDescent="0.2">
      <c r="A140" s="21">
        <v>45582</v>
      </c>
      <c r="B140" s="8" t="s">
        <v>12</v>
      </c>
      <c r="C140" s="9">
        <v>49797</v>
      </c>
      <c r="D140" s="10">
        <v>0.69</v>
      </c>
      <c r="E140" s="11"/>
      <c r="F140" s="12">
        <f t="shared" si="0"/>
        <v>287473590.56999987</v>
      </c>
      <c r="G140" s="13">
        <v>47</v>
      </c>
    </row>
    <row r="141" spans="1:7" x14ac:dyDescent="0.2">
      <c r="A141" s="21">
        <v>45590</v>
      </c>
      <c r="B141" s="8" t="s">
        <v>8</v>
      </c>
      <c r="C141" s="9">
        <v>49805</v>
      </c>
      <c r="D141" s="10">
        <v>23400</v>
      </c>
      <c r="E141" s="11"/>
      <c r="F141" s="12">
        <f t="shared" si="0"/>
        <v>287450190.56999987</v>
      </c>
      <c r="G141" s="13">
        <v>48</v>
      </c>
    </row>
    <row r="142" spans="1:7" x14ac:dyDescent="0.2">
      <c r="A142" s="21">
        <v>45590</v>
      </c>
      <c r="B142" s="8" t="s">
        <v>15</v>
      </c>
      <c r="C142" s="9">
        <v>49806</v>
      </c>
      <c r="D142" s="10">
        <v>4914</v>
      </c>
      <c r="E142" s="11"/>
      <c r="F142" s="12">
        <f t="shared" si="0"/>
        <v>287445276.56999987</v>
      </c>
      <c r="G142" s="13">
        <v>49</v>
      </c>
    </row>
    <row r="143" spans="1:7" x14ac:dyDescent="0.2">
      <c r="A143" s="21">
        <v>45590</v>
      </c>
      <c r="B143" s="8" t="s">
        <v>18</v>
      </c>
      <c r="C143" s="9">
        <v>49806</v>
      </c>
      <c r="D143" s="10">
        <v>702</v>
      </c>
      <c r="E143" s="11"/>
      <c r="F143" s="12">
        <f t="shared" si="0"/>
        <v>287444574.56999987</v>
      </c>
      <c r="G143" s="13">
        <v>50</v>
      </c>
    </row>
    <row r="144" spans="1:7" x14ac:dyDescent="0.2">
      <c r="A144" s="21">
        <v>45590</v>
      </c>
      <c r="B144" s="8" t="s">
        <v>12</v>
      </c>
      <c r="C144" s="9">
        <v>49805</v>
      </c>
      <c r="D144" s="10">
        <v>140.4</v>
      </c>
      <c r="E144" s="11"/>
      <c r="F144" s="12">
        <f t="shared" si="0"/>
        <v>287444434.1699999</v>
      </c>
      <c r="G144" s="13">
        <v>51</v>
      </c>
    </row>
    <row r="145" spans="1:7" x14ac:dyDescent="0.2">
      <c r="A145" s="21">
        <v>45590</v>
      </c>
      <c r="B145" s="8" t="s">
        <v>13</v>
      </c>
      <c r="C145" s="9">
        <v>49805</v>
      </c>
      <c r="D145" s="10">
        <v>351</v>
      </c>
      <c r="E145" s="11"/>
      <c r="F145" s="12">
        <f t="shared" si="0"/>
        <v>287444083.1699999</v>
      </c>
      <c r="G145" s="13">
        <v>52</v>
      </c>
    </row>
    <row r="146" spans="1:7" x14ac:dyDescent="0.2">
      <c r="A146" s="21">
        <v>45590</v>
      </c>
      <c r="B146" s="8" t="s">
        <v>12</v>
      </c>
      <c r="C146" s="9">
        <v>49806</v>
      </c>
      <c r="D146" s="10">
        <v>29.48</v>
      </c>
      <c r="E146" s="11"/>
      <c r="F146" s="12">
        <f t="shared" si="0"/>
        <v>287444053.68999988</v>
      </c>
      <c r="G146" s="13">
        <v>53</v>
      </c>
    </row>
    <row r="147" spans="1:7" x14ac:dyDescent="0.2">
      <c r="A147" s="21">
        <v>45590</v>
      </c>
      <c r="B147" s="8" t="s">
        <v>12</v>
      </c>
      <c r="C147" s="9">
        <v>49806</v>
      </c>
      <c r="D147" s="10">
        <v>4.21</v>
      </c>
      <c r="E147" s="11"/>
      <c r="F147" s="12">
        <f t="shared" si="0"/>
        <v>287444049.4799999</v>
      </c>
      <c r="G147" s="13">
        <v>54</v>
      </c>
    </row>
    <row r="148" spans="1:7" x14ac:dyDescent="0.2">
      <c r="A148" s="21">
        <v>45590</v>
      </c>
      <c r="B148" s="8" t="s">
        <v>12</v>
      </c>
      <c r="C148" s="9">
        <v>49805</v>
      </c>
      <c r="D148" s="10">
        <v>2.11</v>
      </c>
      <c r="E148" s="11"/>
      <c r="F148" s="12">
        <f t="shared" si="0"/>
        <v>287444047.36999989</v>
      </c>
      <c r="G148" s="13">
        <v>55</v>
      </c>
    </row>
    <row r="149" spans="1:7" x14ac:dyDescent="0.2">
      <c r="A149" s="21">
        <v>45593</v>
      </c>
      <c r="B149" s="8" t="s">
        <v>10</v>
      </c>
      <c r="C149" s="9">
        <v>49813</v>
      </c>
      <c r="D149" s="10">
        <v>3000000</v>
      </c>
      <c r="E149" s="11"/>
      <c r="F149" s="12">
        <f t="shared" si="0"/>
        <v>284444047.36999989</v>
      </c>
      <c r="G149" s="13">
        <v>56</v>
      </c>
    </row>
    <row r="150" spans="1:7" x14ac:dyDescent="0.2">
      <c r="A150" s="21">
        <v>45593</v>
      </c>
      <c r="B150" s="8" t="s">
        <v>11</v>
      </c>
      <c r="C150" s="9">
        <v>49814</v>
      </c>
      <c r="D150" s="10">
        <v>20000000</v>
      </c>
      <c r="E150" s="11"/>
      <c r="F150" s="12">
        <f t="shared" si="0"/>
        <v>264444047.36999989</v>
      </c>
      <c r="G150" s="13">
        <v>57</v>
      </c>
    </row>
    <row r="151" spans="1:7" x14ac:dyDescent="0.2">
      <c r="A151" s="21">
        <v>45593</v>
      </c>
      <c r="B151" s="8" t="s">
        <v>11</v>
      </c>
      <c r="C151" s="9">
        <v>49815</v>
      </c>
      <c r="D151" s="10">
        <v>20000000</v>
      </c>
      <c r="E151" s="11"/>
      <c r="F151" s="12">
        <f t="shared" si="0"/>
        <v>244444047.36999989</v>
      </c>
      <c r="G151" s="13">
        <v>58</v>
      </c>
    </row>
    <row r="152" spans="1:7" x14ac:dyDescent="0.2">
      <c r="A152" s="21">
        <v>45593</v>
      </c>
      <c r="B152" s="8" t="s">
        <v>11</v>
      </c>
      <c r="C152" s="9">
        <v>49816</v>
      </c>
      <c r="D152" s="10">
        <v>20000000</v>
      </c>
      <c r="E152" s="11"/>
      <c r="F152" s="12">
        <f t="shared" si="0"/>
        <v>224444047.36999989</v>
      </c>
      <c r="G152" s="13">
        <v>59</v>
      </c>
    </row>
    <row r="153" spans="1:7" x14ac:dyDescent="0.2">
      <c r="A153" s="21">
        <v>45593</v>
      </c>
      <c r="B153" s="8" t="s">
        <v>11</v>
      </c>
      <c r="C153" s="9">
        <v>49817</v>
      </c>
      <c r="D153" s="10">
        <v>20000000</v>
      </c>
      <c r="E153" s="11"/>
      <c r="F153" s="12">
        <f t="shared" si="0"/>
        <v>204444047.36999989</v>
      </c>
      <c r="G153" s="13">
        <v>60</v>
      </c>
    </row>
    <row r="154" spans="1:7" x14ac:dyDescent="0.2">
      <c r="A154" s="21">
        <v>45593</v>
      </c>
      <c r="B154" s="8" t="s">
        <v>11</v>
      </c>
      <c r="C154" s="9">
        <v>49818</v>
      </c>
      <c r="D154" s="10">
        <v>20000000</v>
      </c>
      <c r="E154" s="11"/>
      <c r="F154" s="12">
        <f t="shared" si="0"/>
        <v>184444047.36999989</v>
      </c>
      <c r="G154" s="13">
        <v>61</v>
      </c>
    </row>
    <row r="155" spans="1:7" x14ac:dyDescent="0.2">
      <c r="A155" s="21">
        <v>45593</v>
      </c>
      <c r="B155" s="8" t="s">
        <v>12</v>
      </c>
      <c r="C155" s="9">
        <v>49813</v>
      </c>
      <c r="D155" s="10">
        <v>18000</v>
      </c>
      <c r="E155" s="11"/>
      <c r="F155" s="12">
        <f t="shared" si="0"/>
        <v>184426047.36999989</v>
      </c>
      <c r="G155" s="13">
        <v>62</v>
      </c>
    </row>
    <row r="156" spans="1:7" x14ac:dyDescent="0.2">
      <c r="A156" s="21">
        <v>45594</v>
      </c>
      <c r="B156" s="8" t="s">
        <v>9</v>
      </c>
      <c r="C156" s="9">
        <v>49820</v>
      </c>
      <c r="D156" s="10">
        <v>956</v>
      </c>
      <c r="E156" s="11"/>
      <c r="F156" s="12">
        <f t="shared" si="0"/>
        <v>184425091.36999989</v>
      </c>
      <c r="G156" s="13">
        <v>63</v>
      </c>
    </row>
    <row r="157" spans="1:7" x14ac:dyDescent="0.2">
      <c r="A157" s="21">
        <v>45594</v>
      </c>
      <c r="B157" s="8" t="s">
        <v>9</v>
      </c>
      <c r="C157" s="9">
        <v>49821</v>
      </c>
      <c r="D157" s="10">
        <v>956</v>
      </c>
      <c r="E157" s="11"/>
      <c r="F157" s="12">
        <f t="shared" si="0"/>
        <v>184424135.36999989</v>
      </c>
      <c r="G157" s="13">
        <v>64</v>
      </c>
    </row>
    <row r="158" spans="1:7" x14ac:dyDescent="0.2">
      <c r="A158" s="21">
        <v>45594</v>
      </c>
      <c r="B158" s="8" t="s">
        <v>9</v>
      </c>
      <c r="C158" s="9">
        <v>49822</v>
      </c>
      <c r="D158" s="10">
        <v>956</v>
      </c>
      <c r="E158" s="11"/>
      <c r="F158" s="12">
        <f t="shared" si="0"/>
        <v>184423179.36999989</v>
      </c>
      <c r="G158" s="13">
        <v>65</v>
      </c>
    </row>
    <row r="159" spans="1:7" x14ac:dyDescent="0.2">
      <c r="A159" s="21">
        <v>45594</v>
      </c>
      <c r="B159" s="8" t="s">
        <v>9</v>
      </c>
      <c r="C159" s="9">
        <v>49823</v>
      </c>
      <c r="D159" s="10">
        <v>956</v>
      </c>
      <c r="E159" s="11"/>
      <c r="F159" s="12">
        <f t="shared" ref="F159:F190" si="1">+F158+E159-D159</f>
        <v>184422223.36999989</v>
      </c>
      <c r="G159" s="13">
        <v>66</v>
      </c>
    </row>
    <row r="160" spans="1:7" x14ac:dyDescent="0.2">
      <c r="A160" s="21">
        <v>45594</v>
      </c>
      <c r="B160" s="8" t="s">
        <v>9</v>
      </c>
      <c r="C160" s="9">
        <v>49824</v>
      </c>
      <c r="D160" s="10">
        <v>956</v>
      </c>
      <c r="E160" s="11"/>
      <c r="F160" s="12">
        <f t="shared" si="1"/>
        <v>184421267.36999989</v>
      </c>
      <c r="G160" s="13">
        <v>67</v>
      </c>
    </row>
    <row r="161" spans="1:7" x14ac:dyDescent="0.2">
      <c r="A161" s="21">
        <v>45594</v>
      </c>
      <c r="B161" s="8" t="s">
        <v>9</v>
      </c>
      <c r="C161" s="9">
        <v>49825</v>
      </c>
      <c r="D161" s="10">
        <v>956</v>
      </c>
      <c r="E161" s="11"/>
      <c r="F161" s="12">
        <f t="shared" si="1"/>
        <v>184420311.36999989</v>
      </c>
      <c r="G161" s="13">
        <v>68</v>
      </c>
    </row>
    <row r="162" spans="1:7" x14ac:dyDescent="0.2">
      <c r="A162" s="21">
        <v>45594</v>
      </c>
      <c r="B162" s="8" t="s">
        <v>15</v>
      </c>
      <c r="C162" s="9">
        <v>49826</v>
      </c>
      <c r="D162" s="10">
        <v>1204.56</v>
      </c>
      <c r="E162" s="11"/>
      <c r="F162" s="12">
        <f t="shared" si="1"/>
        <v>184419106.80999988</v>
      </c>
      <c r="G162" s="13">
        <v>69</v>
      </c>
    </row>
    <row r="163" spans="1:7" x14ac:dyDescent="0.2">
      <c r="A163" s="21">
        <v>45594</v>
      </c>
      <c r="B163" s="8" t="s">
        <v>18</v>
      </c>
      <c r="C163" s="9">
        <v>49826</v>
      </c>
      <c r="D163" s="10">
        <v>172.08</v>
      </c>
      <c r="E163" s="11"/>
      <c r="F163" s="12">
        <f t="shared" si="1"/>
        <v>184418934.72999987</v>
      </c>
      <c r="G163" s="13">
        <v>70</v>
      </c>
    </row>
    <row r="164" spans="1:7" x14ac:dyDescent="0.2">
      <c r="A164" s="21">
        <v>45594</v>
      </c>
      <c r="B164" s="8" t="s">
        <v>12</v>
      </c>
      <c r="C164" s="9">
        <v>49820</v>
      </c>
      <c r="D164" s="10">
        <v>5.74</v>
      </c>
      <c r="E164" s="11"/>
      <c r="F164" s="12">
        <f t="shared" si="1"/>
        <v>184418928.98999986</v>
      </c>
      <c r="G164" s="13">
        <v>71</v>
      </c>
    </row>
    <row r="165" spans="1:7" x14ac:dyDescent="0.2">
      <c r="A165" s="21">
        <v>45594</v>
      </c>
      <c r="B165" s="8" t="s">
        <v>12</v>
      </c>
      <c r="C165" s="9">
        <v>49821</v>
      </c>
      <c r="D165" s="10">
        <v>5.74</v>
      </c>
      <c r="E165" s="11"/>
      <c r="F165" s="12">
        <f t="shared" si="1"/>
        <v>184418923.24999985</v>
      </c>
      <c r="G165" s="13">
        <v>72</v>
      </c>
    </row>
    <row r="166" spans="1:7" x14ac:dyDescent="0.2">
      <c r="A166" s="21">
        <v>45594</v>
      </c>
      <c r="B166" s="8" t="s">
        <v>12</v>
      </c>
      <c r="C166" s="9">
        <v>49822</v>
      </c>
      <c r="D166" s="10">
        <v>5.74</v>
      </c>
      <c r="E166" s="11"/>
      <c r="F166" s="12">
        <f t="shared" si="1"/>
        <v>184418917.50999984</v>
      </c>
      <c r="G166" s="13">
        <v>73</v>
      </c>
    </row>
    <row r="167" spans="1:7" x14ac:dyDescent="0.2">
      <c r="A167" s="21">
        <v>45594</v>
      </c>
      <c r="B167" s="8" t="s">
        <v>12</v>
      </c>
      <c r="C167" s="9">
        <v>49823</v>
      </c>
      <c r="D167" s="10">
        <v>5.74</v>
      </c>
      <c r="E167" s="11"/>
      <c r="F167" s="12">
        <f t="shared" si="1"/>
        <v>184418911.76999983</v>
      </c>
      <c r="G167" s="13">
        <v>74</v>
      </c>
    </row>
    <row r="168" spans="1:7" x14ac:dyDescent="0.2">
      <c r="A168" s="21">
        <v>45594</v>
      </c>
      <c r="B168" s="8" t="s">
        <v>12</v>
      </c>
      <c r="C168" s="9">
        <v>49824</v>
      </c>
      <c r="D168" s="10">
        <v>5.74</v>
      </c>
      <c r="E168" s="11"/>
      <c r="F168" s="12">
        <f t="shared" si="1"/>
        <v>184418906.02999982</v>
      </c>
      <c r="G168" s="13">
        <v>75</v>
      </c>
    </row>
    <row r="169" spans="1:7" x14ac:dyDescent="0.2">
      <c r="A169" s="21">
        <v>45594</v>
      </c>
      <c r="B169" s="8" t="s">
        <v>12</v>
      </c>
      <c r="C169" s="9">
        <v>49825</v>
      </c>
      <c r="D169" s="10">
        <v>5.74</v>
      </c>
      <c r="E169" s="11"/>
      <c r="F169" s="12">
        <f t="shared" si="1"/>
        <v>184418900.28999981</v>
      </c>
      <c r="G169" s="13">
        <v>76</v>
      </c>
    </row>
    <row r="170" spans="1:7" x14ac:dyDescent="0.2">
      <c r="A170" s="21">
        <v>45594</v>
      </c>
      <c r="B170" s="8" t="s">
        <v>12</v>
      </c>
      <c r="C170" s="9">
        <v>49826</v>
      </c>
      <c r="D170" s="10">
        <v>7.23</v>
      </c>
      <c r="E170" s="11"/>
      <c r="F170" s="12">
        <f t="shared" si="1"/>
        <v>184418893.05999982</v>
      </c>
      <c r="G170" s="13">
        <v>77</v>
      </c>
    </row>
    <row r="171" spans="1:7" x14ac:dyDescent="0.2">
      <c r="A171" s="21">
        <v>45594</v>
      </c>
      <c r="B171" s="8" t="s">
        <v>12</v>
      </c>
      <c r="C171" s="9">
        <v>49826</v>
      </c>
      <c r="D171" s="10">
        <v>1.03</v>
      </c>
      <c r="E171" s="11"/>
      <c r="F171" s="12">
        <f t="shared" si="1"/>
        <v>184418892.02999982</v>
      </c>
      <c r="G171" s="13">
        <v>78</v>
      </c>
    </row>
    <row r="172" spans="1:7" x14ac:dyDescent="0.2">
      <c r="A172" s="21">
        <v>45595</v>
      </c>
      <c r="B172" s="8" t="s">
        <v>11</v>
      </c>
      <c r="C172" s="9">
        <v>49836</v>
      </c>
      <c r="D172" s="10">
        <v>20000000</v>
      </c>
      <c r="E172" s="11"/>
      <c r="F172" s="12">
        <f t="shared" si="1"/>
        <v>164418892.02999982</v>
      </c>
      <c r="G172" s="13">
        <v>79</v>
      </c>
    </row>
    <row r="173" spans="1:7" x14ac:dyDescent="0.2">
      <c r="A173" s="21">
        <v>45595</v>
      </c>
      <c r="B173" s="8" t="s">
        <v>11</v>
      </c>
      <c r="C173" s="9">
        <v>49837</v>
      </c>
      <c r="D173" s="10">
        <v>20000000</v>
      </c>
      <c r="E173" s="11"/>
      <c r="F173" s="12">
        <f t="shared" si="1"/>
        <v>144418892.02999982</v>
      </c>
      <c r="G173" s="13">
        <v>80</v>
      </c>
    </row>
    <row r="174" spans="1:7" x14ac:dyDescent="0.2">
      <c r="A174" s="21">
        <v>45595</v>
      </c>
      <c r="B174" s="8" t="s">
        <v>11</v>
      </c>
      <c r="C174" s="9">
        <v>49838</v>
      </c>
      <c r="D174" s="10">
        <v>20000000</v>
      </c>
      <c r="E174" s="11"/>
      <c r="F174" s="12">
        <f t="shared" si="1"/>
        <v>124418892.02999982</v>
      </c>
      <c r="G174" s="13">
        <v>81</v>
      </c>
    </row>
    <row r="175" spans="1:7" x14ac:dyDescent="0.2">
      <c r="A175" s="21">
        <v>45595</v>
      </c>
      <c r="B175" s="8" t="s">
        <v>11</v>
      </c>
      <c r="C175" s="9">
        <v>49839</v>
      </c>
      <c r="D175" s="10">
        <v>20000000</v>
      </c>
      <c r="E175" s="11"/>
      <c r="F175" s="12">
        <f t="shared" si="1"/>
        <v>104418892.02999982</v>
      </c>
      <c r="G175" s="13">
        <v>82</v>
      </c>
    </row>
    <row r="176" spans="1:7" x14ac:dyDescent="0.2">
      <c r="A176" s="21">
        <v>45595</v>
      </c>
      <c r="B176" s="8" t="s">
        <v>11</v>
      </c>
      <c r="C176" s="9">
        <v>49841</v>
      </c>
      <c r="D176" s="10">
        <v>20000000</v>
      </c>
      <c r="E176" s="11"/>
      <c r="F176" s="12">
        <f t="shared" si="1"/>
        <v>84418892.029999822</v>
      </c>
      <c r="G176" s="13">
        <v>83</v>
      </c>
    </row>
    <row r="177" spans="1:7" x14ac:dyDescent="0.2">
      <c r="A177" s="21">
        <v>45596</v>
      </c>
      <c r="B177" s="8" t="s">
        <v>9</v>
      </c>
      <c r="C177" s="9">
        <v>49843</v>
      </c>
      <c r="D177" s="10">
        <v>956</v>
      </c>
      <c r="E177" s="11"/>
      <c r="F177" s="12">
        <f t="shared" si="1"/>
        <v>84417936.029999822</v>
      </c>
      <c r="G177" s="13">
        <v>84</v>
      </c>
    </row>
    <row r="178" spans="1:7" x14ac:dyDescent="0.2">
      <c r="A178" s="21">
        <v>45596</v>
      </c>
      <c r="B178" s="8" t="s">
        <v>9</v>
      </c>
      <c r="C178" s="9">
        <v>49844</v>
      </c>
      <c r="D178" s="10">
        <v>956</v>
      </c>
      <c r="E178" s="11"/>
      <c r="F178" s="12">
        <f t="shared" si="1"/>
        <v>84416980.029999822</v>
      </c>
      <c r="G178" s="13">
        <v>85</v>
      </c>
    </row>
    <row r="179" spans="1:7" x14ac:dyDescent="0.2">
      <c r="A179" s="21">
        <v>45596</v>
      </c>
      <c r="B179" s="8" t="s">
        <v>9</v>
      </c>
      <c r="C179" s="9">
        <v>49845</v>
      </c>
      <c r="D179" s="10">
        <v>956</v>
      </c>
      <c r="E179" s="11"/>
      <c r="F179" s="12">
        <f t="shared" si="1"/>
        <v>84416024.029999822</v>
      </c>
      <c r="G179" s="13">
        <v>86</v>
      </c>
    </row>
    <row r="180" spans="1:7" x14ac:dyDescent="0.2">
      <c r="A180" s="21">
        <v>45596</v>
      </c>
      <c r="B180" s="8" t="s">
        <v>9</v>
      </c>
      <c r="C180" s="9">
        <v>49846</v>
      </c>
      <c r="D180" s="10">
        <v>956</v>
      </c>
      <c r="E180" s="11"/>
      <c r="F180" s="12">
        <f t="shared" si="1"/>
        <v>84415068.029999822</v>
      </c>
      <c r="G180" s="13">
        <v>87</v>
      </c>
    </row>
    <row r="181" spans="1:7" x14ac:dyDescent="0.2">
      <c r="A181" s="21">
        <v>45596</v>
      </c>
      <c r="B181" s="8" t="s">
        <v>9</v>
      </c>
      <c r="C181" s="9">
        <v>49847</v>
      </c>
      <c r="D181" s="10">
        <v>956</v>
      </c>
      <c r="E181" s="11"/>
      <c r="F181" s="12">
        <f t="shared" si="1"/>
        <v>84414112.029999822</v>
      </c>
      <c r="G181" s="13">
        <v>88</v>
      </c>
    </row>
    <row r="182" spans="1:7" x14ac:dyDescent="0.2">
      <c r="A182" s="21">
        <v>45596</v>
      </c>
      <c r="B182" s="8" t="s">
        <v>15</v>
      </c>
      <c r="C182" s="9">
        <v>49848</v>
      </c>
      <c r="D182" s="10">
        <v>1003.8</v>
      </c>
      <c r="E182" s="11"/>
      <c r="F182" s="12">
        <f t="shared" si="1"/>
        <v>84413108.229999825</v>
      </c>
      <c r="G182" s="13">
        <v>89</v>
      </c>
    </row>
    <row r="183" spans="1:7" x14ac:dyDescent="0.2">
      <c r="A183" s="21">
        <v>45596</v>
      </c>
      <c r="B183" s="8" t="s">
        <v>18</v>
      </c>
      <c r="C183" s="9">
        <v>49848</v>
      </c>
      <c r="D183" s="10">
        <v>143.4</v>
      </c>
      <c r="E183" s="11"/>
      <c r="F183" s="12">
        <f t="shared" si="1"/>
        <v>84412964.829999819</v>
      </c>
      <c r="G183" s="13">
        <v>90</v>
      </c>
    </row>
    <row r="184" spans="1:7" x14ac:dyDescent="0.2">
      <c r="A184" s="21">
        <v>45596</v>
      </c>
      <c r="B184" s="8" t="s">
        <v>12</v>
      </c>
      <c r="C184" s="9">
        <v>49843</v>
      </c>
      <c r="D184" s="10">
        <v>5.74</v>
      </c>
      <c r="E184" s="11"/>
      <c r="F184" s="12">
        <f t="shared" si="1"/>
        <v>84412959.089999825</v>
      </c>
      <c r="G184" s="13">
        <v>91</v>
      </c>
    </row>
    <row r="185" spans="1:7" x14ac:dyDescent="0.2">
      <c r="A185" s="21">
        <v>45596</v>
      </c>
      <c r="B185" s="8" t="s">
        <v>12</v>
      </c>
      <c r="C185" s="9">
        <v>49844</v>
      </c>
      <c r="D185" s="10">
        <v>5.74</v>
      </c>
      <c r="E185" s="11"/>
      <c r="F185" s="12">
        <f t="shared" si="1"/>
        <v>84412953.34999983</v>
      </c>
      <c r="G185" s="13">
        <v>92</v>
      </c>
    </row>
    <row r="186" spans="1:7" x14ac:dyDescent="0.2">
      <c r="A186" s="21">
        <v>45596</v>
      </c>
      <c r="B186" s="8" t="s">
        <v>12</v>
      </c>
      <c r="C186" s="9">
        <v>49845</v>
      </c>
      <c r="D186" s="10">
        <v>5.74</v>
      </c>
      <c r="E186" s="11"/>
      <c r="F186" s="12">
        <f t="shared" si="1"/>
        <v>84412947.609999835</v>
      </c>
      <c r="G186" s="13">
        <v>93</v>
      </c>
    </row>
    <row r="187" spans="1:7" x14ac:dyDescent="0.2">
      <c r="A187" s="21">
        <v>45596</v>
      </c>
      <c r="B187" s="22" t="s">
        <v>12</v>
      </c>
      <c r="C187" s="23">
        <v>49846</v>
      </c>
      <c r="D187" s="24">
        <v>5.74</v>
      </c>
      <c r="F187" s="12">
        <f t="shared" si="1"/>
        <v>84412941.869999841</v>
      </c>
      <c r="G187" s="13">
        <v>94</v>
      </c>
    </row>
    <row r="188" spans="1:7" x14ac:dyDescent="0.2">
      <c r="A188" s="21">
        <v>45596</v>
      </c>
      <c r="B188" s="22" t="s">
        <v>12</v>
      </c>
      <c r="C188" s="23">
        <v>49847</v>
      </c>
      <c r="D188" s="24">
        <v>5.74</v>
      </c>
      <c r="F188" s="12">
        <f t="shared" si="1"/>
        <v>84412936.129999846</v>
      </c>
      <c r="G188" s="13">
        <v>95</v>
      </c>
    </row>
    <row r="189" spans="1:7" x14ac:dyDescent="0.2">
      <c r="A189" s="21">
        <v>45596</v>
      </c>
      <c r="B189" s="22" t="s">
        <v>12</v>
      </c>
      <c r="C189" s="23">
        <v>49848</v>
      </c>
      <c r="D189" s="24">
        <v>6.02</v>
      </c>
      <c r="F189" s="12">
        <f t="shared" si="1"/>
        <v>84412930.10999985</v>
      </c>
      <c r="G189" s="13">
        <v>96</v>
      </c>
    </row>
    <row r="190" spans="1:7" x14ac:dyDescent="0.2">
      <c r="A190" s="21">
        <v>45596</v>
      </c>
      <c r="B190" s="22" t="s">
        <v>12</v>
      </c>
      <c r="C190" s="23">
        <v>49848</v>
      </c>
      <c r="D190" s="24">
        <v>0.86</v>
      </c>
      <c r="F190" s="12">
        <f t="shared" si="1"/>
        <v>84412929.249999851</v>
      </c>
      <c r="G190" s="13">
        <v>97</v>
      </c>
    </row>
    <row r="192" spans="1:7" x14ac:dyDescent="0.2">
      <c r="A192" s="37" t="s">
        <v>0</v>
      </c>
      <c r="B192" s="16" t="s">
        <v>1</v>
      </c>
      <c r="C192" s="16" t="s">
        <v>2</v>
      </c>
      <c r="D192" s="17" t="s">
        <v>3</v>
      </c>
      <c r="E192" s="17" t="s">
        <v>4</v>
      </c>
      <c r="F192" s="17" t="s">
        <v>5</v>
      </c>
    </row>
    <row r="193" spans="1:7" x14ac:dyDescent="0.2">
      <c r="A193" s="39"/>
      <c r="B193" s="5" t="s">
        <v>6</v>
      </c>
      <c r="C193" s="25"/>
      <c r="D193" s="26"/>
      <c r="E193" s="26"/>
      <c r="F193" s="7">
        <v>84412929.25</v>
      </c>
      <c r="G193" s="15">
        <v>1</v>
      </c>
    </row>
    <row r="194" spans="1:7" x14ac:dyDescent="0.2">
      <c r="A194" s="21">
        <v>45600</v>
      </c>
      <c r="B194" s="8" t="s">
        <v>11</v>
      </c>
      <c r="C194" s="9">
        <v>49857</v>
      </c>
      <c r="D194" s="10">
        <v>20000000</v>
      </c>
      <c r="E194" s="11"/>
      <c r="F194" s="12">
        <f t="shared" ref="F194:F257" si="2">+F193+E194-D194</f>
        <v>64412929.25</v>
      </c>
      <c r="G194" s="15">
        <v>2</v>
      </c>
    </row>
    <row r="195" spans="1:7" x14ac:dyDescent="0.2">
      <c r="A195" s="21">
        <v>45600</v>
      </c>
      <c r="B195" s="8" t="s">
        <v>11</v>
      </c>
      <c r="C195" s="9">
        <v>49859</v>
      </c>
      <c r="D195" s="10">
        <v>20000000</v>
      </c>
      <c r="E195" s="11"/>
      <c r="F195" s="12">
        <f t="shared" si="2"/>
        <v>44412929.25</v>
      </c>
      <c r="G195" s="15">
        <v>3</v>
      </c>
    </row>
    <row r="196" spans="1:7" x14ac:dyDescent="0.2">
      <c r="A196" s="21">
        <v>45600</v>
      </c>
      <c r="B196" s="8" t="s">
        <v>11</v>
      </c>
      <c r="C196" s="9">
        <v>49860</v>
      </c>
      <c r="D196" s="10">
        <v>20000000</v>
      </c>
      <c r="E196" s="11"/>
      <c r="F196" s="12">
        <f t="shared" si="2"/>
        <v>24412929.25</v>
      </c>
      <c r="G196" s="15">
        <v>4</v>
      </c>
    </row>
    <row r="197" spans="1:7" x14ac:dyDescent="0.2">
      <c r="A197" s="21">
        <v>45600</v>
      </c>
      <c r="B197" s="8" t="s">
        <v>11</v>
      </c>
      <c r="C197" s="9">
        <v>49863</v>
      </c>
      <c r="D197" s="10">
        <v>20000000</v>
      </c>
      <c r="E197" s="11"/>
      <c r="F197" s="12">
        <f t="shared" si="2"/>
        <v>4412929.25</v>
      </c>
      <c r="G197" s="15">
        <v>5</v>
      </c>
    </row>
    <row r="198" spans="1:7" x14ac:dyDescent="0.2">
      <c r="A198" s="21">
        <v>45600</v>
      </c>
      <c r="B198" s="8" t="s">
        <v>11</v>
      </c>
      <c r="C198" s="9">
        <v>49864</v>
      </c>
      <c r="D198" s="10">
        <v>3000000</v>
      </c>
      <c r="E198" s="11"/>
      <c r="F198" s="12">
        <f t="shared" si="2"/>
        <v>1412929.25</v>
      </c>
      <c r="G198" s="15">
        <v>6</v>
      </c>
    </row>
    <row r="199" spans="1:7" x14ac:dyDescent="0.2">
      <c r="A199" s="21">
        <v>45601</v>
      </c>
      <c r="B199" s="8" t="s">
        <v>9</v>
      </c>
      <c r="C199" s="9">
        <v>49865</v>
      </c>
      <c r="D199" s="10">
        <v>956</v>
      </c>
      <c r="E199" s="11"/>
      <c r="F199" s="12">
        <f t="shared" si="2"/>
        <v>1411973.25</v>
      </c>
      <c r="G199" s="15">
        <v>7</v>
      </c>
    </row>
    <row r="200" spans="1:7" x14ac:dyDescent="0.2">
      <c r="A200" s="21">
        <v>45601</v>
      </c>
      <c r="B200" s="8" t="s">
        <v>9</v>
      </c>
      <c r="C200" s="9">
        <v>49866</v>
      </c>
      <c r="D200" s="10">
        <v>956</v>
      </c>
      <c r="E200" s="11"/>
      <c r="F200" s="12">
        <f t="shared" si="2"/>
        <v>1411017.25</v>
      </c>
      <c r="G200" s="15">
        <v>8</v>
      </c>
    </row>
    <row r="201" spans="1:7" x14ac:dyDescent="0.2">
      <c r="A201" s="21">
        <v>45601</v>
      </c>
      <c r="B201" s="8" t="s">
        <v>9</v>
      </c>
      <c r="C201" s="9">
        <v>49867</v>
      </c>
      <c r="D201" s="10">
        <v>956</v>
      </c>
      <c r="E201" s="11"/>
      <c r="F201" s="12">
        <f t="shared" si="2"/>
        <v>1410061.25</v>
      </c>
      <c r="G201" s="15">
        <v>9</v>
      </c>
    </row>
    <row r="202" spans="1:7" x14ac:dyDescent="0.2">
      <c r="A202" s="21">
        <v>45601</v>
      </c>
      <c r="B202" s="8" t="s">
        <v>9</v>
      </c>
      <c r="C202" s="9">
        <v>49868</v>
      </c>
      <c r="D202" s="10">
        <v>956</v>
      </c>
      <c r="E202" s="11"/>
      <c r="F202" s="12">
        <f t="shared" si="2"/>
        <v>1409105.25</v>
      </c>
      <c r="G202" s="15">
        <v>10</v>
      </c>
    </row>
    <row r="203" spans="1:7" x14ac:dyDescent="0.2">
      <c r="A203" s="21">
        <v>45601</v>
      </c>
      <c r="B203" s="8" t="s">
        <v>9</v>
      </c>
      <c r="C203" s="9">
        <v>49869</v>
      </c>
      <c r="D203" s="10">
        <v>956</v>
      </c>
      <c r="E203" s="11"/>
      <c r="F203" s="12">
        <f t="shared" si="2"/>
        <v>1408149.25</v>
      </c>
      <c r="G203" s="15">
        <v>11</v>
      </c>
    </row>
    <row r="204" spans="1:7" x14ac:dyDescent="0.2">
      <c r="A204" s="21">
        <v>45601</v>
      </c>
      <c r="B204" s="8" t="s">
        <v>15</v>
      </c>
      <c r="C204" s="9">
        <v>49870</v>
      </c>
      <c r="D204" s="10">
        <v>1003.8</v>
      </c>
      <c r="E204" s="11"/>
      <c r="F204" s="12">
        <f t="shared" si="2"/>
        <v>1407145.45</v>
      </c>
      <c r="G204" s="15">
        <v>12</v>
      </c>
    </row>
    <row r="205" spans="1:7" x14ac:dyDescent="0.2">
      <c r="A205" s="21">
        <v>45601</v>
      </c>
      <c r="B205" s="8" t="s">
        <v>18</v>
      </c>
      <c r="C205" s="9">
        <v>49870</v>
      </c>
      <c r="D205" s="10">
        <v>143.4</v>
      </c>
      <c r="E205" s="11"/>
      <c r="F205" s="12">
        <f t="shared" si="2"/>
        <v>1407002.05</v>
      </c>
      <c r="G205" s="15">
        <v>13</v>
      </c>
    </row>
    <row r="206" spans="1:7" x14ac:dyDescent="0.2">
      <c r="A206" s="21">
        <v>45601</v>
      </c>
      <c r="B206" s="8" t="s">
        <v>12</v>
      </c>
      <c r="C206" s="9">
        <v>49865</v>
      </c>
      <c r="D206" s="10">
        <v>5.74</v>
      </c>
      <c r="E206" s="11"/>
      <c r="F206" s="12">
        <f t="shared" si="2"/>
        <v>1406996.31</v>
      </c>
      <c r="G206" s="15">
        <v>14</v>
      </c>
    </row>
    <row r="207" spans="1:7" x14ac:dyDescent="0.2">
      <c r="A207" s="21">
        <v>45601</v>
      </c>
      <c r="B207" s="8" t="s">
        <v>12</v>
      </c>
      <c r="C207" s="9">
        <v>49866</v>
      </c>
      <c r="D207" s="10">
        <v>5.74</v>
      </c>
      <c r="E207" s="11"/>
      <c r="F207" s="12">
        <f t="shared" si="2"/>
        <v>1406990.57</v>
      </c>
      <c r="G207" s="15">
        <v>15</v>
      </c>
    </row>
    <row r="208" spans="1:7" x14ac:dyDescent="0.2">
      <c r="A208" s="21">
        <v>45601</v>
      </c>
      <c r="B208" s="8" t="s">
        <v>12</v>
      </c>
      <c r="C208" s="9">
        <v>49867</v>
      </c>
      <c r="D208" s="10">
        <v>5.74</v>
      </c>
      <c r="E208" s="11"/>
      <c r="F208" s="12">
        <f t="shared" si="2"/>
        <v>1406984.83</v>
      </c>
      <c r="G208" s="15">
        <v>16</v>
      </c>
    </row>
    <row r="209" spans="1:7" x14ac:dyDescent="0.2">
      <c r="A209" s="21">
        <v>45601</v>
      </c>
      <c r="B209" s="8" t="s">
        <v>12</v>
      </c>
      <c r="C209" s="9">
        <v>49868</v>
      </c>
      <c r="D209" s="10">
        <v>5.74</v>
      </c>
      <c r="E209" s="11"/>
      <c r="F209" s="12">
        <f t="shared" si="2"/>
        <v>1406979.09</v>
      </c>
      <c r="G209" s="15">
        <v>17</v>
      </c>
    </row>
    <row r="210" spans="1:7" x14ac:dyDescent="0.2">
      <c r="A210" s="21">
        <v>45601</v>
      </c>
      <c r="B210" s="8" t="s">
        <v>12</v>
      </c>
      <c r="C210" s="9">
        <v>49869</v>
      </c>
      <c r="D210" s="10">
        <v>5.74</v>
      </c>
      <c r="E210" s="11"/>
      <c r="F210" s="12">
        <f t="shared" si="2"/>
        <v>1406973.35</v>
      </c>
      <c r="G210" s="15">
        <v>18</v>
      </c>
    </row>
    <row r="211" spans="1:7" x14ac:dyDescent="0.2">
      <c r="A211" s="21">
        <v>45601</v>
      </c>
      <c r="B211" s="8" t="s">
        <v>12</v>
      </c>
      <c r="C211" s="9">
        <v>49870</v>
      </c>
      <c r="D211" s="10">
        <v>6.02</v>
      </c>
      <c r="E211" s="11"/>
      <c r="F211" s="12">
        <f t="shared" si="2"/>
        <v>1406967.33</v>
      </c>
      <c r="G211" s="15">
        <v>19</v>
      </c>
    </row>
    <row r="212" spans="1:7" x14ac:dyDescent="0.2">
      <c r="A212" s="21">
        <v>45601</v>
      </c>
      <c r="B212" s="8" t="s">
        <v>12</v>
      </c>
      <c r="C212" s="9">
        <v>49870</v>
      </c>
      <c r="D212" s="10">
        <v>0.86</v>
      </c>
      <c r="E212" s="11"/>
      <c r="F212" s="12">
        <f t="shared" si="2"/>
        <v>1406966.47</v>
      </c>
      <c r="G212" s="15">
        <v>20</v>
      </c>
    </row>
    <row r="213" spans="1:7" x14ac:dyDescent="0.2">
      <c r="A213" s="21">
        <v>45610</v>
      </c>
      <c r="B213" s="8" t="s">
        <v>7</v>
      </c>
      <c r="C213" s="9">
        <v>8323406</v>
      </c>
      <c r="D213" s="11"/>
      <c r="E213" s="14">
        <v>406622013.93000001</v>
      </c>
      <c r="F213" s="12">
        <f t="shared" si="2"/>
        <v>408028980.40000004</v>
      </c>
      <c r="G213" s="15">
        <v>21</v>
      </c>
    </row>
    <row r="214" spans="1:7" x14ac:dyDescent="0.2">
      <c r="A214" s="21">
        <v>45610</v>
      </c>
      <c r="B214" s="8" t="s">
        <v>14</v>
      </c>
      <c r="C214" s="9">
        <v>8323406</v>
      </c>
      <c r="D214" s="10">
        <v>2439732.08</v>
      </c>
      <c r="E214" s="11"/>
      <c r="F214" s="12">
        <f t="shared" si="2"/>
        <v>405589248.32000005</v>
      </c>
      <c r="G214" s="15">
        <v>22</v>
      </c>
    </row>
    <row r="215" spans="1:7" x14ac:dyDescent="0.2">
      <c r="A215" s="21">
        <v>45611</v>
      </c>
      <c r="B215" s="8" t="s">
        <v>11</v>
      </c>
      <c r="C215" s="9">
        <v>49881</v>
      </c>
      <c r="D215" s="10">
        <v>20000000</v>
      </c>
      <c r="E215" s="11"/>
      <c r="F215" s="12">
        <f t="shared" si="2"/>
        <v>385589248.32000005</v>
      </c>
      <c r="G215" s="15">
        <v>23</v>
      </c>
    </row>
    <row r="216" spans="1:7" x14ac:dyDescent="0.2">
      <c r="A216" s="21">
        <v>45611</v>
      </c>
      <c r="B216" s="8" t="s">
        <v>11</v>
      </c>
      <c r="C216" s="9">
        <v>49882</v>
      </c>
      <c r="D216" s="10">
        <v>20000000</v>
      </c>
      <c r="E216" s="11"/>
      <c r="F216" s="12">
        <f t="shared" si="2"/>
        <v>365589248.32000005</v>
      </c>
      <c r="G216" s="15">
        <v>24</v>
      </c>
    </row>
    <row r="217" spans="1:7" x14ac:dyDescent="0.2">
      <c r="A217" s="21">
        <v>45611</v>
      </c>
      <c r="B217" s="8" t="s">
        <v>11</v>
      </c>
      <c r="C217" s="9">
        <v>49883</v>
      </c>
      <c r="D217" s="10">
        <v>20000000</v>
      </c>
      <c r="E217" s="11"/>
      <c r="F217" s="12">
        <f t="shared" si="2"/>
        <v>345589248.32000005</v>
      </c>
      <c r="G217" s="15">
        <v>25</v>
      </c>
    </row>
    <row r="218" spans="1:7" x14ac:dyDescent="0.2">
      <c r="A218" s="21">
        <v>45611</v>
      </c>
      <c r="B218" s="8" t="s">
        <v>11</v>
      </c>
      <c r="C218" s="9">
        <v>49884</v>
      </c>
      <c r="D218" s="10">
        <v>20000000</v>
      </c>
      <c r="E218" s="11"/>
      <c r="F218" s="12">
        <f t="shared" si="2"/>
        <v>325589248.32000005</v>
      </c>
      <c r="G218" s="15">
        <v>26</v>
      </c>
    </row>
    <row r="219" spans="1:7" x14ac:dyDescent="0.2">
      <c r="A219" s="21">
        <v>45611</v>
      </c>
      <c r="B219" s="8" t="s">
        <v>11</v>
      </c>
      <c r="C219" s="9">
        <v>49885</v>
      </c>
      <c r="D219" s="10">
        <v>20000000</v>
      </c>
      <c r="E219" s="11"/>
      <c r="F219" s="12">
        <f t="shared" si="2"/>
        <v>305589248.32000005</v>
      </c>
      <c r="G219" s="15">
        <v>27</v>
      </c>
    </row>
    <row r="220" spans="1:7" x14ac:dyDescent="0.2">
      <c r="A220" s="21">
        <v>45611</v>
      </c>
      <c r="B220" s="8" t="s">
        <v>11</v>
      </c>
      <c r="C220" s="9">
        <v>49888</v>
      </c>
      <c r="D220" s="10">
        <v>20000000</v>
      </c>
      <c r="E220" s="11"/>
      <c r="F220" s="12">
        <f t="shared" si="2"/>
        <v>285589248.32000005</v>
      </c>
      <c r="G220" s="15">
        <v>28</v>
      </c>
    </row>
    <row r="221" spans="1:7" x14ac:dyDescent="0.2">
      <c r="A221" s="21">
        <v>45615</v>
      </c>
      <c r="B221" s="8" t="s">
        <v>16</v>
      </c>
      <c r="C221" s="9">
        <v>404854</v>
      </c>
      <c r="D221" s="10">
        <v>6377663.3899999997</v>
      </c>
      <c r="E221" s="11"/>
      <c r="F221" s="12">
        <f t="shared" si="2"/>
        <v>279211584.93000007</v>
      </c>
      <c r="G221" s="15">
        <v>29</v>
      </c>
    </row>
    <row r="222" spans="1:7" x14ac:dyDescent="0.2">
      <c r="A222" s="21">
        <v>45615</v>
      </c>
      <c r="B222" s="8" t="s">
        <v>16</v>
      </c>
      <c r="C222" s="9">
        <v>337557</v>
      </c>
      <c r="D222" s="10">
        <v>3070068.87</v>
      </c>
      <c r="E222" s="11"/>
      <c r="F222" s="12">
        <f t="shared" si="2"/>
        <v>276141516.06000006</v>
      </c>
      <c r="G222" s="15">
        <v>30</v>
      </c>
    </row>
    <row r="223" spans="1:7" x14ac:dyDescent="0.2">
      <c r="A223" s="21">
        <v>45615</v>
      </c>
      <c r="B223" s="8" t="s">
        <v>16</v>
      </c>
      <c r="C223" s="9">
        <v>337558</v>
      </c>
      <c r="D223" s="10">
        <v>16885.439999999999</v>
      </c>
      <c r="E223" s="11"/>
      <c r="F223" s="12">
        <f t="shared" si="2"/>
        <v>276124630.62000006</v>
      </c>
      <c r="G223" s="15">
        <v>31</v>
      </c>
    </row>
    <row r="224" spans="1:7" x14ac:dyDescent="0.2">
      <c r="A224" s="21">
        <v>45615</v>
      </c>
      <c r="B224" s="8" t="s">
        <v>16</v>
      </c>
      <c r="C224" s="9">
        <v>580568</v>
      </c>
      <c r="D224" s="10">
        <v>1739705.66</v>
      </c>
      <c r="E224" s="11"/>
      <c r="F224" s="12">
        <f t="shared" si="2"/>
        <v>274384924.96000004</v>
      </c>
      <c r="G224" s="15">
        <v>32</v>
      </c>
    </row>
    <row r="225" spans="1:7" x14ac:dyDescent="0.2">
      <c r="A225" s="21">
        <v>45615</v>
      </c>
      <c r="B225" s="8" t="s">
        <v>16</v>
      </c>
      <c r="C225" s="9">
        <v>580569</v>
      </c>
      <c r="D225" s="10">
        <v>5790326.6399999997</v>
      </c>
      <c r="E225" s="11"/>
      <c r="F225" s="12">
        <f t="shared" si="2"/>
        <v>268594598.32000005</v>
      </c>
      <c r="G225" s="15">
        <v>33</v>
      </c>
    </row>
    <row r="226" spans="1:7" x14ac:dyDescent="0.2">
      <c r="A226" s="21">
        <v>45615</v>
      </c>
      <c r="B226" s="8" t="s">
        <v>9</v>
      </c>
      <c r="C226" s="9">
        <v>49894</v>
      </c>
      <c r="D226" s="10">
        <v>956</v>
      </c>
      <c r="E226" s="11"/>
      <c r="F226" s="12">
        <f t="shared" si="2"/>
        <v>268593642.32000005</v>
      </c>
      <c r="G226" s="15">
        <v>34</v>
      </c>
    </row>
    <row r="227" spans="1:7" x14ac:dyDescent="0.2">
      <c r="A227" s="21">
        <v>45615</v>
      </c>
      <c r="B227" s="8" t="s">
        <v>9</v>
      </c>
      <c r="C227" s="9">
        <v>49895</v>
      </c>
      <c r="D227" s="10">
        <v>956</v>
      </c>
      <c r="E227" s="11"/>
      <c r="F227" s="12">
        <f t="shared" si="2"/>
        <v>268592686.32000005</v>
      </c>
      <c r="G227" s="15">
        <v>35</v>
      </c>
    </row>
    <row r="228" spans="1:7" x14ac:dyDescent="0.2">
      <c r="A228" s="21">
        <v>45615</v>
      </c>
      <c r="B228" s="8" t="s">
        <v>9</v>
      </c>
      <c r="C228" s="9">
        <v>49896</v>
      </c>
      <c r="D228" s="10">
        <v>956</v>
      </c>
      <c r="E228" s="11"/>
      <c r="F228" s="12">
        <f t="shared" si="2"/>
        <v>268591730.32000005</v>
      </c>
      <c r="G228" s="15">
        <v>36</v>
      </c>
    </row>
    <row r="229" spans="1:7" x14ac:dyDescent="0.2">
      <c r="A229" s="21">
        <v>45615</v>
      </c>
      <c r="B229" s="8" t="s">
        <v>9</v>
      </c>
      <c r="C229" s="9">
        <v>49897</v>
      </c>
      <c r="D229" s="10">
        <v>956</v>
      </c>
      <c r="E229" s="11"/>
      <c r="F229" s="12">
        <f t="shared" si="2"/>
        <v>268590774.32000005</v>
      </c>
      <c r="G229" s="15">
        <v>37</v>
      </c>
    </row>
    <row r="230" spans="1:7" x14ac:dyDescent="0.2">
      <c r="A230" s="21">
        <v>45615</v>
      </c>
      <c r="B230" s="8" t="s">
        <v>9</v>
      </c>
      <c r="C230" s="9">
        <v>49898</v>
      </c>
      <c r="D230" s="10">
        <v>956</v>
      </c>
      <c r="E230" s="11"/>
      <c r="F230" s="12">
        <f t="shared" si="2"/>
        <v>268589818.32000005</v>
      </c>
      <c r="G230" s="15">
        <v>38</v>
      </c>
    </row>
    <row r="231" spans="1:7" x14ac:dyDescent="0.2">
      <c r="A231" s="21">
        <v>45615</v>
      </c>
      <c r="B231" s="8" t="s">
        <v>9</v>
      </c>
      <c r="C231" s="9">
        <v>49899</v>
      </c>
      <c r="D231" s="10">
        <v>956</v>
      </c>
      <c r="E231" s="11"/>
      <c r="F231" s="12">
        <f t="shared" si="2"/>
        <v>268588862.32000005</v>
      </c>
      <c r="G231" s="15">
        <v>39</v>
      </c>
    </row>
    <row r="232" spans="1:7" x14ac:dyDescent="0.2">
      <c r="A232" s="21">
        <v>45615</v>
      </c>
      <c r="B232" s="8" t="s">
        <v>15</v>
      </c>
      <c r="C232" s="9">
        <v>49900</v>
      </c>
      <c r="D232" s="10">
        <v>1204.56</v>
      </c>
      <c r="E232" s="11"/>
      <c r="F232" s="12">
        <f t="shared" si="2"/>
        <v>268587657.76000005</v>
      </c>
      <c r="G232" s="15">
        <v>40</v>
      </c>
    </row>
    <row r="233" spans="1:7" x14ac:dyDescent="0.2">
      <c r="A233" s="21">
        <v>45615</v>
      </c>
      <c r="B233" s="8" t="s">
        <v>18</v>
      </c>
      <c r="C233" s="9">
        <v>49900</v>
      </c>
      <c r="D233" s="10">
        <v>172.08</v>
      </c>
      <c r="E233" s="11"/>
      <c r="F233" s="12">
        <f t="shared" si="2"/>
        <v>268587485.68000007</v>
      </c>
      <c r="G233" s="15">
        <v>41</v>
      </c>
    </row>
    <row r="234" spans="1:7" x14ac:dyDescent="0.2">
      <c r="A234" s="36">
        <v>45615</v>
      </c>
      <c r="B234" s="8" t="s">
        <v>12</v>
      </c>
      <c r="C234" s="9">
        <v>404854</v>
      </c>
      <c r="D234" s="10">
        <v>38265.980000000003</v>
      </c>
      <c r="F234" s="12">
        <f t="shared" si="2"/>
        <v>268549219.70000005</v>
      </c>
      <c r="G234" s="15">
        <v>42</v>
      </c>
    </row>
    <row r="235" spans="1:7" x14ac:dyDescent="0.2">
      <c r="A235" s="36">
        <v>45615</v>
      </c>
      <c r="B235" s="8" t="s">
        <v>12</v>
      </c>
      <c r="C235" s="9">
        <v>337557</v>
      </c>
      <c r="D235" s="10">
        <v>18420.41</v>
      </c>
      <c r="F235" s="12">
        <f t="shared" si="2"/>
        <v>268530799.29000002</v>
      </c>
      <c r="G235" s="15">
        <v>43</v>
      </c>
    </row>
    <row r="236" spans="1:7" x14ac:dyDescent="0.2">
      <c r="A236" s="36">
        <v>45615</v>
      </c>
      <c r="B236" s="8" t="s">
        <v>12</v>
      </c>
      <c r="C236" s="9">
        <v>337558</v>
      </c>
      <c r="D236" s="10">
        <v>101.31</v>
      </c>
      <c r="F236" s="12">
        <f t="shared" si="2"/>
        <v>268530697.98000002</v>
      </c>
      <c r="G236" s="15">
        <v>44</v>
      </c>
    </row>
    <row r="237" spans="1:7" x14ac:dyDescent="0.2">
      <c r="A237" s="36">
        <v>45615</v>
      </c>
      <c r="B237" s="8" t="s">
        <v>12</v>
      </c>
      <c r="C237" s="9">
        <v>580568</v>
      </c>
      <c r="D237" s="10">
        <v>10438.23</v>
      </c>
      <c r="F237" s="12">
        <f t="shared" si="2"/>
        <v>268520259.75</v>
      </c>
      <c r="G237" s="15">
        <v>45</v>
      </c>
    </row>
    <row r="238" spans="1:7" x14ac:dyDescent="0.2">
      <c r="A238" s="36">
        <v>45615</v>
      </c>
      <c r="B238" s="8" t="s">
        <v>12</v>
      </c>
      <c r="C238" s="9">
        <v>580569</v>
      </c>
      <c r="D238" s="10">
        <v>34741.96</v>
      </c>
      <c r="F238" s="12">
        <f t="shared" si="2"/>
        <v>268485517.79000002</v>
      </c>
      <c r="G238" s="15">
        <v>46</v>
      </c>
    </row>
    <row r="239" spans="1:7" x14ac:dyDescent="0.2">
      <c r="A239" s="36">
        <v>45615</v>
      </c>
      <c r="B239" s="8" t="s">
        <v>12</v>
      </c>
      <c r="C239" s="9">
        <v>49894</v>
      </c>
      <c r="D239" s="10">
        <v>5.74</v>
      </c>
      <c r="F239" s="12">
        <f t="shared" si="2"/>
        <v>268485512.05000001</v>
      </c>
      <c r="G239" s="15">
        <v>47</v>
      </c>
    </row>
    <row r="240" spans="1:7" x14ac:dyDescent="0.2">
      <c r="A240" s="36">
        <v>45615</v>
      </c>
      <c r="B240" s="8" t="s">
        <v>12</v>
      </c>
      <c r="C240" s="9">
        <v>49895</v>
      </c>
      <c r="D240" s="10">
        <v>5.74</v>
      </c>
      <c r="F240" s="12">
        <f t="shared" si="2"/>
        <v>268485506.31</v>
      </c>
      <c r="G240" s="15">
        <v>48</v>
      </c>
    </row>
    <row r="241" spans="1:7" x14ac:dyDescent="0.2">
      <c r="A241" s="36">
        <v>45615</v>
      </c>
      <c r="B241" s="8" t="s">
        <v>12</v>
      </c>
      <c r="C241" s="9">
        <v>49896</v>
      </c>
      <c r="D241" s="10">
        <v>5.74</v>
      </c>
      <c r="F241" s="12">
        <f t="shared" si="2"/>
        <v>268485500.56999999</v>
      </c>
      <c r="G241" s="15">
        <v>49</v>
      </c>
    </row>
    <row r="242" spans="1:7" x14ac:dyDescent="0.2">
      <c r="A242" s="36">
        <v>45615</v>
      </c>
      <c r="B242" s="8" t="s">
        <v>12</v>
      </c>
      <c r="C242" s="9">
        <v>49897</v>
      </c>
      <c r="D242" s="10">
        <v>5.74</v>
      </c>
      <c r="F242" s="12">
        <f t="shared" si="2"/>
        <v>268485494.82999998</v>
      </c>
      <c r="G242" s="15">
        <v>50</v>
      </c>
    </row>
    <row r="243" spans="1:7" x14ac:dyDescent="0.2">
      <c r="A243" s="36">
        <v>45615</v>
      </c>
      <c r="B243" s="8" t="s">
        <v>12</v>
      </c>
      <c r="C243" s="9">
        <v>49898</v>
      </c>
      <c r="D243" s="10">
        <v>5.74</v>
      </c>
      <c r="F243" s="12">
        <f t="shared" si="2"/>
        <v>268485489.08999997</v>
      </c>
      <c r="G243" s="15">
        <v>51</v>
      </c>
    </row>
    <row r="244" spans="1:7" x14ac:dyDescent="0.2">
      <c r="A244" s="36">
        <v>45615</v>
      </c>
      <c r="B244" s="8" t="s">
        <v>12</v>
      </c>
      <c r="C244" s="9">
        <v>49899</v>
      </c>
      <c r="D244" s="10">
        <v>5.74</v>
      </c>
      <c r="F244" s="12">
        <f t="shared" si="2"/>
        <v>268485483.34999996</v>
      </c>
      <c r="G244" s="15">
        <v>52</v>
      </c>
    </row>
    <row r="245" spans="1:7" x14ac:dyDescent="0.2">
      <c r="A245" s="36">
        <v>45615</v>
      </c>
      <c r="B245" s="8" t="s">
        <v>12</v>
      </c>
      <c r="C245" s="9">
        <v>49900</v>
      </c>
      <c r="D245" s="10">
        <v>7.23</v>
      </c>
      <c r="F245" s="12">
        <f t="shared" si="2"/>
        <v>268485476.11999995</v>
      </c>
      <c r="G245" s="15">
        <v>53</v>
      </c>
    </row>
    <row r="246" spans="1:7" x14ac:dyDescent="0.2">
      <c r="A246" s="36">
        <v>45615</v>
      </c>
      <c r="B246" s="8" t="s">
        <v>12</v>
      </c>
      <c r="C246" s="9">
        <v>49900</v>
      </c>
      <c r="D246" s="10">
        <v>1.03</v>
      </c>
      <c r="F246" s="12">
        <f t="shared" si="2"/>
        <v>268485475.08999997</v>
      </c>
      <c r="G246" s="15">
        <v>54</v>
      </c>
    </row>
    <row r="247" spans="1:7" x14ac:dyDescent="0.2">
      <c r="A247" s="36">
        <v>45616</v>
      </c>
      <c r="B247" s="8" t="s">
        <v>16</v>
      </c>
      <c r="C247" s="9">
        <v>407889</v>
      </c>
      <c r="D247" s="10">
        <v>3961796.93</v>
      </c>
      <c r="F247" s="12">
        <f t="shared" si="2"/>
        <v>264523678.15999997</v>
      </c>
      <c r="G247" s="15">
        <v>55</v>
      </c>
    </row>
    <row r="248" spans="1:7" x14ac:dyDescent="0.2">
      <c r="A248" s="36">
        <v>45616</v>
      </c>
      <c r="B248" s="8" t="s">
        <v>12</v>
      </c>
      <c r="C248" s="9">
        <v>407889</v>
      </c>
      <c r="D248" s="10">
        <v>23770.78</v>
      </c>
      <c r="F248" s="12">
        <f t="shared" si="2"/>
        <v>264499907.37999997</v>
      </c>
      <c r="G248" s="15">
        <v>56</v>
      </c>
    </row>
    <row r="249" spans="1:7" x14ac:dyDescent="0.2">
      <c r="A249" s="36">
        <v>45618</v>
      </c>
      <c r="B249" s="8" t="s">
        <v>11</v>
      </c>
      <c r="C249" s="9">
        <v>49954</v>
      </c>
      <c r="D249" s="10">
        <v>5000</v>
      </c>
      <c r="F249" s="12">
        <f t="shared" si="2"/>
        <v>264494907.37999997</v>
      </c>
      <c r="G249" s="15">
        <v>57</v>
      </c>
    </row>
    <row r="250" spans="1:7" x14ac:dyDescent="0.2">
      <c r="A250" s="36">
        <v>45622</v>
      </c>
      <c r="B250" s="8" t="s">
        <v>11</v>
      </c>
      <c r="C250" s="9">
        <v>49960</v>
      </c>
      <c r="D250" s="10">
        <v>20000000</v>
      </c>
      <c r="F250" s="12">
        <f t="shared" si="2"/>
        <v>244494907.37999997</v>
      </c>
      <c r="G250" s="15">
        <v>58</v>
      </c>
    </row>
    <row r="251" spans="1:7" x14ac:dyDescent="0.2">
      <c r="A251" s="36">
        <v>45622</v>
      </c>
      <c r="B251" s="8" t="s">
        <v>11</v>
      </c>
      <c r="C251" s="9">
        <v>49961</v>
      </c>
      <c r="D251" s="10">
        <v>20000000</v>
      </c>
      <c r="F251" s="12">
        <f t="shared" si="2"/>
        <v>224494907.37999997</v>
      </c>
      <c r="G251" s="15">
        <v>59</v>
      </c>
    </row>
    <row r="252" spans="1:7" x14ac:dyDescent="0.2">
      <c r="A252" s="36">
        <v>45622</v>
      </c>
      <c r="B252" s="8" t="s">
        <v>11</v>
      </c>
      <c r="C252" s="9">
        <v>49962</v>
      </c>
      <c r="D252" s="10">
        <v>20000000</v>
      </c>
      <c r="F252" s="12">
        <f t="shared" si="2"/>
        <v>204494907.37999997</v>
      </c>
      <c r="G252" s="15">
        <v>60</v>
      </c>
    </row>
    <row r="253" spans="1:7" x14ac:dyDescent="0.2">
      <c r="A253" s="36">
        <v>45622</v>
      </c>
      <c r="B253" s="8" t="s">
        <v>11</v>
      </c>
      <c r="C253" s="9">
        <v>49963</v>
      </c>
      <c r="D253" s="10">
        <v>20000000</v>
      </c>
      <c r="F253" s="12">
        <f t="shared" si="2"/>
        <v>184494907.37999997</v>
      </c>
      <c r="G253" s="15">
        <v>61</v>
      </c>
    </row>
    <row r="254" spans="1:7" x14ac:dyDescent="0.2">
      <c r="A254" s="36">
        <v>45622</v>
      </c>
      <c r="B254" s="8" t="s">
        <v>11</v>
      </c>
      <c r="C254" s="9">
        <v>49964</v>
      </c>
      <c r="D254" s="10">
        <v>20000000</v>
      </c>
      <c r="F254" s="12">
        <f t="shared" si="2"/>
        <v>164494907.37999997</v>
      </c>
      <c r="G254" s="15">
        <v>62</v>
      </c>
    </row>
    <row r="255" spans="1:7" x14ac:dyDescent="0.2">
      <c r="A255" s="36">
        <v>45623</v>
      </c>
      <c r="B255" s="8" t="s">
        <v>9</v>
      </c>
      <c r="C255" s="9">
        <v>49965</v>
      </c>
      <c r="D255" s="10">
        <v>956</v>
      </c>
      <c r="F255" s="12">
        <f t="shared" si="2"/>
        <v>164493951.37999997</v>
      </c>
      <c r="G255" s="15">
        <v>63</v>
      </c>
    </row>
    <row r="256" spans="1:7" x14ac:dyDescent="0.2">
      <c r="A256" s="36">
        <v>45623</v>
      </c>
      <c r="B256" s="8" t="s">
        <v>9</v>
      </c>
      <c r="C256" s="9">
        <v>49966</v>
      </c>
      <c r="D256" s="10">
        <v>956</v>
      </c>
      <c r="F256" s="12">
        <f t="shared" si="2"/>
        <v>164492995.37999997</v>
      </c>
      <c r="G256" s="15">
        <v>64</v>
      </c>
    </row>
    <row r="257" spans="1:7" x14ac:dyDescent="0.2">
      <c r="A257" s="36">
        <v>45623</v>
      </c>
      <c r="B257" s="8" t="s">
        <v>9</v>
      </c>
      <c r="C257" s="9">
        <v>49967</v>
      </c>
      <c r="D257" s="10">
        <v>956</v>
      </c>
      <c r="F257" s="12">
        <f t="shared" si="2"/>
        <v>164492039.37999997</v>
      </c>
      <c r="G257" s="15">
        <v>65</v>
      </c>
    </row>
    <row r="258" spans="1:7" x14ac:dyDescent="0.2">
      <c r="A258" s="36">
        <v>45623</v>
      </c>
      <c r="B258" s="8" t="s">
        <v>9</v>
      </c>
      <c r="C258" s="9">
        <v>49968</v>
      </c>
      <c r="D258" s="10">
        <v>956</v>
      </c>
      <c r="F258" s="12">
        <f t="shared" ref="F258:F281" si="3">+F257+E258-D258</f>
        <v>164491083.37999997</v>
      </c>
      <c r="G258" s="15">
        <v>66</v>
      </c>
    </row>
    <row r="259" spans="1:7" x14ac:dyDescent="0.2">
      <c r="A259" s="36">
        <v>45623</v>
      </c>
      <c r="B259" s="8" t="s">
        <v>9</v>
      </c>
      <c r="C259" s="9">
        <v>49969</v>
      </c>
      <c r="D259" s="10">
        <v>956</v>
      </c>
      <c r="F259" s="12">
        <f t="shared" si="3"/>
        <v>164490127.37999997</v>
      </c>
      <c r="G259" s="15">
        <v>67</v>
      </c>
    </row>
    <row r="260" spans="1:7" x14ac:dyDescent="0.2">
      <c r="A260" s="36">
        <v>45623</v>
      </c>
      <c r="B260" s="8" t="s">
        <v>15</v>
      </c>
      <c r="C260" s="9">
        <v>49970</v>
      </c>
      <c r="D260" s="10">
        <v>1003.8</v>
      </c>
      <c r="F260" s="12">
        <f t="shared" si="3"/>
        <v>164489123.57999995</v>
      </c>
      <c r="G260" s="15">
        <v>68</v>
      </c>
    </row>
    <row r="261" spans="1:7" x14ac:dyDescent="0.2">
      <c r="A261" s="36">
        <v>45623</v>
      </c>
      <c r="B261" s="8" t="s">
        <v>18</v>
      </c>
      <c r="C261" s="9">
        <v>49970</v>
      </c>
      <c r="D261" s="10">
        <v>143.4</v>
      </c>
      <c r="F261" s="12">
        <f t="shared" si="3"/>
        <v>164488980.17999995</v>
      </c>
      <c r="G261" s="15">
        <v>69</v>
      </c>
    </row>
    <row r="262" spans="1:7" x14ac:dyDescent="0.2">
      <c r="A262" s="36">
        <v>45623</v>
      </c>
      <c r="B262" s="8" t="s">
        <v>12</v>
      </c>
      <c r="C262" s="9">
        <v>49965</v>
      </c>
      <c r="D262" s="10">
        <v>5.74</v>
      </c>
      <c r="F262" s="12">
        <f t="shared" si="3"/>
        <v>164488974.43999994</v>
      </c>
      <c r="G262" s="15">
        <v>70</v>
      </c>
    </row>
    <row r="263" spans="1:7" x14ac:dyDescent="0.2">
      <c r="A263" s="36">
        <v>45623</v>
      </c>
      <c r="B263" s="8" t="s">
        <v>12</v>
      </c>
      <c r="C263" s="9">
        <v>49966</v>
      </c>
      <c r="D263" s="10">
        <v>5.74</v>
      </c>
      <c r="F263" s="12">
        <f t="shared" si="3"/>
        <v>164488968.69999993</v>
      </c>
      <c r="G263" s="15">
        <v>71</v>
      </c>
    </row>
    <row r="264" spans="1:7" x14ac:dyDescent="0.2">
      <c r="A264" s="36">
        <v>45623</v>
      </c>
      <c r="B264" s="8" t="s">
        <v>12</v>
      </c>
      <c r="C264" s="9">
        <v>49967</v>
      </c>
      <c r="D264" s="10">
        <v>5.74</v>
      </c>
      <c r="F264" s="12">
        <f t="shared" si="3"/>
        <v>164488962.95999992</v>
      </c>
      <c r="G264" s="15">
        <v>72</v>
      </c>
    </row>
    <row r="265" spans="1:7" x14ac:dyDescent="0.2">
      <c r="A265" s="36">
        <v>45623</v>
      </c>
      <c r="B265" s="8" t="s">
        <v>12</v>
      </c>
      <c r="C265" s="9">
        <v>49968</v>
      </c>
      <c r="D265" s="10">
        <v>5.74</v>
      </c>
      <c r="F265" s="12">
        <f t="shared" si="3"/>
        <v>164488957.21999991</v>
      </c>
      <c r="G265" s="15">
        <v>73</v>
      </c>
    </row>
    <row r="266" spans="1:7" x14ac:dyDescent="0.2">
      <c r="A266" s="36">
        <v>45623</v>
      </c>
      <c r="B266" s="8" t="s">
        <v>12</v>
      </c>
      <c r="C266" s="9">
        <v>49969</v>
      </c>
      <c r="D266" s="10">
        <v>5.74</v>
      </c>
      <c r="F266" s="12">
        <f t="shared" si="3"/>
        <v>164488951.4799999</v>
      </c>
      <c r="G266" s="15">
        <v>74</v>
      </c>
    </row>
    <row r="267" spans="1:7" x14ac:dyDescent="0.2">
      <c r="A267" s="36">
        <v>45623</v>
      </c>
      <c r="B267" s="8" t="s">
        <v>12</v>
      </c>
      <c r="C267" s="9">
        <v>49970</v>
      </c>
      <c r="D267" s="10">
        <v>6.02</v>
      </c>
      <c r="F267" s="12">
        <f t="shared" si="3"/>
        <v>164488945.45999989</v>
      </c>
      <c r="G267" s="15">
        <v>75</v>
      </c>
    </row>
    <row r="268" spans="1:7" x14ac:dyDescent="0.2">
      <c r="A268" s="36">
        <v>45623</v>
      </c>
      <c r="B268" s="8" t="s">
        <v>12</v>
      </c>
      <c r="C268" s="9">
        <v>49970</v>
      </c>
      <c r="D268" s="10">
        <v>0.86</v>
      </c>
      <c r="F268" s="12">
        <f t="shared" si="3"/>
        <v>164488944.59999987</v>
      </c>
      <c r="G268" s="15">
        <v>76</v>
      </c>
    </row>
    <row r="269" spans="1:7" x14ac:dyDescent="0.2">
      <c r="A269" s="36">
        <v>45625</v>
      </c>
      <c r="B269" s="8" t="s">
        <v>11</v>
      </c>
      <c r="C269" s="9">
        <v>49987</v>
      </c>
      <c r="D269" s="10">
        <v>20000000</v>
      </c>
      <c r="F269" s="12">
        <f t="shared" si="3"/>
        <v>144488944.59999987</v>
      </c>
      <c r="G269" s="15">
        <v>77</v>
      </c>
    </row>
    <row r="270" spans="1:7" x14ac:dyDescent="0.2">
      <c r="A270" s="36">
        <v>45625</v>
      </c>
      <c r="B270" s="8" t="s">
        <v>11</v>
      </c>
      <c r="C270" s="9">
        <v>49988</v>
      </c>
      <c r="D270" s="10">
        <v>20000000</v>
      </c>
      <c r="F270" s="12">
        <f t="shared" si="3"/>
        <v>124488944.59999987</v>
      </c>
      <c r="G270" s="15">
        <v>78</v>
      </c>
    </row>
    <row r="271" spans="1:7" x14ac:dyDescent="0.2">
      <c r="A271" s="36">
        <v>45625</v>
      </c>
      <c r="B271" s="8" t="s">
        <v>11</v>
      </c>
      <c r="C271" s="9">
        <v>49990</v>
      </c>
      <c r="D271" s="10">
        <v>20000000</v>
      </c>
      <c r="F271" s="12">
        <f t="shared" si="3"/>
        <v>104488944.59999987</v>
      </c>
      <c r="G271" s="15">
        <v>79</v>
      </c>
    </row>
    <row r="272" spans="1:7" x14ac:dyDescent="0.2">
      <c r="A272" s="36">
        <v>45625</v>
      </c>
      <c r="B272" s="8" t="s">
        <v>10</v>
      </c>
      <c r="C272" s="9">
        <v>49991</v>
      </c>
      <c r="D272" s="10">
        <v>3000000</v>
      </c>
      <c r="F272" s="12">
        <f t="shared" si="3"/>
        <v>101488944.59999987</v>
      </c>
      <c r="G272" s="15">
        <v>80</v>
      </c>
    </row>
    <row r="273" spans="1:7" x14ac:dyDescent="0.2">
      <c r="A273" s="36">
        <v>45625</v>
      </c>
      <c r="B273" s="8" t="s">
        <v>8</v>
      </c>
      <c r="C273" s="9">
        <v>49992</v>
      </c>
      <c r="D273" s="10">
        <v>23400</v>
      </c>
      <c r="F273" s="12">
        <f t="shared" si="3"/>
        <v>101465544.59999987</v>
      </c>
      <c r="G273" s="15">
        <v>81</v>
      </c>
    </row>
    <row r="274" spans="1:7" x14ac:dyDescent="0.2">
      <c r="A274" s="36">
        <v>45625</v>
      </c>
      <c r="B274" s="8" t="s">
        <v>15</v>
      </c>
      <c r="C274" s="9">
        <v>49993</v>
      </c>
      <c r="D274" s="10">
        <v>4914</v>
      </c>
      <c r="F274" s="12">
        <f t="shared" si="3"/>
        <v>101460630.59999987</v>
      </c>
      <c r="G274" s="15">
        <v>82</v>
      </c>
    </row>
    <row r="275" spans="1:7" x14ac:dyDescent="0.2">
      <c r="A275" s="36">
        <v>45625</v>
      </c>
      <c r="B275" s="8" t="s">
        <v>18</v>
      </c>
      <c r="C275" s="9">
        <v>49993</v>
      </c>
      <c r="D275" s="10">
        <v>702</v>
      </c>
      <c r="F275" s="12">
        <f t="shared" si="3"/>
        <v>101459928.59999987</v>
      </c>
      <c r="G275" s="15">
        <v>83</v>
      </c>
    </row>
    <row r="276" spans="1:7" x14ac:dyDescent="0.2">
      <c r="A276" s="36">
        <v>45625</v>
      </c>
      <c r="B276" s="8" t="s">
        <v>12</v>
      </c>
      <c r="C276" s="9">
        <v>49991</v>
      </c>
      <c r="D276" s="10">
        <v>18000</v>
      </c>
      <c r="F276" s="12">
        <f t="shared" si="3"/>
        <v>101441928.59999987</v>
      </c>
      <c r="G276" s="15">
        <v>84</v>
      </c>
    </row>
    <row r="277" spans="1:7" x14ac:dyDescent="0.2">
      <c r="A277" s="36">
        <v>45625</v>
      </c>
      <c r="B277" s="8" t="s">
        <v>12</v>
      </c>
      <c r="C277" s="9">
        <v>49992</v>
      </c>
      <c r="D277" s="10">
        <v>140.4</v>
      </c>
      <c r="F277" s="12">
        <f t="shared" si="3"/>
        <v>101441788.19999987</v>
      </c>
      <c r="G277" s="15">
        <v>85</v>
      </c>
    </row>
    <row r="278" spans="1:7" x14ac:dyDescent="0.2">
      <c r="A278" s="36">
        <v>45625</v>
      </c>
      <c r="B278" s="8" t="s">
        <v>13</v>
      </c>
      <c r="C278" s="9">
        <v>49992</v>
      </c>
      <c r="D278" s="10">
        <v>351</v>
      </c>
      <c r="F278" s="12">
        <f t="shared" si="3"/>
        <v>101441437.19999987</v>
      </c>
      <c r="G278" s="15">
        <v>86</v>
      </c>
    </row>
    <row r="279" spans="1:7" x14ac:dyDescent="0.2">
      <c r="A279" s="36">
        <v>45625</v>
      </c>
      <c r="B279" s="8" t="s">
        <v>12</v>
      </c>
      <c r="C279" s="9">
        <v>49993</v>
      </c>
      <c r="D279" s="10">
        <v>29.48</v>
      </c>
      <c r="F279" s="12">
        <f t="shared" si="3"/>
        <v>101441407.71999986</v>
      </c>
      <c r="G279" s="15">
        <v>87</v>
      </c>
    </row>
    <row r="280" spans="1:7" x14ac:dyDescent="0.2">
      <c r="A280" s="36">
        <v>45625</v>
      </c>
      <c r="B280" s="8" t="s">
        <v>12</v>
      </c>
      <c r="C280" s="9">
        <v>49993</v>
      </c>
      <c r="D280" s="10">
        <v>4.21</v>
      </c>
      <c r="F280" s="12">
        <f t="shared" si="3"/>
        <v>101441403.50999987</v>
      </c>
      <c r="G280" s="15">
        <v>88</v>
      </c>
    </row>
    <row r="281" spans="1:7" x14ac:dyDescent="0.2">
      <c r="A281" s="36">
        <v>45625</v>
      </c>
      <c r="B281" s="8" t="s">
        <v>12</v>
      </c>
      <c r="C281" s="9">
        <v>49992</v>
      </c>
      <c r="D281" s="10">
        <v>2.11</v>
      </c>
      <c r="F281" s="12">
        <f t="shared" si="3"/>
        <v>101441401.39999987</v>
      </c>
      <c r="G281" s="15">
        <v>89</v>
      </c>
    </row>
    <row r="283" spans="1:7" x14ac:dyDescent="0.2">
      <c r="A283" s="40" t="s">
        <v>0</v>
      </c>
      <c r="B283" s="27" t="s">
        <v>1</v>
      </c>
      <c r="C283" s="27" t="s">
        <v>2</v>
      </c>
      <c r="D283" s="42" t="s">
        <v>3</v>
      </c>
      <c r="E283" s="42" t="s">
        <v>4</v>
      </c>
      <c r="F283" s="42" t="s">
        <v>5</v>
      </c>
      <c r="G283" s="19"/>
    </row>
    <row r="284" spans="1:7" x14ac:dyDescent="0.2">
      <c r="A284" s="39"/>
      <c r="B284" s="28" t="s">
        <v>6</v>
      </c>
      <c r="C284" s="25"/>
      <c r="D284" s="26"/>
      <c r="E284" s="26"/>
      <c r="F284" s="7">
        <v>101441401.40000001</v>
      </c>
      <c r="G284" s="13">
        <v>1</v>
      </c>
    </row>
    <row r="285" spans="1:7" x14ac:dyDescent="0.2">
      <c r="A285" s="21">
        <v>45628</v>
      </c>
      <c r="B285" s="29" t="s">
        <v>9</v>
      </c>
      <c r="C285" s="9">
        <v>50004</v>
      </c>
      <c r="D285" s="10">
        <v>956</v>
      </c>
      <c r="E285" s="11"/>
      <c r="F285" s="12">
        <f t="shared" ref="F285:F348" si="4">+F284+E285-D285</f>
        <v>101440445.40000001</v>
      </c>
      <c r="G285" s="13">
        <v>2</v>
      </c>
    </row>
    <row r="286" spans="1:7" x14ac:dyDescent="0.2">
      <c r="A286" s="21">
        <v>45628</v>
      </c>
      <c r="B286" s="29" t="s">
        <v>9</v>
      </c>
      <c r="C286" s="9">
        <v>50005</v>
      </c>
      <c r="D286" s="10">
        <v>956</v>
      </c>
      <c r="E286" s="11"/>
      <c r="F286" s="12">
        <f t="shared" si="4"/>
        <v>101439489.40000001</v>
      </c>
      <c r="G286" s="13">
        <v>3</v>
      </c>
    </row>
    <row r="287" spans="1:7" x14ac:dyDescent="0.2">
      <c r="A287" s="21">
        <v>45628</v>
      </c>
      <c r="B287" s="29" t="s">
        <v>9</v>
      </c>
      <c r="C287" s="9">
        <v>50006</v>
      </c>
      <c r="D287" s="10">
        <v>956</v>
      </c>
      <c r="E287" s="11"/>
      <c r="F287" s="12">
        <f t="shared" si="4"/>
        <v>101438533.40000001</v>
      </c>
      <c r="G287" s="13">
        <v>4</v>
      </c>
    </row>
    <row r="288" spans="1:7" x14ac:dyDescent="0.2">
      <c r="A288" s="21">
        <v>45628</v>
      </c>
      <c r="B288" s="29" t="s">
        <v>9</v>
      </c>
      <c r="C288" s="9">
        <v>50007</v>
      </c>
      <c r="D288" s="10">
        <v>956</v>
      </c>
      <c r="E288" s="11"/>
      <c r="F288" s="12">
        <f t="shared" si="4"/>
        <v>101437577.40000001</v>
      </c>
      <c r="G288" s="13">
        <v>5</v>
      </c>
    </row>
    <row r="289" spans="1:7" x14ac:dyDescent="0.2">
      <c r="A289" s="21">
        <v>45628</v>
      </c>
      <c r="B289" s="29" t="s">
        <v>15</v>
      </c>
      <c r="C289" s="9">
        <v>50008</v>
      </c>
      <c r="D289" s="10">
        <v>803.04</v>
      </c>
      <c r="E289" s="11"/>
      <c r="F289" s="12">
        <f t="shared" si="4"/>
        <v>101436774.36</v>
      </c>
      <c r="G289" s="13">
        <v>6</v>
      </c>
    </row>
    <row r="290" spans="1:7" x14ac:dyDescent="0.2">
      <c r="A290" s="21">
        <v>45628</v>
      </c>
      <c r="B290" s="29" t="s">
        <v>18</v>
      </c>
      <c r="C290" s="9">
        <v>50008</v>
      </c>
      <c r="D290" s="10">
        <v>114.72</v>
      </c>
      <c r="E290" s="11"/>
      <c r="F290" s="12">
        <f t="shared" si="4"/>
        <v>101436659.64</v>
      </c>
      <c r="G290" s="13">
        <v>7</v>
      </c>
    </row>
    <row r="291" spans="1:7" x14ac:dyDescent="0.2">
      <c r="A291" s="21">
        <v>45628</v>
      </c>
      <c r="B291" s="29" t="s">
        <v>12</v>
      </c>
      <c r="C291" s="9">
        <v>50004</v>
      </c>
      <c r="D291" s="10">
        <v>5.74</v>
      </c>
      <c r="E291" s="11"/>
      <c r="F291" s="12">
        <f t="shared" si="4"/>
        <v>101436653.90000001</v>
      </c>
      <c r="G291" s="13">
        <v>8</v>
      </c>
    </row>
    <row r="292" spans="1:7" x14ac:dyDescent="0.2">
      <c r="A292" s="21">
        <v>45628</v>
      </c>
      <c r="B292" s="29" t="s">
        <v>12</v>
      </c>
      <c r="C292" s="9">
        <v>50005</v>
      </c>
      <c r="D292" s="10">
        <v>5.74</v>
      </c>
      <c r="E292" s="11"/>
      <c r="F292" s="12">
        <f t="shared" si="4"/>
        <v>101436648.16000001</v>
      </c>
      <c r="G292" s="13">
        <v>9</v>
      </c>
    </row>
    <row r="293" spans="1:7" x14ac:dyDescent="0.2">
      <c r="A293" s="21">
        <v>45628</v>
      </c>
      <c r="B293" s="29" t="s">
        <v>12</v>
      </c>
      <c r="C293" s="9">
        <v>50006</v>
      </c>
      <c r="D293" s="10">
        <v>5.74</v>
      </c>
      <c r="E293" s="11"/>
      <c r="F293" s="12">
        <f t="shared" si="4"/>
        <v>101436642.42000002</v>
      </c>
      <c r="G293" s="13">
        <v>10</v>
      </c>
    </row>
    <row r="294" spans="1:7" x14ac:dyDescent="0.2">
      <c r="A294" s="21">
        <v>45628</v>
      </c>
      <c r="B294" s="29" t="s">
        <v>12</v>
      </c>
      <c r="C294" s="9">
        <v>50007</v>
      </c>
      <c r="D294" s="10">
        <v>5.74</v>
      </c>
      <c r="E294" s="11"/>
      <c r="F294" s="12">
        <f t="shared" si="4"/>
        <v>101436636.68000002</v>
      </c>
      <c r="G294" s="13">
        <v>11</v>
      </c>
    </row>
    <row r="295" spans="1:7" x14ac:dyDescent="0.2">
      <c r="A295" s="21">
        <v>45628</v>
      </c>
      <c r="B295" s="29" t="s">
        <v>12</v>
      </c>
      <c r="C295" s="9">
        <v>50008</v>
      </c>
      <c r="D295" s="10">
        <v>4.82</v>
      </c>
      <c r="E295" s="11"/>
      <c r="F295" s="12">
        <f t="shared" si="4"/>
        <v>101436631.86000003</v>
      </c>
      <c r="G295" s="13">
        <v>12</v>
      </c>
    </row>
    <row r="296" spans="1:7" x14ac:dyDescent="0.2">
      <c r="A296" s="21">
        <v>45628</v>
      </c>
      <c r="B296" s="29" t="s">
        <v>12</v>
      </c>
      <c r="C296" s="9">
        <v>50008</v>
      </c>
      <c r="D296" s="10">
        <v>0.69</v>
      </c>
      <c r="E296" s="11"/>
      <c r="F296" s="12">
        <f t="shared" si="4"/>
        <v>101436631.17000003</v>
      </c>
      <c r="G296" s="13">
        <v>13</v>
      </c>
    </row>
    <row r="297" spans="1:7" x14ac:dyDescent="0.2">
      <c r="A297" s="21">
        <v>45629</v>
      </c>
      <c r="B297" s="29" t="s">
        <v>11</v>
      </c>
      <c r="C297" s="9">
        <v>50019</v>
      </c>
      <c r="D297" s="10">
        <v>20000000</v>
      </c>
      <c r="E297" s="11"/>
      <c r="F297" s="12">
        <f t="shared" si="4"/>
        <v>81436631.170000032</v>
      </c>
      <c r="G297" s="13">
        <v>14</v>
      </c>
    </row>
    <row r="298" spans="1:7" x14ac:dyDescent="0.2">
      <c r="A298" s="21">
        <v>45629</v>
      </c>
      <c r="B298" s="29" t="s">
        <v>11</v>
      </c>
      <c r="C298" s="9">
        <v>50020</v>
      </c>
      <c r="D298" s="10">
        <v>20000000</v>
      </c>
      <c r="E298" s="11"/>
      <c r="F298" s="12">
        <f t="shared" si="4"/>
        <v>61436631.170000032</v>
      </c>
      <c r="G298" s="13">
        <v>15</v>
      </c>
    </row>
    <row r="299" spans="1:7" x14ac:dyDescent="0.2">
      <c r="A299" s="21">
        <v>45629</v>
      </c>
      <c r="B299" s="29" t="s">
        <v>11</v>
      </c>
      <c r="C299" s="9">
        <v>50021</v>
      </c>
      <c r="D299" s="10">
        <v>20000000</v>
      </c>
      <c r="E299" s="11"/>
      <c r="F299" s="12">
        <f t="shared" si="4"/>
        <v>41436631.170000032</v>
      </c>
      <c r="G299" s="13">
        <v>16</v>
      </c>
    </row>
    <row r="300" spans="1:7" x14ac:dyDescent="0.2">
      <c r="A300" s="21">
        <v>45629</v>
      </c>
      <c r="B300" s="29" t="s">
        <v>11</v>
      </c>
      <c r="C300" s="9">
        <v>50022</v>
      </c>
      <c r="D300" s="10">
        <v>20000000</v>
      </c>
      <c r="E300" s="11"/>
      <c r="F300" s="12">
        <f t="shared" si="4"/>
        <v>21436631.170000032</v>
      </c>
      <c r="G300" s="13">
        <v>17</v>
      </c>
    </row>
    <row r="301" spans="1:7" x14ac:dyDescent="0.2">
      <c r="A301" s="21">
        <v>45629</v>
      </c>
      <c r="B301" s="29" t="s">
        <v>11</v>
      </c>
      <c r="C301" s="9">
        <v>50023</v>
      </c>
      <c r="D301" s="10">
        <v>20000000</v>
      </c>
      <c r="E301" s="11"/>
      <c r="F301" s="12">
        <f t="shared" si="4"/>
        <v>1436631.1700000316</v>
      </c>
      <c r="G301" s="13">
        <v>18</v>
      </c>
    </row>
    <row r="302" spans="1:7" x14ac:dyDescent="0.2">
      <c r="A302" s="21">
        <v>45630</v>
      </c>
      <c r="B302" s="29" t="s">
        <v>9</v>
      </c>
      <c r="C302" s="9">
        <v>50046</v>
      </c>
      <c r="D302" s="10">
        <v>956</v>
      </c>
      <c r="E302" s="11"/>
      <c r="F302" s="12">
        <f t="shared" si="4"/>
        <v>1435675.1700000316</v>
      </c>
      <c r="G302" s="13">
        <v>19</v>
      </c>
    </row>
    <row r="303" spans="1:7" x14ac:dyDescent="0.2">
      <c r="A303" s="21">
        <v>45630</v>
      </c>
      <c r="B303" s="29" t="s">
        <v>9</v>
      </c>
      <c r="C303" s="9">
        <v>50047</v>
      </c>
      <c r="D303" s="10">
        <v>956</v>
      </c>
      <c r="E303" s="11"/>
      <c r="F303" s="12">
        <f t="shared" si="4"/>
        <v>1434719.1700000316</v>
      </c>
      <c r="G303" s="13">
        <v>20</v>
      </c>
    </row>
    <row r="304" spans="1:7" x14ac:dyDescent="0.2">
      <c r="A304" s="21">
        <v>45630</v>
      </c>
      <c r="B304" s="29" t="s">
        <v>9</v>
      </c>
      <c r="C304" s="9">
        <v>50048</v>
      </c>
      <c r="D304" s="10">
        <v>956</v>
      </c>
      <c r="E304" s="11"/>
      <c r="F304" s="12">
        <f t="shared" si="4"/>
        <v>1433763.1700000316</v>
      </c>
      <c r="G304" s="13">
        <v>21</v>
      </c>
    </row>
    <row r="305" spans="1:7" x14ac:dyDescent="0.2">
      <c r="A305" s="21">
        <v>45630</v>
      </c>
      <c r="B305" s="29" t="s">
        <v>9</v>
      </c>
      <c r="C305" s="9">
        <v>50049</v>
      </c>
      <c r="D305" s="10">
        <v>956</v>
      </c>
      <c r="E305" s="11"/>
      <c r="F305" s="12">
        <f t="shared" si="4"/>
        <v>1432807.1700000316</v>
      </c>
      <c r="G305" s="13">
        <v>22</v>
      </c>
    </row>
    <row r="306" spans="1:7" x14ac:dyDescent="0.2">
      <c r="A306" s="21">
        <v>45630</v>
      </c>
      <c r="B306" s="29" t="s">
        <v>9</v>
      </c>
      <c r="C306" s="9">
        <v>50050</v>
      </c>
      <c r="D306" s="10">
        <v>956</v>
      </c>
      <c r="E306" s="11"/>
      <c r="F306" s="12">
        <f t="shared" si="4"/>
        <v>1431851.1700000316</v>
      </c>
      <c r="G306" s="13">
        <v>23</v>
      </c>
    </row>
    <row r="307" spans="1:7" x14ac:dyDescent="0.2">
      <c r="A307" s="21">
        <v>45630</v>
      </c>
      <c r="B307" s="29" t="s">
        <v>15</v>
      </c>
      <c r="C307" s="9">
        <v>50051</v>
      </c>
      <c r="D307" s="10">
        <v>1003.8</v>
      </c>
      <c r="E307" s="11"/>
      <c r="F307" s="12">
        <f t="shared" si="4"/>
        <v>1430847.3700000315</v>
      </c>
      <c r="G307" s="13">
        <v>24</v>
      </c>
    </row>
    <row r="308" spans="1:7" x14ac:dyDescent="0.2">
      <c r="A308" s="21">
        <v>45630</v>
      </c>
      <c r="B308" s="29" t="s">
        <v>18</v>
      </c>
      <c r="C308" s="9">
        <v>50051</v>
      </c>
      <c r="D308" s="10">
        <v>143.4</v>
      </c>
      <c r="E308" s="11"/>
      <c r="F308" s="12">
        <f t="shared" si="4"/>
        <v>1430703.9700000316</v>
      </c>
      <c r="G308" s="13">
        <v>25</v>
      </c>
    </row>
    <row r="309" spans="1:7" x14ac:dyDescent="0.2">
      <c r="A309" s="21">
        <v>45630</v>
      </c>
      <c r="B309" s="29" t="s">
        <v>12</v>
      </c>
      <c r="C309" s="9">
        <v>50046</v>
      </c>
      <c r="D309" s="10">
        <v>5.74</v>
      </c>
      <c r="E309" s="11"/>
      <c r="F309" s="12">
        <f t="shared" si="4"/>
        <v>1430698.2300000316</v>
      </c>
      <c r="G309" s="13">
        <v>26</v>
      </c>
    </row>
    <row r="310" spans="1:7" x14ac:dyDescent="0.2">
      <c r="A310" s="21">
        <v>45630</v>
      </c>
      <c r="B310" s="29" t="s">
        <v>12</v>
      </c>
      <c r="C310" s="9">
        <v>50047</v>
      </c>
      <c r="D310" s="10">
        <v>5.74</v>
      </c>
      <c r="E310" s="11"/>
      <c r="F310" s="12">
        <f t="shared" si="4"/>
        <v>1430692.4900000317</v>
      </c>
      <c r="G310" s="13">
        <v>27</v>
      </c>
    </row>
    <row r="311" spans="1:7" x14ac:dyDescent="0.2">
      <c r="A311" s="21">
        <v>45630</v>
      </c>
      <c r="B311" s="29" t="s">
        <v>12</v>
      </c>
      <c r="C311" s="9">
        <v>50048</v>
      </c>
      <c r="D311" s="10">
        <v>5.74</v>
      </c>
      <c r="E311" s="11"/>
      <c r="F311" s="12">
        <f t="shared" si="4"/>
        <v>1430686.7500000317</v>
      </c>
      <c r="G311" s="13">
        <v>28</v>
      </c>
    </row>
    <row r="312" spans="1:7" x14ac:dyDescent="0.2">
      <c r="A312" s="21">
        <v>45630</v>
      </c>
      <c r="B312" s="29" t="s">
        <v>12</v>
      </c>
      <c r="C312" s="9">
        <v>50049</v>
      </c>
      <c r="D312" s="10">
        <v>5.74</v>
      </c>
      <c r="E312" s="11"/>
      <c r="F312" s="12">
        <f t="shared" si="4"/>
        <v>1430681.0100000317</v>
      </c>
      <c r="G312" s="13">
        <v>29</v>
      </c>
    </row>
    <row r="313" spans="1:7" x14ac:dyDescent="0.2">
      <c r="A313" s="21">
        <v>45630</v>
      </c>
      <c r="B313" s="29" t="s">
        <v>12</v>
      </c>
      <c r="C313" s="9">
        <v>50050</v>
      </c>
      <c r="D313" s="10">
        <v>5.74</v>
      </c>
      <c r="E313" s="11"/>
      <c r="F313" s="12">
        <f t="shared" si="4"/>
        <v>1430675.2700000317</v>
      </c>
      <c r="G313" s="13">
        <v>30</v>
      </c>
    </row>
    <row r="314" spans="1:7" x14ac:dyDescent="0.2">
      <c r="A314" s="21">
        <v>45630</v>
      </c>
      <c r="B314" s="29" t="s">
        <v>12</v>
      </c>
      <c r="C314" s="9">
        <v>50051</v>
      </c>
      <c r="D314" s="10">
        <v>6.02</v>
      </c>
      <c r="E314" s="11"/>
      <c r="F314" s="12">
        <f t="shared" si="4"/>
        <v>1430669.2500000317</v>
      </c>
      <c r="G314" s="13">
        <v>31</v>
      </c>
    </row>
    <row r="315" spans="1:7" x14ac:dyDescent="0.2">
      <c r="A315" s="21">
        <v>45630</v>
      </c>
      <c r="B315" s="29" t="s">
        <v>12</v>
      </c>
      <c r="C315" s="9">
        <v>50051</v>
      </c>
      <c r="D315" s="10">
        <v>0.86</v>
      </c>
      <c r="E315" s="11"/>
      <c r="F315" s="12">
        <f t="shared" si="4"/>
        <v>1430668.3900000316</v>
      </c>
      <c r="G315" s="13">
        <v>32</v>
      </c>
    </row>
    <row r="316" spans="1:7" x14ac:dyDescent="0.2">
      <c r="A316" s="21">
        <v>45638</v>
      </c>
      <c r="B316" s="29" t="s">
        <v>7</v>
      </c>
      <c r="C316" s="9">
        <v>7687244</v>
      </c>
      <c r="D316" s="11"/>
      <c r="E316" s="14">
        <v>387442610.29000002</v>
      </c>
      <c r="F316" s="12">
        <f t="shared" si="4"/>
        <v>388873278.68000007</v>
      </c>
      <c r="G316" s="13">
        <v>33</v>
      </c>
    </row>
    <row r="317" spans="1:7" x14ac:dyDescent="0.2">
      <c r="A317" s="21">
        <v>45638</v>
      </c>
      <c r="B317" s="29" t="s">
        <v>14</v>
      </c>
      <c r="C317" s="9">
        <v>7687244</v>
      </c>
      <c r="D317" s="10">
        <v>2324655.66</v>
      </c>
      <c r="E317" s="11"/>
      <c r="F317" s="12">
        <f t="shared" si="4"/>
        <v>386548623.02000004</v>
      </c>
      <c r="G317" s="13">
        <v>34</v>
      </c>
    </row>
    <row r="318" spans="1:7" x14ac:dyDescent="0.2">
      <c r="A318" s="21">
        <v>45639</v>
      </c>
      <c r="B318" s="29" t="s">
        <v>11</v>
      </c>
      <c r="C318" s="9">
        <v>50068</v>
      </c>
      <c r="D318" s="10">
        <v>20000000</v>
      </c>
      <c r="E318" s="11"/>
      <c r="F318" s="12">
        <f t="shared" si="4"/>
        <v>366548623.02000004</v>
      </c>
      <c r="G318" s="13">
        <v>35</v>
      </c>
    </row>
    <row r="319" spans="1:7" x14ac:dyDescent="0.2">
      <c r="A319" s="21">
        <v>45639</v>
      </c>
      <c r="B319" s="29" t="s">
        <v>11</v>
      </c>
      <c r="C319" s="9">
        <v>50069</v>
      </c>
      <c r="D319" s="10">
        <v>20000000</v>
      </c>
      <c r="E319" s="11"/>
      <c r="F319" s="12">
        <f t="shared" si="4"/>
        <v>346548623.02000004</v>
      </c>
      <c r="G319" s="13">
        <v>36</v>
      </c>
    </row>
    <row r="320" spans="1:7" x14ac:dyDescent="0.2">
      <c r="A320" s="21">
        <v>45639</v>
      </c>
      <c r="B320" s="29" t="s">
        <v>11</v>
      </c>
      <c r="C320" s="9">
        <v>50070</v>
      </c>
      <c r="D320" s="10">
        <v>20000000</v>
      </c>
      <c r="E320" s="11"/>
      <c r="F320" s="12">
        <f t="shared" si="4"/>
        <v>326548623.02000004</v>
      </c>
      <c r="G320" s="13">
        <v>37</v>
      </c>
    </row>
    <row r="321" spans="1:7" x14ac:dyDescent="0.2">
      <c r="A321" s="21">
        <v>45639</v>
      </c>
      <c r="B321" s="29" t="s">
        <v>11</v>
      </c>
      <c r="C321" s="9">
        <v>50071</v>
      </c>
      <c r="D321" s="10">
        <v>20000000</v>
      </c>
      <c r="E321" s="11"/>
      <c r="F321" s="12">
        <f t="shared" si="4"/>
        <v>306548623.02000004</v>
      </c>
      <c r="G321" s="13">
        <v>38</v>
      </c>
    </row>
    <row r="322" spans="1:7" x14ac:dyDescent="0.2">
      <c r="A322" s="21">
        <v>45642</v>
      </c>
      <c r="B322" s="29" t="s">
        <v>9</v>
      </c>
      <c r="C322" s="9">
        <v>50072</v>
      </c>
      <c r="D322" s="10">
        <v>956</v>
      </c>
      <c r="E322" s="11"/>
      <c r="F322" s="12">
        <f t="shared" si="4"/>
        <v>306547667.02000004</v>
      </c>
      <c r="G322" s="13">
        <v>39</v>
      </c>
    </row>
    <row r="323" spans="1:7" x14ac:dyDescent="0.2">
      <c r="A323" s="21">
        <v>45642</v>
      </c>
      <c r="B323" s="29" t="s">
        <v>9</v>
      </c>
      <c r="C323" s="9">
        <v>50073</v>
      </c>
      <c r="D323" s="10">
        <v>956</v>
      </c>
      <c r="E323" s="11"/>
      <c r="F323" s="12">
        <f t="shared" si="4"/>
        <v>306546711.02000004</v>
      </c>
      <c r="G323" s="13">
        <v>40</v>
      </c>
    </row>
    <row r="324" spans="1:7" x14ac:dyDescent="0.2">
      <c r="A324" s="21">
        <v>45642</v>
      </c>
      <c r="B324" s="29" t="s">
        <v>9</v>
      </c>
      <c r="C324" s="9">
        <v>50074</v>
      </c>
      <c r="D324" s="10">
        <v>956</v>
      </c>
      <c r="E324" s="11"/>
      <c r="F324" s="12">
        <f t="shared" si="4"/>
        <v>306545755.02000004</v>
      </c>
      <c r="G324" s="13">
        <v>41</v>
      </c>
    </row>
    <row r="325" spans="1:7" x14ac:dyDescent="0.2">
      <c r="A325" s="36">
        <v>45642</v>
      </c>
      <c r="B325" s="29" t="s">
        <v>9</v>
      </c>
      <c r="C325" s="9">
        <v>50075</v>
      </c>
      <c r="D325" s="10">
        <v>956</v>
      </c>
      <c r="E325" s="11"/>
      <c r="F325" s="12">
        <f t="shared" si="4"/>
        <v>306544799.02000004</v>
      </c>
      <c r="G325" s="13">
        <v>42</v>
      </c>
    </row>
    <row r="326" spans="1:7" x14ac:dyDescent="0.2">
      <c r="A326" s="36">
        <v>45642</v>
      </c>
      <c r="B326" s="29" t="s">
        <v>15</v>
      </c>
      <c r="C326" s="9">
        <v>50076</v>
      </c>
      <c r="D326" s="10">
        <v>803.04</v>
      </c>
      <c r="E326" s="11"/>
      <c r="F326" s="12">
        <f t="shared" si="4"/>
        <v>306543995.98000002</v>
      </c>
      <c r="G326" s="13">
        <v>43</v>
      </c>
    </row>
    <row r="327" spans="1:7" x14ac:dyDescent="0.2">
      <c r="A327" s="36">
        <v>45642</v>
      </c>
      <c r="B327" s="29" t="s">
        <v>18</v>
      </c>
      <c r="C327" s="9">
        <v>50076</v>
      </c>
      <c r="D327" s="10">
        <v>114.72</v>
      </c>
      <c r="E327" s="11"/>
      <c r="F327" s="12">
        <f t="shared" si="4"/>
        <v>306543881.25999999</v>
      </c>
      <c r="G327" s="13">
        <v>44</v>
      </c>
    </row>
    <row r="328" spans="1:7" x14ac:dyDescent="0.2">
      <c r="A328" s="36">
        <v>45642</v>
      </c>
      <c r="B328" s="29" t="s">
        <v>12</v>
      </c>
      <c r="C328" s="9">
        <v>50072</v>
      </c>
      <c r="D328" s="10">
        <v>5.74</v>
      </c>
      <c r="E328" s="11"/>
      <c r="F328" s="12">
        <f t="shared" si="4"/>
        <v>306543875.51999998</v>
      </c>
      <c r="G328" s="13">
        <v>45</v>
      </c>
    </row>
    <row r="329" spans="1:7" x14ac:dyDescent="0.2">
      <c r="A329" s="36">
        <v>45642</v>
      </c>
      <c r="B329" s="29" t="s">
        <v>12</v>
      </c>
      <c r="C329" s="9">
        <v>50073</v>
      </c>
      <c r="D329" s="10">
        <v>5.74</v>
      </c>
      <c r="E329" s="11"/>
      <c r="F329" s="12">
        <f t="shared" si="4"/>
        <v>306543869.77999997</v>
      </c>
      <c r="G329" s="13">
        <v>46</v>
      </c>
    </row>
    <row r="330" spans="1:7" x14ac:dyDescent="0.2">
      <c r="A330" s="36">
        <v>45642</v>
      </c>
      <c r="B330" s="29" t="s">
        <v>12</v>
      </c>
      <c r="C330" s="9">
        <v>50074</v>
      </c>
      <c r="D330" s="10">
        <v>5.74</v>
      </c>
      <c r="E330" s="11"/>
      <c r="F330" s="12">
        <f t="shared" si="4"/>
        <v>306543864.03999996</v>
      </c>
      <c r="G330" s="13">
        <v>47</v>
      </c>
    </row>
    <row r="331" spans="1:7" x14ac:dyDescent="0.2">
      <c r="A331" s="36">
        <v>45642</v>
      </c>
      <c r="B331" s="29" t="s">
        <v>12</v>
      </c>
      <c r="C331" s="9">
        <v>50075</v>
      </c>
      <c r="D331" s="10">
        <v>5.74</v>
      </c>
      <c r="E331" s="11"/>
      <c r="F331" s="12">
        <f t="shared" si="4"/>
        <v>306543858.29999995</v>
      </c>
      <c r="G331" s="13">
        <v>48</v>
      </c>
    </row>
    <row r="332" spans="1:7" x14ac:dyDescent="0.2">
      <c r="A332" s="36">
        <v>45642</v>
      </c>
      <c r="B332" s="29" t="s">
        <v>12</v>
      </c>
      <c r="C332" s="9">
        <v>50076</v>
      </c>
      <c r="D332" s="10">
        <v>4.82</v>
      </c>
      <c r="E332" s="11"/>
      <c r="F332" s="12">
        <f t="shared" si="4"/>
        <v>306543853.47999996</v>
      </c>
      <c r="G332" s="13">
        <v>49</v>
      </c>
    </row>
    <row r="333" spans="1:7" x14ac:dyDescent="0.2">
      <c r="A333" s="36">
        <v>45642</v>
      </c>
      <c r="B333" s="29" t="s">
        <v>12</v>
      </c>
      <c r="C333" s="9">
        <v>50076</v>
      </c>
      <c r="D333" s="10">
        <v>0.69</v>
      </c>
      <c r="E333" s="11"/>
      <c r="F333" s="12">
        <f t="shared" si="4"/>
        <v>306543852.78999996</v>
      </c>
      <c r="G333" s="13">
        <v>50</v>
      </c>
    </row>
    <row r="334" spans="1:7" x14ac:dyDescent="0.2">
      <c r="A334" s="36">
        <v>45645</v>
      </c>
      <c r="B334" s="29" t="s">
        <v>11</v>
      </c>
      <c r="C334" s="9">
        <v>50139</v>
      </c>
      <c r="D334" s="10">
        <v>50000000</v>
      </c>
      <c r="E334" s="11"/>
      <c r="F334" s="12">
        <f t="shared" si="4"/>
        <v>256543852.78999996</v>
      </c>
      <c r="G334" s="13">
        <v>51</v>
      </c>
    </row>
    <row r="335" spans="1:7" x14ac:dyDescent="0.2">
      <c r="A335" s="36">
        <v>45646</v>
      </c>
      <c r="B335" s="29" t="s">
        <v>16</v>
      </c>
      <c r="C335" s="9">
        <v>112947000</v>
      </c>
      <c r="D335" s="10">
        <v>1759481.13</v>
      </c>
      <c r="F335" s="12">
        <f t="shared" si="4"/>
        <v>254784371.65999997</v>
      </c>
      <c r="G335" s="13">
        <v>52</v>
      </c>
    </row>
    <row r="336" spans="1:7" x14ac:dyDescent="0.2">
      <c r="A336" s="36">
        <v>45646</v>
      </c>
      <c r="B336" s="29" t="s">
        <v>16</v>
      </c>
      <c r="C336" s="9">
        <v>112947000</v>
      </c>
      <c r="D336" s="10">
        <v>3104966.67</v>
      </c>
      <c r="F336" s="12">
        <f t="shared" si="4"/>
        <v>251679404.98999998</v>
      </c>
      <c r="G336" s="13">
        <v>53</v>
      </c>
    </row>
    <row r="337" spans="1:7" x14ac:dyDescent="0.2">
      <c r="A337" s="36">
        <v>45646</v>
      </c>
      <c r="B337" s="29" t="s">
        <v>16</v>
      </c>
      <c r="C337" s="9">
        <v>112947000</v>
      </c>
      <c r="D337" s="10">
        <v>6458958.4500000002</v>
      </c>
      <c r="F337" s="12">
        <f t="shared" si="4"/>
        <v>245220446.53999999</v>
      </c>
      <c r="G337" s="13">
        <v>54</v>
      </c>
    </row>
    <row r="338" spans="1:7" x14ac:dyDescent="0.2">
      <c r="A338" s="36">
        <v>45646</v>
      </c>
      <c r="B338" s="29" t="s">
        <v>16</v>
      </c>
      <c r="C338" s="9">
        <v>112947000</v>
      </c>
      <c r="D338" s="10">
        <v>4018294.28</v>
      </c>
      <c r="F338" s="12">
        <f t="shared" si="4"/>
        <v>241202152.25999999</v>
      </c>
      <c r="G338" s="13">
        <v>55</v>
      </c>
    </row>
    <row r="339" spans="1:7" x14ac:dyDescent="0.2">
      <c r="A339" s="36">
        <v>45646</v>
      </c>
      <c r="B339" s="29" t="s">
        <v>16</v>
      </c>
      <c r="C339" s="9">
        <v>112947000</v>
      </c>
      <c r="D339" s="10">
        <v>16709.55</v>
      </c>
      <c r="F339" s="12">
        <f t="shared" si="4"/>
        <v>241185442.70999998</v>
      </c>
      <c r="G339" s="13">
        <v>56</v>
      </c>
    </row>
    <row r="340" spans="1:7" x14ac:dyDescent="0.2">
      <c r="A340" s="36">
        <v>45646</v>
      </c>
      <c r="B340" s="29" t="s">
        <v>16</v>
      </c>
      <c r="C340" s="9">
        <v>112947000</v>
      </c>
      <c r="D340" s="10">
        <v>8025511.04</v>
      </c>
      <c r="F340" s="12">
        <f t="shared" si="4"/>
        <v>233159931.66999999</v>
      </c>
      <c r="G340" s="13">
        <v>57</v>
      </c>
    </row>
    <row r="341" spans="1:7" x14ac:dyDescent="0.2">
      <c r="A341" s="36">
        <v>45646</v>
      </c>
      <c r="B341" s="29" t="s">
        <v>12</v>
      </c>
      <c r="C341" s="9">
        <v>112947000</v>
      </c>
      <c r="D341" s="10">
        <v>10556.89</v>
      </c>
      <c r="F341" s="12">
        <f t="shared" si="4"/>
        <v>233149374.78</v>
      </c>
      <c r="G341" s="13">
        <v>58</v>
      </c>
    </row>
    <row r="342" spans="1:7" x14ac:dyDescent="0.2">
      <c r="A342" s="36">
        <v>45646</v>
      </c>
      <c r="B342" s="29" t="s">
        <v>12</v>
      </c>
      <c r="C342" s="9">
        <v>112947000</v>
      </c>
      <c r="D342" s="10">
        <v>18629.8</v>
      </c>
      <c r="F342" s="12">
        <f t="shared" si="4"/>
        <v>233130744.97999999</v>
      </c>
      <c r="G342" s="13">
        <v>59</v>
      </c>
    </row>
    <row r="343" spans="1:7" x14ac:dyDescent="0.2">
      <c r="A343" s="36">
        <v>45646</v>
      </c>
      <c r="B343" s="29" t="s">
        <v>12</v>
      </c>
      <c r="C343" s="9">
        <v>112947000</v>
      </c>
      <c r="D343" s="10">
        <v>38753.75</v>
      </c>
      <c r="F343" s="12">
        <f t="shared" si="4"/>
        <v>233091991.22999999</v>
      </c>
      <c r="G343" s="13">
        <v>60</v>
      </c>
    </row>
    <row r="344" spans="1:7" x14ac:dyDescent="0.2">
      <c r="A344" s="36">
        <v>45646</v>
      </c>
      <c r="B344" s="29" t="s">
        <v>12</v>
      </c>
      <c r="C344" s="9">
        <v>112947000</v>
      </c>
      <c r="D344" s="10">
        <v>24109.77</v>
      </c>
      <c r="F344" s="12">
        <f t="shared" si="4"/>
        <v>233067881.45999998</v>
      </c>
      <c r="G344" s="13">
        <v>61</v>
      </c>
    </row>
    <row r="345" spans="1:7" x14ac:dyDescent="0.2">
      <c r="A345" s="36">
        <v>45646</v>
      </c>
      <c r="B345" s="29" t="s">
        <v>12</v>
      </c>
      <c r="C345" s="9">
        <v>112947000</v>
      </c>
      <c r="D345" s="10">
        <v>100.26</v>
      </c>
      <c r="F345" s="12">
        <f t="shared" si="4"/>
        <v>233067781.19999999</v>
      </c>
      <c r="G345" s="13">
        <v>62</v>
      </c>
    </row>
    <row r="346" spans="1:7" x14ac:dyDescent="0.2">
      <c r="A346" s="36">
        <v>45646</v>
      </c>
      <c r="B346" s="29" t="s">
        <v>12</v>
      </c>
      <c r="C346" s="9">
        <v>112947000</v>
      </c>
      <c r="D346" s="10">
        <v>48153.07</v>
      </c>
      <c r="F346" s="12">
        <f t="shared" si="4"/>
        <v>233019628.13</v>
      </c>
      <c r="G346" s="13">
        <v>63</v>
      </c>
    </row>
    <row r="347" spans="1:7" x14ac:dyDescent="0.2">
      <c r="A347" s="36">
        <v>45649</v>
      </c>
      <c r="B347" s="29" t="s">
        <v>11</v>
      </c>
      <c r="C347" s="9">
        <v>50169</v>
      </c>
      <c r="D347" s="10">
        <v>80000000</v>
      </c>
      <c r="E347" s="11"/>
      <c r="F347" s="12">
        <f t="shared" si="4"/>
        <v>153019628.13</v>
      </c>
      <c r="G347" s="13">
        <v>64</v>
      </c>
    </row>
    <row r="348" spans="1:7" x14ac:dyDescent="0.2">
      <c r="A348" s="36">
        <v>45653</v>
      </c>
      <c r="B348" s="29" t="s">
        <v>10</v>
      </c>
      <c r="C348" s="9">
        <v>50176</v>
      </c>
      <c r="D348" s="10">
        <v>2500000</v>
      </c>
      <c r="E348" s="11"/>
      <c r="F348" s="12">
        <f t="shared" si="4"/>
        <v>150519628.13</v>
      </c>
      <c r="G348" s="13">
        <v>65</v>
      </c>
    </row>
    <row r="349" spans="1:7" x14ac:dyDescent="0.2">
      <c r="A349" s="36">
        <v>45653</v>
      </c>
      <c r="B349" s="29" t="s">
        <v>8</v>
      </c>
      <c r="C349" s="9">
        <v>50179</v>
      </c>
      <c r="D349" s="10">
        <v>23400</v>
      </c>
      <c r="E349" s="11"/>
      <c r="F349" s="12">
        <f t="shared" ref="F349:F357" si="5">+F348+E349-D349</f>
        <v>150496228.13</v>
      </c>
      <c r="G349" s="13">
        <v>66</v>
      </c>
    </row>
    <row r="350" spans="1:7" x14ac:dyDescent="0.2">
      <c r="A350" s="36">
        <v>45653</v>
      </c>
      <c r="B350" s="29" t="s">
        <v>15</v>
      </c>
      <c r="C350" s="9">
        <v>50180</v>
      </c>
      <c r="D350" s="10">
        <v>4914</v>
      </c>
      <c r="E350" s="11"/>
      <c r="F350" s="12">
        <f t="shared" si="5"/>
        <v>150491314.13</v>
      </c>
      <c r="G350" s="13">
        <v>67</v>
      </c>
    </row>
    <row r="351" spans="1:7" x14ac:dyDescent="0.2">
      <c r="A351" s="36">
        <v>45653</v>
      </c>
      <c r="B351" s="29" t="s">
        <v>18</v>
      </c>
      <c r="C351" s="9">
        <v>50180</v>
      </c>
      <c r="D351" s="10">
        <v>702</v>
      </c>
      <c r="E351" s="11"/>
      <c r="F351" s="12">
        <f t="shared" si="5"/>
        <v>150490612.13</v>
      </c>
      <c r="G351" s="13">
        <v>68</v>
      </c>
    </row>
    <row r="352" spans="1:7" x14ac:dyDescent="0.2">
      <c r="A352" s="36">
        <v>45653</v>
      </c>
      <c r="B352" s="29" t="s">
        <v>12</v>
      </c>
      <c r="C352" s="9">
        <v>50176</v>
      </c>
      <c r="D352" s="10">
        <v>15000</v>
      </c>
      <c r="E352" s="11"/>
      <c r="F352" s="12">
        <f t="shared" si="5"/>
        <v>150475612.13</v>
      </c>
      <c r="G352" s="13">
        <v>69</v>
      </c>
    </row>
    <row r="353" spans="1:7" x14ac:dyDescent="0.2">
      <c r="A353" s="36">
        <v>45653</v>
      </c>
      <c r="B353" s="29" t="s">
        <v>12</v>
      </c>
      <c r="C353" s="9">
        <v>50179</v>
      </c>
      <c r="D353" s="10">
        <v>140.4</v>
      </c>
      <c r="E353" s="11"/>
      <c r="F353" s="12">
        <f t="shared" si="5"/>
        <v>150475471.72999999</v>
      </c>
      <c r="G353" s="13">
        <v>70</v>
      </c>
    </row>
    <row r="354" spans="1:7" x14ac:dyDescent="0.2">
      <c r="A354" s="36">
        <v>45653</v>
      </c>
      <c r="B354" s="29" t="s">
        <v>13</v>
      </c>
      <c r="C354" s="9">
        <v>50179</v>
      </c>
      <c r="D354" s="10">
        <v>351</v>
      </c>
      <c r="E354" s="11"/>
      <c r="F354" s="12">
        <f t="shared" si="5"/>
        <v>150475120.72999999</v>
      </c>
      <c r="G354" s="13">
        <v>71</v>
      </c>
    </row>
    <row r="355" spans="1:7" x14ac:dyDescent="0.2">
      <c r="A355" s="36">
        <v>45653</v>
      </c>
      <c r="B355" s="29" t="s">
        <v>12</v>
      </c>
      <c r="C355" s="9">
        <v>50180</v>
      </c>
      <c r="D355" s="10">
        <v>29.48</v>
      </c>
      <c r="E355" s="11"/>
      <c r="F355" s="12">
        <f t="shared" si="5"/>
        <v>150475091.25</v>
      </c>
      <c r="G355" s="13">
        <v>72</v>
      </c>
    </row>
    <row r="356" spans="1:7" x14ac:dyDescent="0.2">
      <c r="A356" s="36">
        <v>45653</v>
      </c>
      <c r="B356" s="29" t="s">
        <v>12</v>
      </c>
      <c r="C356" s="9">
        <v>50180</v>
      </c>
      <c r="D356" s="10">
        <v>4.21</v>
      </c>
      <c r="E356" s="11"/>
      <c r="F356" s="12">
        <f t="shared" si="5"/>
        <v>150475087.03999999</v>
      </c>
      <c r="G356" s="13">
        <v>73</v>
      </c>
    </row>
    <row r="357" spans="1:7" x14ac:dyDescent="0.2">
      <c r="A357" s="36">
        <v>45653</v>
      </c>
      <c r="B357" s="29" t="s">
        <v>12</v>
      </c>
      <c r="C357" s="9">
        <v>50179</v>
      </c>
      <c r="D357" s="10">
        <v>2.11</v>
      </c>
      <c r="E357" s="11"/>
      <c r="F357" s="12">
        <f t="shared" si="5"/>
        <v>150475084.92999998</v>
      </c>
      <c r="G357" s="13">
        <v>74</v>
      </c>
    </row>
    <row r="359" spans="1:7" x14ac:dyDescent="0.2">
      <c r="A359" s="37" t="s">
        <v>0</v>
      </c>
      <c r="B359" s="16" t="s">
        <v>1</v>
      </c>
      <c r="C359" s="16" t="s">
        <v>2</v>
      </c>
      <c r="D359" s="17" t="s">
        <v>3</v>
      </c>
      <c r="E359" s="17" t="s">
        <v>4</v>
      </c>
      <c r="F359" s="17" t="s">
        <v>5</v>
      </c>
      <c r="G359" s="30"/>
    </row>
    <row r="360" spans="1:7" x14ac:dyDescent="0.2">
      <c r="A360" s="39"/>
      <c r="B360" s="5" t="s">
        <v>6</v>
      </c>
      <c r="C360" s="31"/>
      <c r="D360" s="26"/>
      <c r="E360" s="26"/>
      <c r="F360" s="7">
        <v>150475084.93000001</v>
      </c>
      <c r="G360" s="15">
        <v>1</v>
      </c>
    </row>
    <row r="361" spans="1:7" x14ac:dyDescent="0.2">
      <c r="A361" s="21">
        <v>45659</v>
      </c>
      <c r="B361" s="8" t="s">
        <v>11</v>
      </c>
      <c r="C361" s="32">
        <v>50203</v>
      </c>
      <c r="D361" s="10">
        <v>100000000</v>
      </c>
      <c r="E361" s="11"/>
      <c r="F361" s="12">
        <f t="shared" ref="F361:F424" si="6">+F360+E361-D361</f>
        <v>50475084.930000007</v>
      </c>
      <c r="G361" s="15">
        <v>2</v>
      </c>
    </row>
    <row r="362" spans="1:7" x14ac:dyDescent="0.2">
      <c r="A362" s="21">
        <v>45660</v>
      </c>
      <c r="B362" s="8" t="s">
        <v>9</v>
      </c>
      <c r="C362" s="32">
        <v>50213</v>
      </c>
      <c r="D362" s="10">
        <v>956</v>
      </c>
      <c r="E362" s="11"/>
      <c r="F362" s="12">
        <f t="shared" si="6"/>
        <v>50474128.930000007</v>
      </c>
      <c r="G362" s="15">
        <v>3</v>
      </c>
    </row>
    <row r="363" spans="1:7" x14ac:dyDescent="0.2">
      <c r="A363" s="21">
        <v>45660</v>
      </c>
      <c r="B363" s="8" t="s">
        <v>15</v>
      </c>
      <c r="C363" s="32">
        <v>50214</v>
      </c>
      <c r="D363" s="10">
        <v>200.76</v>
      </c>
      <c r="E363" s="11"/>
      <c r="F363" s="12">
        <f t="shared" si="6"/>
        <v>50473928.170000009</v>
      </c>
      <c r="G363" s="15">
        <v>4</v>
      </c>
    </row>
    <row r="364" spans="1:7" x14ac:dyDescent="0.2">
      <c r="A364" s="21">
        <v>45660</v>
      </c>
      <c r="B364" s="8" t="s">
        <v>12</v>
      </c>
      <c r="C364" s="32">
        <v>50213</v>
      </c>
      <c r="D364" s="10">
        <v>5.74</v>
      </c>
      <c r="E364" s="11"/>
      <c r="F364" s="12">
        <f t="shared" si="6"/>
        <v>50473922.430000007</v>
      </c>
      <c r="G364" s="15">
        <v>5</v>
      </c>
    </row>
    <row r="365" spans="1:7" x14ac:dyDescent="0.2">
      <c r="A365" s="21">
        <v>45660</v>
      </c>
      <c r="B365" s="8" t="s">
        <v>12</v>
      </c>
      <c r="C365" s="32">
        <v>50214</v>
      </c>
      <c r="D365" s="10">
        <v>1.2</v>
      </c>
      <c r="E365" s="11"/>
      <c r="F365" s="12">
        <f t="shared" si="6"/>
        <v>50473921.230000004</v>
      </c>
      <c r="G365" s="15">
        <v>6</v>
      </c>
    </row>
    <row r="366" spans="1:7" x14ac:dyDescent="0.2">
      <c r="A366" s="21">
        <v>45663</v>
      </c>
      <c r="B366" s="8" t="s">
        <v>11</v>
      </c>
      <c r="C366" s="32">
        <v>50219</v>
      </c>
      <c r="D366" s="10">
        <v>10000000</v>
      </c>
      <c r="E366" s="11"/>
      <c r="F366" s="12">
        <f t="shared" si="6"/>
        <v>40473921.230000004</v>
      </c>
      <c r="G366" s="15">
        <v>7</v>
      </c>
    </row>
    <row r="367" spans="1:7" x14ac:dyDescent="0.2">
      <c r="A367" s="21">
        <v>45663</v>
      </c>
      <c r="B367" s="8" t="s">
        <v>11</v>
      </c>
      <c r="C367" s="32">
        <v>50224</v>
      </c>
      <c r="D367" s="10">
        <v>30000000</v>
      </c>
      <c r="E367" s="11"/>
      <c r="F367" s="12">
        <f t="shared" si="6"/>
        <v>10473921.230000004</v>
      </c>
      <c r="G367" s="15">
        <v>8</v>
      </c>
    </row>
    <row r="368" spans="1:7" x14ac:dyDescent="0.2">
      <c r="A368" s="21">
        <v>45663</v>
      </c>
      <c r="B368" s="8" t="s">
        <v>9</v>
      </c>
      <c r="C368" s="32">
        <v>50230</v>
      </c>
      <c r="D368" s="10">
        <v>956</v>
      </c>
      <c r="E368" s="11"/>
      <c r="F368" s="12">
        <f t="shared" si="6"/>
        <v>10472965.230000004</v>
      </c>
      <c r="G368" s="15">
        <v>9</v>
      </c>
    </row>
    <row r="369" spans="1:7" x14ac:dyDescent="0.2">
      <c r="A369" s="21">
        <v>45663</v>
      </c>
      <c r="B369" s="8" t="s">
        <v>15</v>
      </c>
      <c r="C369" s="32">
        <v>50231</v>
      </c>
      <c r="D369" s="10">
        <v>200.76</v>
      </c>
      <c r="E369" s="11"/>
      <c r="F369" s="12">
        <f t="shared" si="6"/>
        <v>10472764.470000004</v>
      </c>
      <c r="G369" s="15">
        <v>10</v>
      </c>
    </row>
    <row r="370" spans="1:7" x14ac:dyDescent="0.2">
      <c r="A370" s="21">
        <v>45663</v>
      </c>
      <c r="B370" s="8" t="s">
        <v>12</v>
      </c>
      <c r="C370" s="32">
        <v>50230</v>
      </c>
      <c r="D370" s="10">
        <v>5.74</v>
      </c>
      <c r="E370" s="11"/>
      <c r="F370" s="12">
        <f t="shared" si="6"/>
        <v>10472758.730000004</v>
      </c>
      <c r="G370" s="15">
        <v>11</v>
      </c>
    </row>
    <row r="371" spans="1:7" x14ac:dyDescent="0.2">
      <c r="A371" s="21">
        <v>45663</v>
      </c>
      <c r="B371" s="8" t="s">
        <v>12</v>
      </c>
      <c r="C371" s="32">
        <v>50231</v>
      </c>
      <c r="D371" s="10">
        <v>1.2</v>
      </c>
      <c r="E371" s="11"/>
      <c r="F371" s="12">
        <f t="shared" si="6"/>
        <v>10472757.530000005</v>
      </c>
      <c r="G371" s="15">
        <v>12</v>
      </c>
    </row>
    <row r="372" spans="1:7" x14ac:dyDescent="0.2">
      <c r="A372" s="21">
        <v>45664</v>
      </c>
      <c r="B372" s="8" t="s">
        <v>9</v>
      </c>
      <c r="C372" s="32">
        <v>50234</v>
      </c>
      <c r="D372" s="10">
        <v>956</v>
      </c>
      <c r="E372" s="11"/>
      <c r="F372" s="12">
        <f t="shared" si="6"/>
        <v>10471801.530000005</v>
      </c>
      <c r="G372" s="15">
        <v>13</v>
      </c>
    </row>
    <row r="373" spans="1:7" x14ac:dyDescent="0.2">
      <c r="A373" s="21">
        <v>45664</v>
      </c>
      <c r="B373" s="8" t="s">
        <v>15</v>
      </c>
      <c r="C373" s="32">
        <v>50235</v>
      </c>
      <c r="D373" s="10">
        <v>200.76</v>
      </c>
      <c r="E373" s="11"/>
      <c r="F373" s="12">
        <f t="shared" si="6"/>
        <v>10471600.770000005</v>
      </c>
      <c r="G373" s="15">
        <v>14</v>
      </c>
    </row>
    <row r="374" spans="1:7" x14ac:dyDescent="0.2">
      <c r="A374" s="21">
        <v>45664</v>
      </c>
      <c r="B374" s="8" t="s">
        <v>12</v>
      </c>
      <c r="C374" s="32">
        <v>50234</v>
      </c>
      <c r="D374" s="10">
        <v>5.74</v>
      </c>
      <c r="E374" s="11"/>
      <c r="F374" s="12">
        <f t="shared" si="6"/>
        <v>10471595.030000005</v>
      </c>
      <c r="G374" s="15">
        <v>15</v>
      </c>
    </row>
    <row r="375" spans="1:7" x14ac:dyDescent="0.2">
      <c r="A375" s="21">
        <v>45664</v>
      </c>
      <c r="B375" s="8" t="s">
        <v>12</v>
      </c>
      <c r="C375" s="32">
        <v>50235</v>
      </c>
      <c r="D375" s="10">
        <v>1.2</v>
      </c>
      <c r="E375" s="11"/>
      <c r="F375" s="12">
        <f t="shared" si="6"/>
        <v>10471593.830000006</v>
      </c>
      <c r="G375" s="15">
        <v>16</v>
      </c>
    </row>
    <row r="376" spans="1:7" x14ac:dyDescent="0.2">
      <c r="A376" s="21">
        <v>45672</v>
      </c>
      <c r="B376" s="8" t="s">
        <v>7</v>
      </c>
      <c r="C376" s="32">
        <v>7883564</v>
      </c>
      <c r="D376" s="11"/>
      <c r="E376" s="14">
        <v>284337745.61000001</v>
      </c>
      <c r="F376" s="12">
        <f t="shared" si="6"/>
        <v>294809339.44</v>
      </c>
      <c r="G376" s="15">
        <v>17</v>
      </c>
    </row>
    <row r="377" spans="1:7" x14ac:dyDescent="0.2">
      <c r="A377" s="21">
        <v>45672</v>
      </c>
      <c r="B377" s="8" t="s">
        <v>14</v>
      </c>
      <c r="C377" s="32">
        <v>7883564</v>
      </c>
      <c r="D377" s="10">
        <v>1706026.47</v>
      </c>
      <c r="E377" s="11"/>
      <c r="F377" s="12">
        <f t="shared" si="6"/>
        <v>293103312.96999997</v>
      </c>
      <c r="G377" s="15">
        <v>18</v>
      </c>
    </row>
    <row r="378" spans="1:7" x14ac:dyDescent="0.2">
      <c r="A378" s="21">
        <v>45672</v>
      </c>
      <c r="B378" s="8" t="s">
        <v>17</v>
      </c>
      <c r="C378" s="32">
        <v>7883564</v>
      </c>
      <c r="D378" s="10">
        <v>284337.75</v>
      </c>
      <c r="E378" s="11"/>
      <c r="F378" s="12">
        <f t="shared" si="6"/>
        <v>292818975.21999997</v>
      </c>
      <c r="G378" s="15">
        <v>19</v>
      </c>
    </row>
    <row r="379" spans="1:7" x14ac:dyDescent="0.2">
      <c r="A379" s="21">
        <v>45672</v>
      </c>
      <c r="B379" s="8" t="s">
        <v>12</v>
      </c>
      <c r="C379" s="32">
        <v>7883564</v>
      </c>
      <c r="D379" s="10">
        <v>1706.03</v>
      </c>
      <c r="E379" s="11"/>
      <c r="F379" s="12">
        <f t="shared" si="6"/>
        <v>292817269.19</v>
      </c>
      <c r="G379" s="15">
        <v>20</v>
      </c>
    </row>
    <row r="380" spans="1:7" x14ac:dyDescent="0.2">
      <c r="A380" s="21">
        <v>45673</v>
      </c>
      <c r="B380" s="8" t="s">
        <v>11</v>
      </c>
      <c r="C380" s="32">
        <v>50248</v>
      </c>
      <c r="D380" s="10">
        <v>40000000</v>
      </c>
      <c r="E380" s="11"/>
      <c r="F380" s="12">
        <f t="shared" si="6"/>
        <v>252817269.19</v>
      </c>
      <c r="G380" s="15">
        <v>21</v>
      </c>
    </row>
    <row r="381" spans="1:7" x14ac:dyDescent="0.2">
      <c r="A381" s="21">
        <v>45673</v>
      </c>
      <c r="B381" s="8" t="s">
        <v>16</v>
      </c>
      <c r="C381" s="32">
        <v>112947000</v>
      </c>
      <c r="D381" s="10">
        <v>10025612.449999999</v>
      </c>
      <c r="E381" s="11"/>
      <c r="F381" s="12">
        <f t="shared" si="6"/>
        <v>242791656.74000001</v>
      </c>
      <c r="G381" s="15">
        <v>22</v>
      </c>
    </row>
    <row r="382" spans="1:7" x14ac:dyDescent="0.2">
      <c r="A382" s="21">
        <v>45673</v>
      </c>
      <c r="B382" s="8" t="s">
        <v>16</v>
      </c>
      <c r="C382" s="32">
        <v>112947000</v>
      </c>
      <c r="D382" s="10">
        <v>6073378.1600000001</v>
      </c>
      <c r="E382" s="11"/>
      <c r="F382" s="12">
        <f t="shared" si="6"/>
        <v>236718278.58000001</v>
      </c>
      <c r="G382" s="15">
        <v>23</v>
      </c>
    </row>
    <row r="383" spans="1:7" x14ac:dyDescent="0.2">
      <c r="A383" s="21">
        <v>45673</v>
      </c>
      <c r="B383" s="8" t="s">
        <v>16</v>
      </c>
      <c r="C383" s="32">
        <v>112947000</v>
      </c>
      <c r="D383" s="10">
        <v>4787122.2699999996</v>
      </c>
      <c r="E383" s="11"/>
      <c r="F383" s="12">
        <f t="shared" si="6"/>
        <v>231931156.31</v>
      </c>
      <c r="G383" s="15">
        <v>24</v>
      </c>
    </row>
    <row r="384" spans="1:7" x14ac:dyDescent="0.2">
      <c r="A384" s="21">
        <v>45673</v>
      </c>
      <c r="B384" s="8" t="s">
        <v>16</v>
      </c>
      <c r="C384" s="32">
        <v>112947000</v>
      </c>
      <c r="D384" s="10">
        <v>16885.439999999999</v>
      </c>
      <c r="E384" s="11"/>
      <c r="F384" s="12">
        <f t="shared" si="6"/>
        <v>231914270.87</v>
      </c>
      <c r="G384" s="15">
        <v>25</v>
      </c>
    </row>
    <row r="385" spans="1:7" x14ac:dyDescent="0.2">
      <c r="A385" s="21">
        <v>45673</v>
      </c>
      <c r="B385" s="8" t="s">
        <v>16</v>
      </c>
      <c r="C385" s="32">
        <v>112947000</v>
      </c>
      <c r="D385" s="10">
        <v>4905809.25</v>
      </c>
      <c r="E385" s="11"/>
      <c r="F385" s="12">
        <f t="shared" si="6"/>
        <v>227008461.62</v>
      </c>
      <c r="G385" s="15">
        <v>26</v>
      </c>
    </row>
    <row r="386" spans="1:7" x14ac:dyDescent="0.2">
      <c r="A386" s="21">
        <v>45673</v>
      </c>
      <c r="B386" s="8" t="s">
        <v>16</v>
      </c>
      <c r="C386" s="32">
        <v>112947000</v>
      </c>
      <c r="D386" s="10">
        <v>2712702.6</v>
      </c>
      <c r="E386" s="11"/>
      <c r="F386" s="12">
        <f t="shared" si="6"/>
        <v>224295759.02000001</v>
      </c>
      <c r="G386" s="15">
        <v>27</v>
      </c>
    </row>
    <row r="387" spans="1:7" x14ac:dyDescent="0.2">
      <c r="A387" s="21">
        <v>45673</v>
      </c>
      <c r="B387" s="8" t="s">
        <v>12</v>
      </c>
      <c r="C387" s="32">
        <v>112947000</v>
      </c>
      <c r="D387" s="10">
        <v>60153.67</v>
      </c>
      <c r="E387" s="11"/>
      <c r="F387" s="12">
        <f t="shared" si="6"/>
        <v>224235605.35000002</v>
      </c>
      <c r="G387" s="15">
        <v>28</v>
      </c>
    </row>
    <row r="388" spans="1:7" x14ac:dyDescent="0.2">
      <c r="A388" s="21">
        <v>45673</v>
      </c>
      <c r="B388" s="8" t="s">
        <v>12</v>
      </c>
      <c r="C388" s="32">
        <v>112947000</v>
      </c>
      <c r="D388" s="10">
        <v>36440.269999999997</v>
      </c>
      <c r="E388" s="11"/>
      <c r="F388" s="12">
        <f t="shared" si="6"/>
        <v>224199165.08000001</v>
      </c>
      <c r="G388" s="15">
        <v>29</v>
      </c>
    </row>
    <row r="389" spans="1:7" x14ac:dyDescent="0.2">
      <c r="A389" s="21">
        <v>45673</v>
      </c>
      <c r="B389" s="8" t="s">
        <v>12</v>
      </c>
      <c r="C389" s="32">
        <v>112947000</v>
      </c>
      <c r="D389" s="10">
        <v>28722.73</v>
      </c>
      <c r="E389" s="11"/>
      <c r="F389" s="12">
        <f t="shared" si="6"/>
        <v>224170442.35000002</v>
      </c>
      <c r="G389" s="15">
        <v>30</v>
      </c>
    </row>
    <row r="390" spans="1:7" x14ac:dyDescent="0.2">
      <c r="A390" s="21">
        <v>45673</v>
      </c>
      <c r="B390" s="8" t="s">
        <v>12</v>
      </c>
      <c r="C390" s="32">
        <v>112947000</v>
      </c>
      <c r="D390" s="10">
        <v>101.31</v>
      </c>
      <c r="E390" s="11"/>
      <c r="F390" s="12">
        <f t="shared" si="6"/>
        <v>224170341.04000002</v>
      </c>
      <c r="G390" s="15">
        <v>31</v>
      </c>
    </row>
    <row r="391" spans="1:7" x14ac:dyDescent="0.2">
      <c r="A391" s="21">
        <v>45673</v>
      </c>
      <c r="B391" s="8" t="s">
        <v>12</v>
      </c>
      <c r="C391" s="32">
        <v>112947000</v>
      </c>
      <c r="D391" s="10">
        <v>29434.86</v>
      </c>
      <c r="E391" s="11"/>
      <c r="F391" s="12">
        <f t="shared" si="6"/>
        <v>224140906.18000001</v>
      </c>
      <c r="G391" s="15">
        <v>32</v>
      </c>
    </row>
    <row r="392" spans="1:7" x14ac:dyDescent="0.2">
      <c r="A392" s="21">
        <v>45673</v>
      </c>
      <c r="B392" s="8" t="s">
        <v>12</v>
      </c>
      <c r="C392" s="32">
        <v>112947000</v>
      </c>
      <c r="D392" s="10">
        <v>16276.22</v>
      </c>
      <c r="E392" s="11"/>
      <c r="F392" s="12">
        <f t="shared" si="6"/>
        <v>224124629.96000001</v>
      </c>
      <c r="G392" s="15">
        <v>33</v>
      </c>
    </row>
    <row r="393" spans="1:7" x14ac:dyDescent="0.2">
      <c r="A393" s="21">
        <v>45674</v>
      </c>
      <c r="B393" s="8" t="s">
        <v>9</v>
      </c>
      <c r="C393" s="32">
        <v>50271</v>
      </c>
      <c r="D393" s="10">
        <v>956</v>
      </c>
      <c r="E393" s="11"/>
      <c r="F393" s="12">
        <f t="shared" si="6"/>
        <v>224123673.96000001</v>
      </c>
      <c r="G393" s="15">
        <v>34</v>
      </c>
    </row>
    <row r="394" spans="1:7" x14ac:dyDescent="0.2">
      <c r="A394" s="21">
        <v>45674</v>
      </c>
      <c r="B394" s="8" t="s">
        <v>15</v>
      </c>
      <c r="C394" s="32">
        <v>50272</v>
      </c>
      <c r="D394" s="10">
        <v>200.76</v>
      </c>
      <c r="E394" s="11"/>
      <c r="F394" s="12">
        <f t="shared" si="6"/>
        <v>224123473.20000002</v>
      </c>
      <c r="G394" s="15">
        <v>35</v>
      </c>
    </row>
    <row r="395" spans="1:7" x14ac:dyDescent="0.2">
      <c r="A395" s="21">
        <v>45674</v>
      </c>
      <c r="B395" s="8" t="s">
        <v>12</v>
      </c>
      <c r="C395" s="32">
        <v>50271</v>
      </c>
      <c r="D395" s="10">
        <v>5.74</v>
      </c>
      <c r="E395" s="11"/>
      <c r="F395" s="12">
        <f t="shared" si="6"/>
        <v>224123467.46000001</v>
      </c>
      <c r="G395" s="15">
        <v>36</v>
      </c>
    </row>
    <row r="396" spans="1:7" x14ac:dyDescent="0.2">
      <c r="A396" s="21">
        <v>45674</v>
      </c>
      <c r="B396" s="8" t="s">
        <v>12</v>
      </c>
      <c r="C396" s="32">
        <v>50272</v>
      </c>
      <c r="D396" s="10">
        <v>1.2</v>
      </c>
      <c r="E396" s="11"/>
      <c r="F396" s="12">
        <f t="shared" si="6"/>
        <v>224123466.26000002</v>
      </c>
      <c r="G396" s="15">
        <v>37</v>
      </c>
    </row>
    <row r="397" spans="1:7" x14ac:dyDescent="0.2">
      <c r="A397" s="21">
        <v>45677</v>
      </c>
      <c r="B397" s="8" t="s">
        <v>11</v>
      </c>
      <c r="C397" s="32">
        <v>50277</v>
      </c>
      <c r="D397" s="10">
        <v>100000000</v>
      </c>
      <c r="E397" s="11"/>
      <c r="F397" s="12">
        <f t="shared" si="6"/>
        <v>124123466.26000002</v>
      </c>
      <c r="G397" s="15">
        <v>38</v>
      </c>
    </row>
    <row r="398" spans="1:7" x14ac:dyDescent="0.2">
      <c r="A398" s="21">
        <v>45678</v>
      </c>
      <c r="B398" s="8" t="s">
        <v>9</v>
      </c>
      <c r="C398" s="32">
        <v>50280</v>
      </c>
      <c r="D398" s="10">
        <v>956</v>
      </c>
      <c r="E398" s="11"/>
      <c r="F398" s="12">
        <f t="shared" si="6"/>
        <v>124122510.26000002</v>
      </c>
      <c r="G398" s="15">
        <v>39</v>
      </c>
    </row>
    <row r="399" spans="1:7" x14ac:dyDescent="0.2">
      <c r="A399" s="21">
        <v>45678</v>
      </c>
      <c r="B399" s="8" t="s">
        <v>15</v>
      </c>
      <c r="C399" s="32">
        <v>50281</v>
      </c>
      <c r="D399" s="10">
        <v>200.76</v>
      </c>
      <c r="E399" s="11"/>
      <c r="F399" s="12">
        <f t="shared" si="6"/>
        <v>124122309.50000001</v>
      </c>
      <c r="G399" s="15">
        <v>40</v>
      </c>
    </row>
    <row r="400" spans="1:7" x14ac:dyDescent="0.2">
      <c r="A400" s="21">
        <v>45678</v>
      </c>
      <c r="B400" s="8" t="s">
        <v>12</v>
      </c>
      <c r="C400" s="32">
        <v>50280</v>
      </c>
      <c r="D400" s="10">
        <v>5.74</v>
      </c>
      <c r="E400" s="11"/>
      <c r="F400" s="12">
        <f t="shared" si="6"/>
        <v>124122303.76000002</v>
      </c>
      <c r="G400" s="15">
        <v>41</v>
      </c>
    </row>
    <row r="401" spans="1:7" x14ac:dyDescent="0.2">
      <c r="A401" s="36">
        <v>45678</v>
      </c>
      <c r="B401" s="8" t="s">
        <v>12</v>
      </c>
      <c r="C401" s="32">
        <v>50281</v>
      </c>
      <c r="D401" s="10">
        <v>1.2</v>
      </c>
      <c r="E401" s="11"/>
      <c r="F401" s="12">
        <f t="shared" si="6"/>
        <v>124122302.56000002</v>
      </c>
      <c r="G401" s="15">
        <v>42</v>
      </c>
    </row>
    <row r="402" spans="1:7" x14ac:dyDescent="0.2">
      <c r="A402" s="36">
        <v>45681</v>
      </c>
      <c r="B402" s="8" t="s">
        <v>11</v>
      </c>
      <c r="C402" s="32">
        <v>50287</v>
      </c>
      <c r="D402" s="10">
        <v>100000000</v>
      </c>
      <c r="E402" s="11"/>
      <c r="F402" s="12">
        <f t="shared" si="6"/>
        <v>24122302.560000017</v>
      </c>
      <c r="G402" s="15">
        <v>43</v>
      </c>
    </row>
    <row r="403" spans="1:7" x14ac:dyDescent="0.2">
      <c r="A403" s="36">
        <v>45684</v>
      </c>
      <c r="B403" s="8" t="s">
        <v>10</v>
      </c>
      <c r="C403" s="32">
        <v>50293</v>
      </c>
      <c r="D403" s="10">
        <v>2500000</v>
      </c>
      <c r="E403" s="11"/>
      <c r="F403" s="12">
        <f t="shared" si="6"/>
        <v>21622302.560000017</v>
      </c>
      <c r="G403" s="15">
        <v>44</v>
      </c>
    </row>
    <row r="404" spans="1:7" x14ac:dyDescent="0.2">
      <c r="A404" s="36">
        <v>45684</v>
      </c>
      <c r="B404" s="8" t="s">
        <v>9</v>
      </c>
      <c r="C404" s="32">
        <v>50296</v>
      </c>
      <c r="D404" s="10">
        <v>956</v>
      </c>
      <c r="E404" s="11"/>
      <c r="F404" s="12">
        <f t="shared" si="6"/>
        <v>21621346.560000017</v>
      </c>
      <c r="G404" s="15">
        <v>45</v>
      </c>
    </row>
    <row r="405" spans="1:7" x14ac:dyDescent="0.2">
      <c r="A405" s="36">
        <v>45684</v>
      </c>
      <c r="B405" s="8" t="s">
        <v>15</v>
      </c>
      <c r="C405" s="32">
        <v>50297</v>
      </c>
      <c r="D405" s="10">
        <v>200.76</v>
      </c>
      <c r="E405" s="11"/>
      <c r="F405" s="12">
        <f t="shared" si="6"/>
        <v>21621145.800000016</v>
      </c>
      <c r="G405" s="15">
        <v>46</v>
      </c>
    </row>
    <row r="406" spans="1:7" x14ac:dyDescent="0.2">
      <c r="A406" s="36">
        <v>45684</v>
      </c>
      <c r="B406" s="8" t="s">
        <v>12</v>
      </c>
      <c r="C406" s="32">
        <v>50293</v>
      </c>
      <c r="D406" s="10">
        <v>15000</v>
      </c>
      <c r="E406" s="11"/>
      <c r="F406" s="12">
        <f t="shared" si="6"/>
        <v>21606145.800000016</v>
      </c>
      <c r="G406" s="15">
        <v>47</v>
      </c>
    </row>
    <row r="407" spans="1:7" x14ac:dyDescent="0.2">
      <c r="A407" s="36">
        <v>45684</v>
      </c>
      <c r="B407" s="8" t="s">
        <v>12</v>
      </c>
      <c r="C407" s="32">
        <v>50296</v>
      </c>
      <c r="D407" s="10">
        <v>5.74</v>
      </c>
      <c r="E407" s="11"/>
      <c r="F407" s="12">
        <f t="shared" si="6"/>
        <v>21606140.060000017</v>
      </c>
      <c r="G407" s="15">
        <v>48</v>
      </c>
    </row>
    <row r="408" spans="1:7" x14ac:dyDescent="0.2">
      <c r="A408" s="36">
        <v>45684</v>
      </c>
      <c r="B408" s="8" t="s">
        <v>12</v>
      </c>
      <c r="C408" s="32">
        <v>50297</v>
      </c>
      <c r="D408" s="10">
        <v>1.2</v>
      </c>
      <c r="E408" s="11"/>
      <c r="F408" s="12">
        <f t="shared" si="6"/>
        <v>21606138.860000018</v>
      </c>
      <c r="G408" s="15">
        <v>49</v>
      </c>
    </row>
    <row r="409" spans="1:7" x14ac:dyDescent="0.2">
      <c r="A409" s="36">
        <v>45685</v>
      </c>
      <c r="B409" s="8" t="s">
        <v>9</v>
      </c>
      <c r="C409" s="32">
        <v>50301</v>
      </c>
      <c r="D409" s="10">
        <v>956</v>
      </c>
      <c r="E409" s="11"/>
      <c r="F409" s="12">
        <f t="shared" si="6"/>
        <v>21605182.860000018</v>
      </c>
      <c r="G409" s="15">
        <v>50</v>
      </c>
    </row>
    <row r="410" spans="1:7" x14ac:dyDescent="0.2">
      <c r="A410" s="36">
        <v>45685</v>
      </c>
      <c r="B410" s="8" t="s">
        <v>15</v>
      </c>
      <c r="C410" s="32">
        <v>50302</v>
      </c>
      <c r="D410" s="10">
        <v>200.76</v>
      </c>
      <c r="E410" s="11"/>
      <c r="F410" s="12">
        <f t="shared" si="6"/>
        <v>21604982.100000016</v>
      </c>
      <c r="G410" s="15">
        <v>51</v>
      </c>
    </row>
    <row r="411" spans="1:7" x14ac:dyDescent="0.2">
      <c r="A411" s="36">
        <v>45685</v>
      </c>
      <c r="B411" s="8" t="s">
        <v>12</v>
      </c>
      <c r="C411" s="32">
        <v>50301</v>
      </c>
      <c r="D411" s="10">
        <v>5.74</v>
      </c>
      <c r="E411" s="11"/>
      <c r="F411" s="12">
        <f t="shared" si="6"/>
        <v>21604976.360000018</v>
      </c>
      <c r="G411" s="15">
        <v>52</v>
      </c>
    </row>
    <row r="412" spans="1:7" x14ac:dyDescent="0.2">
      <c r="A412" s="36">
        <v>45685</v>
      </c>
      <c r="B412" s="8" t="s">
        <v>12</v>
      </c>
      <c r="C412" s="32">
        <v>50302</v>
      </c>
      <c r="D412" s="10">
        <v>1.2</v>
      </c>
      <c r="E412" s="11"/>
      <c r="F412" s="12">
        <f t="shared" si="6"/>
        <v>21604975.160000019</v>
      </c>
      <c r="G412" s="15">
        <v>53</v>
      </c>
    </row>
    <row r="413" spans="1:7" x14ac:dyDescent="0.2">
      <c r="A413" s="36">
        <v>45686</v>
      </c>
      <c r="B413" s="8" t="s">
        <v>11</v>
      </c>
      <c r="C413" s="32">
        <v>50306</v>
      </c>
      <c r="D413" s="10">
        <v>20000000</v>
      </c>
      <c r="E413" s="11"/>
      <c r="F413" s="12">
        <f t="shared" si="6"/>
        <v>1604975.1600000188</v>
      </c>
      <c r="G413" s="15">
        <v>54</v>
      </c>
    </row>
    <row r="414" spans="1:7" x14ac:dyDescent="0.2">
      <c r="A414" s="36">
        <v>45687</v>
      </c>
      <c r="B414" s="8" t="s">
        <v>9</v>
      </c>
      <c r="C414" s="32">
        <v>50314</v>
      </c>
      <c r="D414" s="10">
        <v>956</v>
      </c>
      <c r="E414" s="11"/>
      <c r="F414" s="12">
        <f t="shared" si="6"/>
        <v>1604019.1600000188</v>
      </c>
      <c r="G414" s="15">
        <v>55</v>
      </c>
    </row>
    <row r="415" spans="1:7" x14ac:dyDescent="0.2">
      <c r="A415" s="36">
        <v>45687</v>
      </c>
      <c r="B415" s="8" t="s">
        <v>15</v>
      </c>
      <c r="C415" s="32">
        <v>50315</v>
      </c>
      <c r="D415" s="10">
        <v>200.76</v>
      </c>
      <c r="E415" s="11"/>
      <c r="F415" s="12">
        <f t="shared" si="6"/>
        <v>1603818.4000000188</v>
      </c>
      <c r="G415" s="15">
        <v>56</v>
      </c>
    </row>
    <row r="416" spans="1:7" x14ac:dyDescent="0.2">
      <c r="A416" s="36">
        <v>45687</v>
      </c>
      <c r="B416" s="8" t="s">
        <v>12</v>
      </c>
      <c r="C416" s="32">
        <v>50314</v>
      </c>
      <c r="D416" s="10">
        <v>5.74</v>
      </c>
      <c r="E416" s="11"/>
      <c r="F416" s="12">
        <f t="shared" si="6"/>
        <v>1603812.6600000188</v>
      </c>
      <c r="G416" s="15">
        <v>57</v>
      </c>
    </row>
    <row r="417" spans="1:7" x14ac:dyDescent="0.2">
      <c r="A417" s="36">
        <v>45687</v>
      </c>
      <c r="B417" s="8" t="s">
        <v>12</v>
      </c>
      <c r="C417" s="32">
        <v>50315</v>
      </c>
      <c r="D417" s="10">
        <v>1.2</v>
      </c>
      <c r="E417" s="11"/>
      <c r="F417" s="12">
        <f t="shared" si="6"/>
        <v>1603811.4600000188</v>
      </c>
      <c r="G417" s="15">
        <v>58</v>
      </c>
    </row>
    <row r="418" spans="1:7" x14ac:dyDescent="0.2">
      <c r="A418" s="36">
        <v>45688</v>
      </c>
      <c r="B418" s="8" t="s">
        <v>8</v>
      </c>
      <c r="C418" s="32">
        <v>50319</v>
      </c>
      <c r="D418" s="10">
        <v>23400</v>
      </c>
      <c r="E418" s="11"/>
      <c r="F418" s="12">
        <f t="shared" si="6"/>
        <v>1580411.4600000188</v>
      </c>
      <c r="G418" s="15">
        <v>59</v>
      </c>
    </row>
    <row r="419" spans="1:7" x14ac:dyDescent="0.2">
      <c r="A419" s="36">
        <v>45688</v>
      </c>
      <c r="B419" s="8" t="s">
        <v>15</v>
      </c>
      <c r="C419" s="32">
        <v>50320</v>
      </c>
      <c r="D419" s="10">
        <v>4914</v>
      </c>
      <c r="E419" s="11"/>
      <c r="F419" s="12">
        <f t="shared" si="6"/>
        <v>1575497.4600000188</v>
      </c>
      <c r="G419" s="15">
        <v>60</v>
      </c>
    </row>
    <row r="420" spans="1:7" x14ac:dyDescent="0.2">
      <c r="A420" s="36">
        <v>45688</v>
      </c>
      <c r="B420" s="8" t="s">
        <v>18</v>
      </c>
      <c r="C420" s="32">
        <v>50320</v>
      </c>
      <c r="D420" s="10">
        <v>702</v>
      </c>
      <c r="E420" s="11"/>
      <c r="F420" s="12">
        <f t="shared" si="6"/>
        <v>1574795.4600000188</v>
      </c>
      <c r="G420" s="15">
        <v>61</v>
      </c>
    </row>
    <row r="421" spans="1:7" x14ac:dyDescent="0.2">
      <c r="A421" s="36">
        <v>45688</v>
      </c>
      <c r="B421" s="8" t="s">
        <v>12</v>
      </c>
      <c r="C421" s="32">
        <v>50319</v>
      </c>
      <c r="D421" s="10">
        <v>140.4</v>
      </c>
      <c r="E421" s="11"/>
      <c r="F421" s="12">
        <f t="shared" si="6"/>
        <v>1574655.0600000189</v>
      </c>
      <c r="G421" s="15">
        <v>62</v>
      </c>
    </row>
    <row r="422" spans="1:7" x14ac:dyDescent="0.2">
      <c r="A422" s="36">
        <v>45688</v>
      </c>
      <c r="B422" s="8" t="s">
        <v>13</v>
      </c>
      <c r="C422" s="32">
        <v>50319</v>
      </c>
      <c r="D422" s="10">
        <v>351</v>
      </c>
      <c r="E422" s="11"/>
      <c r="F422" s="12">
        <f t="shared" si="6"/>
        <v>1574304.0600000189</v>
      </c>
      <c r="G422" s="15">
        <v>63</v>
      </c>
    </row>
    <row r="423" spans="1:7" x14ac:dyDescent="0.2">
      <c r="A423" s="36">
        <v>45688</v>
      </c>
      <c r="B423" s="8" t="s">
        <v>12</v>
      </c>
      <c r="C423" s="32">
        <v>50320</v>
      </c>
      <c r="D423" s="10">
        <v>29.48</v>
      </c>
      <c r="E423" s="11"/>
      <c r="F423" s="12">
        <f t="shared" si="6"/>
        <v>1574274.5800000189</v>
      </c>
      <c r="G423" s="15">
        <v>64</v>
      </c>
    </row>
    <row r="424" spans="1:7" x14ac:dyDescent="0.2">
      <c r="A424" s="36">
        <v>45688</v>
      </c>
      <c r="B424" s="8" t="s">
        <v>12</v>
      </c>
      <c r="C424" s="32">
        <v>50320</v>
      </c>
      <c r="D424" s="10">
        <v>4.21</v>
      </c>
      <c r="E424" s="11"/>
      <c r="F424" s="12">
        <f t="shared" si="6"/>
        <v>1574270.370000019</v>
      </c>
      <c r="G424" s="15">
        <v>65</v>
      </c>
    </row>
    <row r="425" spans="1:7" x14ac:dyDescent="0.2">
      <c r="A425" s="36">
        <v>45688</v>
      </c>
      <c r="B425" s="8" t="s">
        <v>12</v>
      </c>
      <c r="C425" s="32">
        <v>50319</v>
      </c>
      <c r="D425" s="10">
        <v>2.11</v>
      </c>
      <c r="E425" s="11"/>
      <c r="F425" s="12">
        <f t="shared" ref="F425" si="7">+F424+E425-D425</f>
        <v>1574268.2600000189</v>
      </c>
      <c r="G425" s="15">
        <v>66</v>
      </c>
    </row>
    <row r="427" spans="1:7" x14ac:dyDescent="0.2">
      <c r="A427" s="37" t="s">
        <v>0</v>
      </c>
      <c r="B427" s="16" t="s">
        <v>1</v>
      </c>
      <c r="C427" s="16" t="s">
        <v>2</v>
      </c>
      <c r="D427" s="17" t="s">
        <v>3</v>
      </c>
      <c r="E427" s="17" t="s">
        <v>4</v>
      </c>
      <c r="F427" s="17" t="s">
        <v>5</v>
      </c>
      <c r="G427" s="3"/>
    </row>
    <row r="428" spans="1:7" x14ac:dyDescent="0.2">
      <c r="A428" s="39"/>
      <c r="B428" s="5" t="s">
        <v>6</v>
      </c>
      <c r="C428" s="31"/>
      <c r="D428" s="26"/>
      <c r="E428" s="26"/>
      <c r="F428" s="7">
        <v>1574268.26</v>
      </c>
      <c r="G428" s="13">
        <v>1</v>
      </c>
    </row>
    <row r="429" spans="1:7" x14ac:dyDescent="0.2">
      <c r="A429" s="21">
        <v>45702</v>
      </c>
      <c r="B429" s="8" t="s">
        <v>7</v>
      </c>
      <c r="C429" s="32">
        <v>7197083</v>
      </c>
      <c r="D429" s="11"/>
      <c r="E429" s="14">
        <v>303125301.74000001</v>
      </c>
      <c r="F429" s="12">
        <f t="shared" ref="F429:F465" si="8">+F428+E429-D429</f>
        <v>304699570</v>
      </c>
      <c r="G429" s="13">
        <v>2</v>
      </c>
    </row>
    <row r="430" spans="1:7" x14ac:dyDescent="0.2">
      <c r="A430" s="21">
        <v>45702</v>
      </c>
      <c r="B430" s="8" t="s">
        <v>14</v>
      </c>
      <c r="C430" s="32">
        <v>7197083</v>
      </c>
      <c r="D430" s="10">
        <v>1818751.81</v>
      </c>
      <c r="E430" s="11"/>
      <c r="F430" s="12">
        <f t="shared" si="8"/>
        <v>302880818.19</v>
      </c>
      <c r="G430" s="13">
        <v>3</v>
      </c>
    </row>
    <row r="431" spans="1:7" x14ac:dyDescent="0.2">
      <c r="A431" s="21">
        <v>45702</v>
      </c>
      <c r="B431" s="8" t="s">
        <v>17</v>
      </c>
      <c r="C431" s="32">
        <v>7197083</v>
      </c>
      <c r="D431" s="10">
        <v>303125.3</v>
      </c>
      <c r="E431" s="11"/>
      <c r="F431" s="12">
        <f t="shared" si="8"/>
        <v>302577692.88999999</v>
      </c>
      <c r="G431" s="13">
        <v>4</v>
      </c>
    </row>
    <row r="432" spans="1:7" x14ac:dyDescent="0.2">
      <c r="A432" s="21">
        <v>45702</v>
      </c>
      <c r="B432" s="8" t="s">
        <v>12</v>
      </c>
      <c r="C432" s="32">
        <v>7197083</v>
      </c>
      <c r="D432" s="10">
        <v>1818.75</v>
      </c>
      <c r="E432" s="11"/>
      <c r="F432" s="12">
        <f t="shared" si="8"/>
        <v>302575874.13999999</v>
      </c>
      <c r="G432" s="13">
        <v>5</v>
      </c>
    </row>
    <row r="433" spans="1:7" x14ac:dyDescent="0.2">
      <c r="A433" s="21">
        <v>45705</v>
      </c>
      <c r="B433" s="8" t="s">
        <v>11</v>
      </c>
      <c r="C433" s="32">
        <v>50343</v>
      </c>
      <c r="D433" s="10">
        <v>100000000</v>
      </c>
      <c r="E433" s="11"/>
      <c r="F433" s="12">
        <f t="shared" si="8"/>
        <v>202575874.13999999</v>
      </c>
      <c r="G433" s="13">
        <v>6</v>
      </c>
    </row>
    <row r="434" spans="1:7" x14ac:dyDescent="0.2">
      <c r="A434" s="21">
        <v>45705</v>
      </c>
      <c r="B434" s="8" t="s">
        <v>16</v>
      </c>
      <c r="C434" s="32">
        <v>112947000</v>
      </c>
      <c r="D434" s="10">
        <v>1799004.14</v>
      </c>
      <c r="E434" s="11"/>
      <c r="F434" s="12">
        <f t="shared" si="8"/>
        <v>200776870</v>
      </c>
      <c r="G434" s="13">
        <v>7</v>
      </c>
    </row>
    <row r="435" spans="1:7" x14ac:dyDescent="0.2">
      <c r="A435" s="21">
        <v>45705</v>
      </c>
      <c r="B435" s="8" t="s">
        <v>16</v>
      </c>
      <c r="C435" s="32">
        <v>112947000</v>
      </c>
      <c r="D435" s="10">
        <v>6599142.2400000002</v>
      </c>
      <c r="E435" s="11"/>
      <c r="F435" s="12">
        <f t="shared" si="8"/>
        <v>194177727.75999999</v>
      </c>
      <c r="G435" s="13">
        <v>8</v>
      </c>
    </row>
    <row r="436" spans="1:7" x14ac:dyDescent="0.2">
      <c r="A436" s="21">
        <v>45705</v>
      </c>
      <c r="B436" s="8" t="s">
        <v>16</v>
      </c>
      <c r="C436" s="32">
        <v>112947000</v>
      </c>
      <c r="D436" s="10">
        <v>3174713.2</v>
      </c>
      <c r="E436" s="11"/>
      <c r="F436" s="12">
        <f t="shared" si="8"/>
        <v>191003014.56</v>
      </c>
      <c r="G436" s="13">
        <v>9</v>
      </c>
    </row>
    <row r="437" spans="1:7" x14ac:dyDescent="0.2">
      <c r="A437" s="21">
        <v>45705</v>
      </c>
      <c r="B437" s="8" t="s">
        <v>16</v>
      </c>
      <c r="C437" s="32">
        <v>112947000</v>
      </c>
      <c r="D437" s="10">
        <v>16709.55</v>
      </c>
      <c r="E437" s="11"/>
      <c r="F437" s="12">
        <f t="shared" si="8"/>
        <v>190986305.00999999</v>
      </c>
      <c r="G437" s="13">
        <v>10</v>
      </c>
    </row>
    <row r="438" spans="1:7" x14ac:dyDescent="0.2">
      <c r="A438" s="21">
        <v>45705</v>
      </c>
      <c r="B438" s="8" t="s">
        <v>16</v>
      </c>
      <c r="C438" s="32">
        <v>112947000</v>
      </c>
      <c r="D438" s="10">
        <v>2838800.56</v>
      </c>
      <c r="E438" s="11"/>
      <c r="F438" s="12">
        <f t="shared" si="8"/>
        <v>188147504.44999999</v>
      </c>
      <c r="G438" s="13">
        <v>11</v>
      </c>
    </row>
    <row r="439" spans="1:7" x14ac:dyDescent="0.2">
      <c r="A439" s="21">
        <v>45705</v>
      </c>
      <c r="B439" s="8" t="s">
        <v>12</v>
      </c>
      <c r="C439" s="32">
        <v>112947000</v>
      </c>
      <c r="D439" s="10">
        <v>10794.02</v>
      </c>
      <c r="E439" s="11"/>
      <c r="F439" s="12">
        <f t="shared" si="8"/>
        <v>188136710.42999998</v>
      </c>
      <c r="G439" s="13">
        <v>12</v>
      </c>
    </row>
    <row r="440" spans="1:7" x14ac:dyDescent="0.2">
      <c r="A440" s="21">
        <v>45705</v>
      </c>
      <c r="B440" s="8" t="s">
        <v>12</v>
      </c>
      <c r="C440" s="32">
        <v>112947000</v>
      </c>
      <c r="D440" s="10">
        <v>39594.85</v>
      </c>
      <c r="E440" s="11"/>
      <c r="F440" s="12">
        <f t="shared" si="8"/>
        <v>188097115.57999998</v>
      </c>
      <c r="G440" s="13">
        <v>13</v>
      </c>
    </row>
    <row r="441" spans="1:7" x14ac:dyDescent="0.2">
      <c r="A441" s="21">
        <v>45705</v>
      </c>
      <c r="B441" s="8" t="s">
        <v>12</v>
      </c>
      <c r="C441" s="32">
        <v>112947000</v>
      </c>
      <c r="D441" s="10">
        <v>19048.28</v>
      </c>
      <c r="E441" s="11"/>
      <c r="F441" s="12">
        <f t="shared" si="8"/>
        <v>188078067.29999998</v>
      </c>
      <c r="G441" s="13">
        <v>14</v>
      </c>
    </row>
    <row r="442" spans="1:7" x14ac:dyDescent="0.2">
      <c r="A442" s="21">
        <v>45705</v>
      </c>
      <c r="B442" s="8" t="s">
        <v>12</v>
      </c>
      <c r="C442" s="32">
        <v>112947000</v>
      </c>
      <c r="D442" s="10">
        <v>100.26</v>
      </c>
      <c r="E442" s="11"/>
      <c r="F442" s="12">
        <f t="shared" si="8"/>
        <v>188077967.03999999</v>
      </c>
      <c r="G442" s="13">
        <v>15</v>
      </c>
    </row>
    <row r="443" spans="1:7" x14ac:dyDescent="0.2">
      <c r="A443" s="21">
        <v>45705</v>
      </c>
      <c r="B443" s="8" t="s">
        <v>12</v>
      </c>
      <c r="C443" s="32">
        <v>112947000</v>
      </c>
      <c r="D443" s="10">
        <v>17032.8</v>
      </c>
      <c r="E443" s="11"/>
      <c r="F443" s="12">
        <f t="shared" si="8"/>
        <v>188060934.23999998</v>
      </c>
      <c r="G443" s="13">
        <v>16</v>
      </c>
    </row>
    <row r="444" spans="1:7" x14ac:dyDescent="0.2">
      <c r="A444" s="21">
        <v>45706</v>
      </c>
      <c r="B444" s="8" t="s">
        <v>9</v>
      </c>
      <c r="C444" s="32">
        <v>50363</v>
      </c>
      <c r="D444" s="10">
        <v>956</v>
      </c>
      <c r="E444" s="11"/>
      <c r="F444" s="12">
        <f t="shared" si="8"/>
        <v>188059978.23999998</v>
      </c>
      <c r="G444" s="13">
        <v>17</v>
      </c>
    </row>
    <row r="445" spans="1:7" x14ac:dyDescent="0.2">
      <c r="A445" s="21">
        <v>45706</v>
      </c>
      <c r="B445" s="8" t="s">
        <v>15</v>
      </c>
      <c r="C445" s="32">
        <v>50364</v>
      </c>
      <c r="D445" s="10">
        <v>200.76</v>
      </c>
      <c r="E445" s="11"/>
      <c r="F445" s="12">
        <f t="shared" si="8"/>
        <v>188059777.47999999</v>
      </c>
      <c r="G445" s="13">
        <v>18</v>
      </c>
    </row>
    <row r="446" spans="1:7" x14ac:dyDescent="0.2">
      <c r="A446" s="21">
        <v>45706</v>
      </c>
      <c r="B446" s="8" t="s">
        <v>12</v>
      </c>
      <c r="C446" s="32">
        <v>50363</v>
      </c>
      <c r="D446" s="10">
        <v>5.74</v>
      </c>
      <c r="E446" s="11"/>
      <c r="F446" s="12">
        <f t="shared" si="8"/>
        <v>188059771.73999998</v>
      </c>
      <c r="G446" s="13">
        <v>19</v>
      </c>
    </row>
    <row r="447" spans="1:7" x14ac:dyDescent="0.2">
      <c r="A447" s="21">
        <v>45706</v>
      </c>
      <c r="B447" s="8" t="s">
        <v>12</v>
      </c>
      <c r="C447" s="32">
        <v>50364</v>
      </c>
      <c r="D447" s="10">
        <v>1.2</v>
      </c>
      <c r="E447" s="11"/>
      <c r="F447" s="12">
        <f t="shared" si="8"/>
        <v>188059770.53999999</v>
      </c>
      <c r="G447" s="13">
        <v>20</v>
      </c>
    </row>
    <row r="448" spans="1:7" x14ac:dyDescent="0.2">
      <c r="A448" s="21">
        <v>45712</v>
      </c>
      <c r="B448" s="8" t="s">
        <v>11</v>
      </c>
      <c r="C448" s="32">
        <v>50369</v>
      </c>
      <c r="D448" s="10">
        <v>40000000</v>
      </c>
      <c r="E448" s="11"/>
      <c r="F448" s="12">
        <f t="shared" si="8"/>
        <v>148059770.53999999</v>
      </c>
      <c r="G448" s="13">
        <v>21</v>
      </c>
    </row>
    <row r="449" spans="1:7" x14ac:dyDescent="0.2">
      <c r="A449" s="21">
        <v>45713</v>
      </c>
      <c r="B449" s="8" t="s">
        <v>9</v>
      </c>
      <c r="C449" s="32">
        <v>50373</v>
      </c>
      <c r="D449" s="10">
        <v>956</v>
      </c>
      <c r="E449" s="11"/>
      <c r="F449" s="12">
        <f t="shared" si="8"/>
        <v>148058814.53999999</v>
      </c>
      <c r="G449" s="13">
        <v>22</v>
      </c>
    </row>
    <row r="450" spans="1:7" x14ac:dyDescent="0.2">
      <c r="A450" s="21">
        <v>45713</v>
      </c>
      <c r="B450" s="8" t="s">
        <v>15</v>
      </c>
      <c r="C450" s="32">
        <v>50374</v>
      </c>
      <c r="D450" s="10">
        <v>200.76</v>
      </c>
      <c r="E450" s="11"/>
      <c r="F450" s="12">
        <f t="shared" si="8"/>
        <v>148058613.78</v>
      </c>
      <c r="G450" s="13">
        <v>23</v>
      </c>
    </row>
    <row r="451" spans="1:7" x14ac:dyDescent="0.2">
      <c r="A451" s="21">
        <v>45713</v>
      </c>
      <c r="B451" s="8" t="s">
        <v>12</v>
      </c>
      <c r="C451" s="32">
        <v>50373</v>
      </c>
      <c r="D451" s="10">
        <v>5.74</v>
      </c>
      <c r="E451" s="11"/>
      <c r="F451" s="12">
        <f t="shared" si="8"/>
        <v>148058608.03999999</v>
      </c>
      <c r="G451" s="13">
        <v>24</v>
      </c>
    </row>
    <row r="452" spans="1:7" x14ac:dyDescent="0.2">
      <c r="A452" s="21">
        <v>45713</v>
      </c>
      <c r="B452" s="8" t="s">
        <v>12</v>
      </c>
      <c r="C452" s="32">
        <v>50374</v>
      </c>
      <c r="D452" s="10">
        <v>1.2</v>
      </c>
      <c r="E452" s="11"/>
      <c r="F452" s="12">
        <f t="shared" si="8"/>
        <v>148058606.84</v>
      </c>
      <c r="G452" s="13">
        <v>25</v>
      </c>
    </row>
    <row r="453" spans="1:7" x14ac:dyDescent="0.2">
      <c r="A453" s="21">
        <v>45715</v>
      </c>
      <c r="B453" s="8" t="s">
        <v>11</v>
      </c>
      <c r="C453" s="32">
        <v>50379</v>
      </c>
      <c r="D453" s="10">
        <v>145000000</v>
      </c>
      <c r="E453" s="11"/>
      <c r="F453" s="12">
        <f t="shared" si="8"/>
        <v>3058606.8400000036</v>
      </c>
      <c r="G453" s="13">
        <v>26</v>
      </c>
    </row>
    <row r="454" spans="1:7" x14ac:dyDescent="0.2">
      <c r="A454" s="21">
        <v>45716</v>
      </c>
      <c r="B454" s="8" t="s">
        <v>10</v>
      </c>
      <c r="C454" s="32">
        <v>50384</v>
      </c>
      <c r="D454" s="10">
        <v>2000000</v>
      </c>
      <c r="E454" s="11"/>
      <c r="F454" s="12">
        <f t="shared" si="8"/>
        <v>1058606.8400000036</v>
      </c>
      <c r="G454" s="13">
        <v>27</v>
      </c>
    </row>
    <row r="455" spans="1:7" x14ac:dyDescent="0.2">
      <c r="A455" s="21">
        <v>45716</v>
      </c>
      <c r="B455" s="8" t="s">
        <v>8</v>
      </c>
      <c r="C455" s="32">
        <v>50385</v>
      </c>
      <c r="D455" s="10">
        <v>27000</v>
      </c>
      <c r="E455" s="11"/>
      <c r="F455" s="12">
        <f t="shared" si="8"/>
        <v>1031606.8400000036</v>
      </c>
      <c r="G455" s="13">
        <v>28</v>
      </c>
    </row>
    <row r="456" spans="1:7" x14ac:dyDescent="0.2">
      <c r="A456" s="21">
        <v>45716</v>
      </c>
      <c r="B456" s="8" t="s">
        <v>9</v>
      </c>
      <c r="C456" s="32">
        <v>50386</v>
      </c>
      <c r="D456" s="10">
        <v>956</v>
      </c>
      <c r="E456" s="11"/>
      <c r="F456" s="12">
        <f t="shared" si="8"/>
        <v>1030650.8400000036</v>
      </c>
      <c r="G456" s="13">
        <v>29</v>
      </c>
    </row>
    <row r="457" spans="1:7" x14ac:dyDescent="0.2">
      <c r="A457" s="21">
        <v>45716</v>
      </c>
      <c r="B457" s="8" t="s">
        <v>15</v>
      </c>
      <c r="C457" s="32">
        <v>50387</v>
      </c>
      <c r="D457" s="10">
        <v>5870.76</v>
      </c>
      <c r="E457" s="11"/>
      <c r="F457" s="12">
        <f t="shared" si="8"/>
        <v>1024780.0800000036</v>
      </c>
      <c r="G457" s="13">
        <v>30</v>
      </c>
    </row>
    <row r="458" spans="1:7" x14ac:dyDescent="0.2">
      <c r="A458" s="21">
        <v>45716</v>
      </c>
      <c r="B458" s="8" t="s">
        <v>18</v>
      </c>
      <c r="C458" s="32">
        <v>50387</v>
      </c>
      <c r="D458" s="10">
        <v>838.68</v>
      </c>
      <c r="E458" s="11"/>
      <c r="F458" s="12">
        <f t="shared" si="8"/>
        <v>1023941.4000000035</v>
      </c>
      <c r="G458" s="13">
        <v>31</v>
      </c>
    </row>
    <row r="459" spans="1:7" x14ac:dyDescent="0.2">
      <c r="A459" s="21">
        <v>45716</v>
      </c>
      <c r="B459" s="8" t="s">
        <v>12</v>
      </c>
      <c r="C459" s="32">
        <v>50384</v>
      </c>
      <c r="D459" s="10">
        <v>12000</v>
      </c>
      <c r="E459" s="11"/>
      <c r="F459" s="12">
        <f t="shared" si="8"/>
        <v>1011941.4000000035</v>
      </c>
      <c r="G459" s="13">
        <v>32</v>
      </c>
    </row>
    <row r="460" spans="1:7" x14ac:dyDescent="0.2">
      <c r="A460" s="21">
        <v>45716</v>
      </c>
      <c r="B460" s="8" t="s">
        <v>12</v>
      </c>
      <c r="C460" s="32">
        <v>50385</v>
      </c>
      <c r="D460" s="10">
        <v>162</v>
      </c>
      <c r="E460" s="11"/>
      <c r="F460" s="12">
        <f t="shared" si="8"/>
        <v>1011779.4000000035</v>
      </c>
      <c r="G460" s="13">
        <v>33</v>
      </c>
    </row>
    <row r="461" spans="1:7" x14ac:dyDescent="0.2">
      <c r="A461" s="21">
        <v>45716</v>
      </c>
      <c r="B461" s="8" t="s">
        <v>13</v>
      </c>
      <c r="C461" s="32">
        <v>50385</v>
      </c>
      <c r="D461" s="10">
        <v>405</v>
      </c>
      <c r="E461" s="11"/>
      <c r="F461" s="12">
        <f t="shared" si="8"/>
        <v>1011374.4000000035</v>
      </c>
      <c r="G461" s="13">
        <v>34</v>
      </c>
    </row>
    <row r="462" spans="1:7" x14ac:dyDescent="0.2">
      <c r="A462" s="21">
        <v>45716</v>
      </c>
      <c r="B462" s="8" t="s">
        <v>12</v>
      </c>
      <c r="C462" s="32">
        <v>50386</v>
      </c>
      <c r="D462" s="10">
        <v>5.74</v>
      </c>
      <c r="E462" s="11"/>
      <c r="F462" s="12">
        <f t="shared" si="8"/>
        <v>1011368.6600000035</v>
      </c>
      <c r="G462" s="13">
        <v>35</v>
      </c>
    </row>
    <row r="463" spans="1:7" x14ac:dyDescent="0.2">
      <c r="A463" s="21">
        <v>45716</v>
      </c>
      <c r="B463" s="8" t="s">
        <v>12</v>
      </c>
      <c r="C463" s="32">
        <v>50387</v>
      </c>
      <c r="D463" s="10">
        <v>35.22</v>
      </c>
      <c r="E463" s="11"/>
      <c r="F463" s="12">
        <f t="shared" si="8"/>
        <v>1011333.4400000036</v>
      </c>
      <c r="G463" s="13">
        <v>36</v>
      </c>
    </row>
    <row r="464" spans="1:7" x14ac:dyDescent="0.2">
      <c r="A464" s="21">
        <v>45716</v>
      </c>
      <c r="B464" s="8" t="s">
        <v>12</v>
      </c>
      <c r="C464" s="32">
        <v>50387</v>
      </c>
      <c r="D464" s="10">
        <v>5.03</v>
      </c>
      <c r="E464" s="11"/>
      <c r="F464" s="12">
        <f t="shared" si="8"/>
        <v>1011328.4100000035</v>
      </c>
      <c r="G464" s="13">
        <v>37</v>
      </c>
    </row>
    <row r="465" spans="1:7" x14ac:dyDescent="0.2">
      <c r="A465" s="21">
        <v>45716</v>
      </c>
      <c r="B465" s="8" t="s">
        <v>12</v>
      </c>
      <c r="C465" s="32">
        <v>50385</v>
      </c>
      <c r="D465" s="10">
        <v>2.4300000000000002</v>
      </c>
      <c r="E465" s="11"/>
      <c r="F465" s="12">
        <f t="shared" si="8"/>
        <v>1011325.9800000035</v>
      </c>
      <c r="G465" s="13">
        <v>38</v>
      </c>
    </row>
    <row r="467" spans="1:7" x14ac:dyDescent="0.2">
      <c r="A467" s="37" t="s">
        <v>0</v>
      </c>
      <c r="B467" s="16" t="s">
        <v>1</v>
      </c>
      <c r="C467" s="16" t="s">
        <v>2</v>
      </c>
      <c r="D467" s="17" t="s">
        <v>3</v>
      </c>
      <c r="E467" s="17" t="s">
        <v>4</v>
      </c>
      <c r="F467" s="17" t="s">
        <v>5</v>
      </c>
      <c r="G467" s="30"/>
    </row>
    <row r="468" spans="1:7" x14ac:dyDescent="0.2">
      <c r="A468" s="41"/>
      <c r="B468" s="5" t="s">
        <v>6</v>
      </c>
      <c r="C468" s="31"/>
      <c r="D468" s="26"/>
      <c r="E468" s="26"/>
      <c r="F468" s="7">
        <v>1011325.98</v>
      </c>
      <c r="G468" s="15">
        <v>1</v>
      </c>
    </row>
    <row r="469" spans="1:7" x14ac:dyDescent="0.2">
      <c r="A469" s="21">
        <v>45721</v>
      </c>
      <c r="B469" s="8" t="s">
        <v>9</v>
      </c>
      <c r="C469" s="32">
        <v>50397</v>
      </c>
      <c r="D469" s="10">
        <v>956</v>
      </c>
      <c r="E469" s="11"/>
      <c r="F469" s="12">
        <f t="shared" ref="F469:F520" si="9">+F468+E469-D469</f>
        <v>1010369.98</v>
      </c>
      <c r="G469" s="15">
        <v>2</v>
      </c>
    </row>
    <row r="470" spans="1:7" x14ac:dyDescent="0.2">
      <c r="A470" s="21">
        <v>45721</v>
      </c>
      <c r="B470" s="8" t="s">
        <v>15</v>
      </c>
      <c r="C470" s="32">
        <v>50398</v>
      </c>
      <c r="D470" s="10">
        <v>200.76</v>
      </c>
      <c r="E470" s="11"/>
      <c r="F470" s="12">
        <f t="shared" si="9"/>
        <v>1010169.22</v>
      </c>
      <c r="G470" s="15">
        <v>3</v>
      </c>
    </row>
    <row r="471" spans="1:7" x14ac:dyDescent="0.2">
      <c r="A471" s="21">
        <v>45721</v>
      </c>
      <c r="B471" s="8" t="s">
        <v>12</v>
      </c>
      <c r="C471" s="32">
        <v>50397</v>
      </c>
      <c r="D471" s="10">
        <v>5.74</v>
      </c>
      <c r="E471" s="11"/>
      <c r="F471" s="12">
        <f t="shared" si="9"/>
        <v>1010163.48</v>
      </c>
      <c r="G471" s="15">
        <v>4</v>
      </c>
    </row>
    <row r="472" spans="1:7" x14ac:dyDescent="0.2">
      <c r="A472" s="21">
        <v>45721</v>
      </c>
      <c r="B472" s="8" t="s">
        <v>12</v>
      </c>
      <c r="C472" s="32">
        <v>50398</v>
      </c>
      <c r="D472" s="10">
        <v>1.2</v>
      </c>
      <c r="E472" s="11"/>
      <c r="F472" s="12">
        <f t="shared" si="9"/>
        <v>1010162.28</v>
      </c>
      <c r="G472" s="15">
        <v>5</v>
      </c>
    </row>
    <row r="473" spans="1:7" x14ac:dyDescent="0.2">
      <c r="A473" s="21">
        <v>45729</v>
      </c>
      <c r="B473" s="8" t="s">
        <v>7</v>
      </c>
      <c r="C473" s="32">
        <v>6086017</v>
      </c>
      <c r="D473" s="11"/>
      <c r="E473" s="14">
        <v>337042684.43000001</v>
      </c>
      <c r="F473" s="12">
        <f t="shared" si="9"/>
        <v>338052846.70999998</v>
      </c>
      <c r="G473" s="15">
        <v>6</v>
      </c>
    </row>
    <row r="474" spans="1:7" x14ac:dyDescent="0.2">
      <c r="A474" s="21">
        <v>45729</v>
      </c>
      <c r="B474" s="8" t="s">
        <v>14</v>
      </c>
      <c r="C474" s="32">
        <v>6086017</v>
      </c>
      <c r="D474" s="10">
        <v>2022256.11</v>
      </c>
      <c r="E474" s="11"/>
      <c r="F474" s="12">
        <f t="shared" si="9"/>
        <v>336030590.59999996</v>
      </c>
      <c r="G474" s="15">
        <v>7</v>
      </c>
    </row>
    <row r="475" spans="1:7" x14ac:dyDescent="0.2">
      <c r="A475" s="21">
        <v>45729</v>
      </c>
      <c r="B475" s="8" t="s">
        <v>17</v>
      </c>
      <c r="C475" s="32">
        <v>6086017</v>
      </c>
      <c r="D475" s="10">
        <v>674085.37</v>
      </c>
      <c r="E475" s="11"/>
      <c r="F475" s="12">
        <f t="shared" si="9"/>
        <v>335356505.22999996</v>
      </c>
      <c r="G475" s="15">
        <v>8</v>
      </c>
    </row>
    <row r="476" spans="1:7" x14ac:dyDescent="0.2">
      <c r="A476" s="21">
        <v>45729</v>
      </c>
      <c r="B476" s="8" t="s">
        <v>12</v>
      </c>
      <c r="C476" s="32">
        <v>6086017</v>
      </c>
      <c r="D476" s="10">
        <v>4044.51</v>
      </c>
      <c r="E476" s="11"/>
      <c r="F476" s="12">
        <f t="shared" si="9"/>
        <v>335352460.71999997</v>
      </c>
      <c r="G476" s="15">
        <v>9</v>
      </c>
    </row>
    <row r="477" spans="1:7" x14ac:dyDescent="0.2">
      <c r="A477" s="21">
        <v>45734</v>
      </c>
      <c r="B477" s="8" t="s">
        <v>11</v>
      </c>
      <c r="C477" s="32">
        <v>50439</v>
      </c>
      <c r="D477" s="10">
        <v>40000000</v>
      </c>
      <c r="E477" s="11"/>
      <c r="F477" s="12">
        <f t="shared" si="9"/>
        <v>295352460.71999997</v>
      </c>
      <c r="G477" s="15">
        <v>10</v>
      </c>
    </row>
    <row r="478" spans="1:7" x14ac:dyDescent="0.2">
      <c r="A478" s="21">
        <v>45735</v>
      </c>
      <c r="B478" s="8" t="s">
        <v>16</v>
      </c>
      <c r="C478" s="32">
        <v>112947000</v>
      </c>
      <c r="D478" s="10">
        <v>3194098.47</v>
      </c>
      <c r="E478" s="11"/>
      <c r="F478" s="12">
        <f t="shared" si="9"/>
        <v>292158362.24999994</v>
      </c>
      <c r="G478" s="15">
        <v>11</v>
      </c>
    </row>
    <row r="479" spans="1:7" x14ac:dyDescent="0.2">
      <c r="A479" s="21">
        <v>45735</v>
      </c>
      <c r="B479" s="8" t="s">
        <v>16</v>
      </c>
      <c r="C479" s="32">
        <v>112947000</v>
      </c>
      <c r="D479" s="10">
        <v>4142236.53</v>
      </c>
      <c r="E479" s="11"/>
      <c r="F479" s="12">
        <f t="shared" si="9"/>
        <v>288016125.71999997</v>
      </c>
      <c r="G479" s="15">
        <v>12</v>
      </c>
    </row>
    <row r="480" spans="1:7" x14ac:dyDescent="0.2">
      <c r="A480" s="21">
        <v>45735</v>
      </c>
      <c r="B480" s="8" t="s">
        <v>16</v>
      </c>
      <c r="C480" s="32">
        <v>112947000</v>
      </c>
      <c r="D480" s="10">
        <v>6639589.2199999997</v>
      </c>
      <c r="E480" s="11"/>
      <c r="F480" s="12">
        <f t="shared" si="9"/>
        <v>281376536.49999994</v>
      </c>
      <c r="G480" s="15">
        <v>13</v>
      </c>
    </row>
    <row r="481" spans="1:7" x14ac:dyDescent="0.2">
      <c r="A481" s="21">
        <v>45735</v>
      </c>
      <c r="B481" s="8" t="s">
        <v>16</v>
      </c>
      <c r="C481" s="32">
        <v>112947000</v>
      </c>
      <c r="D481" s="10">
        <v>16709.55</v>
      </c>
      <c r="E481" s="11"/>
      <c r="F481" s="12">
        <f t="shared" si="9"/>
        <v>281359826.94999993</v>
      </c>
      <c r="G481" s="15">
        <v>14</v>
      </c>
    </row>
    <row r="482" spans="1:7" x14ac:dyDescent="0.2">
      <c r="A482" s="21">
        <v>45735</v>
      </c>
      <c r="B482" s="8" t="s">
        <v>16</v>
      </c>
      <c r="C482" s="32">
        <v>112947000</v>
      </c>
      <c r="D482" s="10">
        <v>4144859.35</v>
      </c>
      <c r="E482" s="11"/>
      <c r="F482" s="12">
        <f t="shared" si="9"/>
        <v>277214967.5999999</v>
      </c>
      <c r="G482" s="15">
        <v>15</v>
      </c>
    </row>
    <row r="483" spans="1:7" x14ac:dyDescent="0.2">
      <c r="A483" s="21">
        <v>45735</v>
      </c>
      <c r="B483" s="8" t="s">
        <v>16</v>
      </c>
      <c r="C483" s="32">
        <v>112947000</v>
      </c>
      <c r="D483" s="10">
        <v>1809989.17</v>
      </c>
      <c r="E483" s="11"/>
      <c r="F483" s="12">
        <f t="shared" si="9"/>
        <v>275404978.42999989</v>
      </c>
      <c r="G483" s="15">
        <v>16</v>
      </c>
    </row>
    <row r="484" spans="1:7" x14ac:dyDescent="0.2">
      <c r="A484" s="21">
        <v>45735</v>
      </c>
      <c r="B484" s="8" t="s">
        <v>9</v>
      </c>
      <c r="C484" s="32">
        <v>50458</v>
      </c>
      <c r="D484" s="10">
        <v>956</v>
      </c>
      <c r="E484" s="11"/>
      <c r="F484" s="12">
        <f t="shared" si="9"/>
        <v>275404022.42999989</v>
      </c>
      <c r="G484" s="15">
        <v>17</v>
      </c>
    </row>
    <row r="485" spans="1:7" x14ac:dyDescent="0.2">
      <c r="A485" s="21">
        <v>45735</v>
      </c>
      <c r="B485" s="8" t="s">
        <v>15</v>
      </c>
      <c r="C485" s="32">
        <v>50459</v>
      </c>
      <c r="D485" s="10">
        <v>200.76</v>
      </c>
      <c r="E485" s="11"/>
      <c r="F485" s="12">
        <f t="shared" si="9"/>
        <v>275403821.6699999</v>
      </c>
      <c r="G485" s="15">
        <v>18</v>
      </c>
    </row>
    <row r="486" spans="1:7" x14ac:dyDescent="0.2">
      <c r="A486" s="21">
        <v>45735</v>
      </c>
      <c r="B486" s="8" t="s">
        <v>12</v>
      </c>
      <c r="C486" s="32">
        <v>112947000</v>
      </c>
      <c r="D486" s="10">
        <v>19164.59</v>
      </c>
      <c r="E486" s="11"/>
      <c r="F486" s="12">
        <f t="shared" si="9"/>
        <v>275384657.07999992</v>
      </c>
      <c r="G486" s="15">
        <v>19</v>
      </c>
    </row>
    <row r="487" spans="1:7" x14ac:dyDescent="0.2">
      <c r="A487" s="21">
        <v>45735</v>
      </c>
      <c r="B487" s="8" t="s">
        <v>12</v>
      </c>
      <c r="C487" s="32">
        <v>112947000</v>
      </c>
      <c r="D487" s="10">
        <v>24853.42</v>
      </c>
      <c r="E487" s="11"/>
      <c r="F487" s="12">
        <f t="shared" si="9"/>
        <v>275359803.65999991</v>
      </c>
      <c r="G487" s="15">
        <v>20</v>
      </c>
    </row>
    <row r="488" spans="1:7" x14ac:dyDescent="0.2">
      <c r="A488" s="21">
        <v>45735</v>
      </c>
      <c r="B488" s="8" t="s">
        <v>12</v>
      </c>
      <c r="C488" s="32">
        <v>112947000</v>
      </c>
      <c r="D488" s="10">
        <v>39837.54</v>
      </c>
      <c r="E488" s="11"/>
      <c r="F488" s="12">
        <f t="shared" si="9"/>
        <v>275319966.11999989</v>
      </c>
      <c r="G488" s="15">
        <v>21</v>
      </c>
    </row>
    <row r="489" spans="1:7" x14ac:dyDescent="0.2">
      <c r="A489" s="21">
        <v>45735</v>
      </c>
      <c r="B489" s="8" t="s">
        <v>12</v>
      </c>
      <c r="C489" s="32">
        <v>112947000</v>
      </c>
      <c r="D489" s="10">
        <v>100.26</v>
      </c>
      <c r="E489" s="11"/>
      <c r="F489" s="12">
        <f t="shared" si="9"/>
        <v>275319865.8599999</v>
      </c>
      <c r="G489" s="15">
        <v>22</v>
      </c>
    </row>
    <row r="490" spans="1:7" x14ac:dyDescent="0.2">
      <c r="A490" s="21">
        <v>45735</v>
      </c>
      <c r="B490" s="8" t="s">
        <v>12</v>
      </c>
      <c r="C490" s="32">
        <v>112947000</v>
      </c>
      <c r="D490" s="10">
        <v>24869.16</v>
      </c>
      <c r="E490" s="11"/>
      <c r="F490" s="12">
        <f t="shared" si="9"/>
        <v>275294996.69999987</v>
      </c>
      <c r="G490" s="15">
        <v>23</v>
      </c>
    </row>
    <row r="491" spans="1:7" x14ac:dyDescent="0.2">
      <c r="A491" s="21">
        <v>45735</v>
      </c>
      <c r="B491" s="8" t="s">
        <v>12</v>
      </c>
      <c r="C491" s="32">
        <v>112947000</v>
      </c>
      <c r="D491" s="10">
        <v>10859.94</v>
      </c>
      <c r="E491" s="11"/>
      <c r="F491" s="12">
        <f t="shared" si="9"/>
        <v>275284136.75999987</v>
      </c>
      <c r="G491" s="15">
        <v>24</v>
      </c>
    </row>
    <row r="492" spans="1:7" x14ac:dyDescent="0.2">
      <c r="A492" s="21">
        <v>45735</v>
      </c>
      <c r="B492" s="8" t="s">
        <v>12</v>
      </c>
      <c r="C492" s="32">
        <v>50458</v>
      </c>
      <c r="D492" s="10">
        <v>5.74</v>
      </c>
      <c r="E492" s="11"/>
      <c r="F492" s="12">
        <f t="shared" si="9"/>
        <v>275284131.01999986</v>
      </c>
      <c r="G492" s="15">
        <v>25</v>
      </c>
    </row>
    <row r="493" spans="1:7" x14ac:dyDescent="0.2">
      <c r="A493" s="21">
        <v>45735</v>
      </c>
      <c r="B493" s="8" t="s">
        <v>12</v>
      </c>
      <c r="C493" s="32">
        <v>50459</v>
      </c>
      <c r="D493" s="10">
        <v>1.2</v>
      </c>
      <c r="E493" s="11"/>
      <c r="F493" s="12">
        <f t="shared" si="9"/>
        <v>275284129.81999987</v>
      </c>
      <c r="G493" s="15">
        <v>26</v>
      </c>
    </row>
    <row r="494" spans="1:7" x14ac:dyDescent="0.2">
      <c r="A494" s="21">
        <v>45741</v>
      </c>
      <c r="B494" s="8" t="s">
        <v>11</v>
      </c>
      <c r="C494" s="32">
        <v>50470</v>
      </c>
      <c r="D494" s="10">
        <v>50000000</v>
      </c>
      <c r="E494" s="11"/>
      <c r="F494" s="12">
        <f t="shared" si="9"/>
        <v>225284129.81999987</v>
      </c>
      <c r="G494" s="15">
        <v>27</v>
      </c>
    </row>
    <row r="495" spans="1:7" x14ac:dyDescent="0.2">
      <c r="A495" s="21">
        <v>45742</v>
      </c>
      <c r="B495" s="8" t="s">
        <v>11</v>
      </c>
      <c r="C495" s="32">
        <v>50478</v>
      </c>
      <c r="D495" s="10">
        <v>70000000</v>
      </c>
      <c r="E495" s="11"/>
      <c r="F495" s="12">
        <f t="shared" si="9"/>
        <v>155284129.81999987</v>
      </c>
      <c r="G495" s="15">
        <v>28</v>
      </c>
    </row>
    <row r="496" spans="1:7" x14ac:dyDescent="0.2">
      <c r="A496" s="21">
        <v>45742</v>
      </c>
      <c r="B496" s="8" t="s">
        <v>9</v>
      </c>
      <c r="C496" s="32">
        <v>50481</v>
      </c>
      <c r="D496" s="10">
        <v>956</v>
      </c>
      <c r="E496" s="11"/>
      <c r="F496" s="12">
        <f t="shared" si="9"/>
        <v>155283173.81999987</v>
      </c>
      <c r="G496" s="15">
        <v>29</v>
      </c>
    </row>
    <row r="497" spans="1:7" x14ac:dyDescent="0.2">
      <c r="A497" s="21">
        <v>45742</v>
      </c>
      <c r="B497" s="8" t="s">
        <v>15</v>
      </c>
      <c r="C497" s="32">
        <v>50482</v>
      </c>
      <c r="D497" s="10">
        <v>200.76</v>
      </c>
      <c r="E497" s="11"/>
      <c r="F497" s="12">
        <f t="shared" si="9"/>
        <v>155282973.05999988</v>
      </c>
      <c r="G497" s="15">
        <v>30</v>
      </c>
    </row>
    <row r="498" spans="1:7" x14ac:dyDescent="0.2">
      <c r="A498" s="21">
        <v>45742</v>
      </c>
      <c r="B498" s="8" t="s">
        <v>12</v>
      </c>
      <c r="C498" s="32">
        <v>50481</v>
      </c>
      <c r="D498" s="10">
        <v>5.74</v>
      </c>
      <c r="E498" s="11"/>
      <c r="F498" s="12">
        <f t="shared" si="9"/>
        <v>155282967.31999987</v>
      </c>
      <c r="G498" s="15">
        <v>31</v>
      </c>
    </row>
    <row r="499" spans="1:7" x14ac:dyDescent="0.2">
      <c r="A499" s="21">
        <v>45742</v>
      </c>
      <c r="B499" s="8" t="s">
        <v>12</v>
      </c>
      <c r="C499" s="32">
        <v>50482</v>
      </c>
      <c r="D499" s="10">
        <v>1.2</v>
      </c>
      <c r="E499" s="11"/>
      <c r="F499" s="12">
        <f t="shared" si="9"/>
        <v>155282966.11999989</v>
      </c>
      <c r="G499" s="15">
        <v>32</v>
      </c>
    </row>
    <row r="500" spans="1:7" x14ac:dyDescent="0.2">
      <c r="A500" s="21">
        <v>45743</v>
      </c>
      <c r="B500" s="8" t="s">
        <v>9</v>
      </c>
      <c r="C500" s="32">
        <v>50503</v>
      </c>
      <c r="D500" s="10">
        <v>956</v>
      </c>
      <c r="E500" s="11"/>
      <c r="F500" s="12">
        <f t="shared" si="9"/>
        <v>155282010.11999989</v>
      </c>
      <c r="G500" s="15">
        <v>33</v>
      </c>
    </row>
    <row r="501" spans="1:7" x14ac:dyDescent="0.2">
      <c r="A501" s="21">
        <v>45743</v>
      </c>
      <c r="B501" s="8" t="s">
        <v>15</v>
      </c>
      <c r="C501" s="32">
        <v>50504</v>
      </c>
      <c r="D501" s="10">
        <v>200.76</v>
      </c>
      <c r="E501" s="11"/>
      <c r="F501" s="12">
        <f t="shared" si="9"/>
        <v>155281809.3599999</v>
      </c>
      <c r="G501" s="15">
        <v>34</v>
      </c>
    </row>
    <row r="502" spans="1:7" x14ac:dyDescent="0.2">
      <c r="A502" s="21">
        <v>45743</v>
      </c>
      <c r="B502" s="8" t="s">
        <v>12</v>
      </c>
      <c r="C502" s="32">
        <v>50503</v>
      </c>
      <c r="D502" s="10">
        <v>5.74</v>
      </c>
      <c r="E502" s="11"/>
      <c r="F502" s="12">
        <f t="shared" si="9"/>
        <v>155281803.61999989</v>
      </c>
      <c r="G502" s="15">
        <v>35</v>
      </c>
    </row>
    <row r="503" spans="1:7" x14ac:dyDescent="0.2">
      <c r="A503" s="21">
        <v>45743</v>
      </c>
      <c r="B503" s="8" t="s">
        <v>12</v>
      </c>
      <c r="C503" s="32">
        <v>50504</v>
      </c>
      <c r="D503" s="10">
        <v>1.2</v>
      </c>
      <c r="E503" s="11"/>
      <c r="F503" s="12">
        <f t="shared" si="9"/>
        <v>155281802.4199999</v>
      </c>
      <c r="G503" s="15">
        <v>36</v>
      </c>
    </row>
    <row r="504" spans="1:7" x14ac:dyDescent="0.2">
      <c r="A504" s="21">
        <v>45744</v>
      </c>
      <c r="B504" s="8" t="s">
        <v>11</v>
      </c>
      <c r="C504" s="32">
        <v>50509</v>
      </c>
      <c r="D504" s="10">
        <v>150000000</v>
      </c>
      <c r="E504" s="11"/>
      <c r="F504" s="12">
        <f t="shared" si="9"/>
        <v>5281802.4199998975</v>
      </c>
      <c r="G504" s="15">
        <v>37</v>
      </c>
    </row>
    <row r="505" spans="1:7" x14ac:dyDescent="0.2">
      <c r="A505" s="21">
        <v>45744</v>
      </c>
      <c r="B505" s="8" t="s">
        <v>10</v>
      </c>
      <c r="C505" s="32">
        <v>50515</v>
      </c>
      <c r="D505" s="10">
        <v>2000000</v>
      </c>
      <c r="E505" s="11"/>
      <c r="F505" s="12">
        <f t="shared" si="9"/>
        <v>3281802.4199998975</v>
      </c>
      <c r="G505" s="15">
        <v>38</v>
      </c>
    </row>
    <row r="506" spans="1:7" x14ac:dyDescent="0.2">
      <c r="A506" s="21">
        <v>45744</v>
      </c>
      <c r="B506" s="8" t="s">
        <v>8</v>
      </c>
      <c r="C506" s="32">
        <v>50518</v>
      </c>
      <c r="D506" s="10">
        <v>27000</v>
      </c>
      <c r="E506" s="11"/>
      <c r="F506" s="12">
        <f t="shared" si="9"/>
        <v>3254802.4199998975</v>
      </c>
      <c r="G506" s="15">
        <v>39</v>
      </c>
    </row>
    <row r="507" spans="1:7" x14ac:dyDescent="0.2">
      <c r="A507" s="21">
        <v>45744</v>
      </c>
      <c r="B507" s="8" t="s">
        <v>15</v>
      </c>
      <c r="C507" s="32">
        <v>50519</v>
      </c>
      <c r="D507" s="10">
        <v>5670</v>
      </c>
      <c r="E507" s="11"/>
      <c r="F507" s="12">
        <f t="shared" si="9"/>
        <v>3249132.4199998975</v>
      </c>
      <c r="G507" s="15">
        <v>40</v>
      </c>
    </row>
    <row r="508" spans="1:7" x14ac:dyDescent="0.2">
      <c r="A508" s="21">
        <v>45744</v>
      </c>
      <c r="B508" s="8" t="s">
        <v>18</v>
      </c>
      <c r="C508" s="32">
        <v>50519</v>
      </c>
      <c r="D508" s="10">
        <v>810</v>
      </c>
      <c r="E508" s="11"/>
      <c r="F508" s="12">
        <f t="shared" si="9"/>
        <v>3248322.4199998975</v>
      </c>
      <c r="G508" s="15">
        <v>41</v>
      </c>
    </row>
    <row r="509" spans="1:7" x14ac:dyDescent="0.2">
      <c r="A509" s="21">
        <v>45744</v>
      </c>
      <c r="B509" s="8" t="s">
        <v>12</v>
      </c>
      <c r="C509" s="32">
        <v>50515</v>
      </c>
      <c r="D509" s="10">
        <v>12000</v>
      </c>
      <c r="F509" s="12">
        <f t="shared" si="9"/>
        <v>3236322.4199998975</v>
      </c>
      <c r="G509" s="15">
        <v>42</v>
      </c>
    </row>
    <row r="510" spans="1:7" x14ac:dyDescent="0.2">
      <c r="A510" s="21">
        <v>45744</v>
      </c>
      <c r="B510" s="8" t="s">
        <v>12</v>
      </c>
      <c r="C510" s="32">
        <v>50518</v>
      </c>
      <c r="D510" s="10">
        <v>162</v>
      </c>
      <c r="F510" s="12">
        <f t="shared" si="9"/>
        <v>3236160.4199998975</v>
      </c>
      <c r="G510" s="15">
        <v>43</v>
      </c>
    </row>
    <row r="511" spans="1:7" x14ac:dyDescent="0.2">
      <c r="A511" s="21">
        <v>45744</v>
      </c>
      <c r="B511" s="8" t="s">
        <v>13</v>
      </c>
      <c r="C511" s="32">
        <v>50518</v>
      </c>
      <c r="D511" s="10">
        <v>405</v>
      </c>
      <c r="F511" s="12">
        <f t="shared" si="9"/>
        <v>3235755.4199998975</v>
      </c>
      <c r="G511" s="15">
        <v>44</v>
      </c>
    </row>
    <row r="512" spans="1:7" x14ac:dyDescent="0.2">
      <c r="A512" s="21">
        <v>45744</v>
      </c>
      <c r="B512" s="8" t="s">
        <v>12</v>
      </c>
      <c r="C512" s="32">
        <v>50519</v>
      </c>
      <c r="D512" s="10">
        <v>34.020000000000003</v>
      </c>
      <c r="F512" s="12">
        <f t="shared" si="9"/>
        <v>3235721.3999998975</v>
      </c>
      <c r="G512" s="15">
        <v>45</v>
      </c>
    </row>
    <row r="513" spans="1:7" x14ac:dyDescent="0.2">
      <c r="A513" s="21">
        <v>45744</v>
      </c>
      <c r="B513" s="8" t="s">
        <v>12</v>
      </c>
      <c r="C513" s="32">
        <v>50519</v>
      </c>
      <c r="D513" s="10">
        <v>4.8600000000000003</v>
      </c>
      <c r="F513" s="12">
        <f t="shared" si="9"/>
        <v>3235716.5399998976</v>
      </c>
      <c r="G513" s="15">
        <v>46</v>
      </c>
    </row>
    <row r="514" spans="1:7" x14ac:dyDescent="0.2">
      <c r="A514" s="21">
        <v>45744</v>
      </c>
      <c r="B514" s="8" t="s">
        <v>12</v>
      </c>
      <c r="C514" s="32">
        <v>50518</v>
      </c>
      <c r="D514" s="10">
        <v>2.4300000000000002</v>
      </c>
      <c r="F514" s="12">
        <f t="shared" si="9"/>
        <v>3235714.1099998974</v>
      </c>
      <c r="G514" s="15">
        <v>47</v>
      </c>
    </row>
    <row r="515" spans="1:7" x14ac:dyDescent="0.2">
      <c r="A515" s="21">
        <v>45747</v>
      </c>
      <c r="B515" s="8" t="s">
        <v>9</v>
      </c>
      <c r="C515" s="32">
        <v>50528</v>
      </c>
      <c r="D515" s="10">
        <v>956</v>
      </c>
      <c r="F515" s="12">
        <f t="shared" si="9"/>
        <v>3234758.1099998974</v>
      </c>
      <c r="G515" s="15">
        <v>48</v>
      </c>
    </row>
    <row r="516" spans="1:7" x14ac:dyDescent="0.2">
      <c r="A516" s="21">
        <v>45747</v>
      </c>
      <c r="B516" s="8" t="s">
        <v>9</v>
      </c>
      <c r="C516" s="32">
        <v>50529</v>
      </c>
      <c r="D516" s="10">
        <v>956</v>
      </c>
      <c r="F516" s="12">
        <f t="shared" si="9"/>
        <v>3233802.1099998974</v>
      </c>
      <c r="G516" s="15">
        <v>49</v>
      </c>
    </row>
    <row r="517" spans="1:7" x14ac:dyDescent="0.2">
      <c r="A517" s="21">
        <v>45747</v>
      </c>
      <c r="B517" s="8" t="s">
        <v>15</v>
      </c>
      <c r="C517" s="32">
        <v>50530</v>
      </c>
      <c r="D517" s="10">
        <v>401.52</v>
      </c>
      <c r="F517" s="12">
        <f t="shared" si="9"/>
        <v>3233400.5899998974</v>
      </c>
      <c r="G517" s="15">
        <v>50</v>
      </c>
    </row>
    <row r="518" spans="1:7" x14ac:dyDescent="0.2">
      <c r="A518" s="21">
        <v>45747</v>
      </c>
      <c r="B518" s="8" t="s">
        <v>12</v>
      </c>
      <c r="C518" s="32">
        <v>50528</v>
      </c>
      <c r="D518" s="10">
        <v>5.74</v>
      </c>
      <c r="F518" s="12">
        <f t="shared" si="9"/>
        <v>3233394.8499998972</v>
      </c>
      <c r="G518" s="15">
        <v>51</v>
      </c>
    </row>
    <row r="519" spans="1:7" x14ac:dyDescent="0.2">
      <c r="A519" s="21">
        <v>45747</v>
      </c>
      <c r="B519" s="8" t="s">
        <v>12</v>
      </c>
      <c r="C519" s="32">
        <v>50529</v>
      </c>
      <c r="D519" s="10">
        <v>5.74</v>
      </c>
      <c r="F519" s="12">
        <f t="shared" si="9"/>
        <v>3233389.109999897</v>
      </c>
      <c r="G519" s="15">
        <v>52</v>
      </c>
    </row>
    <row r="520" spans="1:7" x14ac:dyDescent="0.2">
      <c r="A520" s="21">
        <v>45747</v>
      </c>
      <c r="B520" s="8" t="s">
        <v>12</v>
      </c>
      <c r="C520" s="32">
        <v>50530</v>
      </c>
      <c r="D520" s="10">
        <v>2.41</v>
      </c>
      <c r="F520" s="12">
        <f t="shared" si="9"/>
        <v>3233386.6999998968</v>
      </c>
      <c r="G520" s="15">
        <v>53</v>
      </c>
    </row>
    <row r="522" spans="1:7" x14ac:dyDescent="0.2">
      <c r="A522" s="37" t="s">
        <v>0</v>
      </c>
      <c r="B522" s="16" t="s">
        <v>1</v>
      </c>
      <c r="C522" s="16" t="s">
        <v>2</v>
      </c>
      <c r="D522" s="17" t="s">
        <v>3</v>
      </c>
      <c r="E522" s="17" t="s">
        <v>4</v>
      </c>
      <c r="F522" s="17" t="s">
        <v>5</v>
      </c>
      <c r="G522" s="30"/>
    </row>
    <row r="523" spans="1:7" x14ac:dyDescent="0.2">
      <c r="A523" s="39"/>
      <c r="B523" s="28" t="s">
        <v>6</v>
      </c>
      <c r="C523" s="25"/>
      <c r="D523" s="26"/>
      <c r="E523" s="26"/>
      <c r="F523" s="7">
        <v>3233386.7</v>
      </c>
      <c r="G523" s="15">
        <v>1</v>
      </c>
    </row>
    <row r="524" spans="1:7" x14ac:dyDescent="0.2">
      <c r="A524" s="21">
        <v>45754</v>
      </c>
      <c r="B524" s="29" t="s">
        <v>20</v>
      </c>
      <c r="C524" s="9">
        <v>10741571</v>
      </c>
      <c r="D524" s="10">
        <v>27806.54</v>
      </c>
      <c r="E524" s="11"/>
      <c r="F524" s="12">
        <f t="shared" ref="F524:F583" si="10">+F523+E524-D524</f>
        <v>3205580.16</v>
      </c>
      <c r="G524" s="15">
        <v>2</v>
      </c>
    </row>
    <row r="525" spans="1:7" x14ac:dyDescent="0.2">
      <c r="A525" s="21">
        <v>45754</v>
      </c>
      <c r="B525" s="29" t="s">
        <v>12</v>
      </c>
      <c r="C525" s="9">
        <v>10741571</v>
      </c>
      <c r="D525" s="10">
        <v>166.84</v>
      </c>
      <c r="E525" s="11"/>
      <c r="F525" s="12">
        <f t="shared" si="10"/>
        <v>3205413.3200000003</v>
      </c>
      <c r="G525" s="15">
        <v>3</v>
      </c>
    </row>
    <row r="526" spans="1:7" x14ac:dyDescent="0.2">
      <c r="A526" s="21">
        <v>45762</v>
      </c>
      <c r="B526" s="29" t="s">
        <v>7</v>
      </c>
      <c r="C526" s="9">
        <v>5668642</v>
      </c>
      <c r="D526" s="11"/>
      <c r="E526" s="14">
        <v>308322201.72000003</v>
      </c>
      <c r="F526" s="12">
        <f t="shared" si="10"/>
        <v>311527615.04000002</v>
      </c>
      <c r="G526" s="15">
        <v>4</v>
      </c>
    </row>
    <row r="527" spans="1:7" x14ac:dyDescent="0.2">
      <c r="A527" s="21">
        <v>45762</v>
      </c>
      <c r="B527" s="29" t="s">
        <v>11</v>
      </c>
      <c r="C527" s="9">
        <v>50572</v>
      </c>
      <c r="D527" s="10">
        <v>40000000</v>
      </c>
      <c r="E527" s="11"/>
      <c r="F527" s="12">
        <f t="shared" si="10"/>
        <v>271527615.04000002</v>
      </c>
      <c r="G527" s="15">
        <v>5</v>
      </c>
    </row>
    <row r="528" spans="1:7" x14ac:dyDescent="0.2">
      <c r="A528" s="21">
        <v>45762</v>
      </c>
      <c r="B528" s="29" t="s">
        <v>14</v>
      </c>
      <c r="C528" s="9">
        <v>5668642</v>
      </c>
      <c r="D528" s="10">
        <v>1849933.21</v>
      </c>
      <c r="E528" s="11"/>
      <c r="F528" s="12">
        <f t="shared" si="10"/>
        <v>269677681.83000004</v>
      </c>
      <c r="G528" s="15">
        <v>6</v>
      </c>
    </row>
    <row r="529" spans="1:7" x14ac:dyDescent="0.2">
      <c r="A529" s="21">
        <v>45762</v>
      </c>
      <c r="B529" s="29" t="s">
        <v>17</v>
      </c>
      <c r="C529" s="9">
        <v>5668642</v>
      </c>
      <c r="D529" s="10">
        <v>616644.4</v>
      </c>
      <c r="E529" s="11"/>
      <c r="F529" s="12">
        <f t="shared" si="10"/>
        <v>269061037.43000007</v>
      </c>
      <c r="G529" s="15">
        <v>7</v>
      </c>
    </row>
    <row r="530" spans="1:7" x14ac:dyDescent="0.2">
      <c r="A530" s="21">
        <v>45762</v>
      </c>
      <c r="B530" s="29" t="s">
        <v>12</v>
      </c>
      <c r="C530" s="9">
        <v>5668642</v>
      </c>
      <c r="D530" s="10">
        <v>3699.87</v>
      </c>
      <c r="E530" s="11"/>
      <c r="F530" s="12">
        <f t="shared" si="10"/>
        <v>269057337.56000006</v>
      </c>
      <c r="G530" s="15">
        <v>8</v>
      </c>
    </row>
    <row r="531" spans="1:7" x14ac:dyDescent="0.2">
      <c r="A531" s="21">
        <v>45763</v>
      </c>
      <c r="B531" s="29" t="s">
        <v>9</v>
      </c>
      <c r="C531" s="9">
        <v>50578</v>
      </c>
      <c r="D531" s="10">
        <v>956</v>
      </c>
      <c r="E531" s="11"/>
      <c r="F531" s="12">
        <f t="shared" si="10"/>
        <v>269056381.56000006</v>
      </c>
      <c r="G531" s="15">
        <v>9</v>
      </c>
    </row>
    <row r="532" spans="1:7" x14ac:dyDescent="0.2">
      <c r="A532" s="21">
        <v>45763</v>
      </c>
      <c r="B532" s="29" t="s">
        <v>15</v>
      </c>
      <c r="C532" s="9">
        <v>50579</v>
      </c>
      <c r="D532" s="10">
        <v>200.76</v>
      </c>
      <c r="E532" s="11"/>
      <c r="F532" s="12">
        <f t="shared" si="10"/>
        <v>269056180.80000007</v>
      </c>
      <c r="G532" s="15">
        <v>10</v>
      </c>
    </row>
    <row r="533" spans="1:7" x14ac:dyDescent="0.2">
      <c r="A533" s="21">
        <v>45763</v>
      </c>
      <c r="B533" s="29" t="s">
        <v>12</v>
      </c>
      <c r="C533" s="9">
        <v>50578</v>
      </c>
      <c r="D533" s="10">
        <v>5.74</v>
      </c>
      <c r="E533" s="11"/>
      <c r="F533" s="12">
        <f t="shared" si="10"/>
        <v>269056175.06000006</v>
      </c>
      <c r="G533" s="15">
        <v>11</v>
      </c>
    </row>
    <row r="534" spans="1:7" x14ac:dyDescent="0.2">
      <c r="A534" s="21">
        <v>45763</v>
      </c>
      <c r="B534" s="29" t="s">
        <v>12</v>
      </c>
      <c r="C534" s="9">
        <v>50579</v>
      </c>
      <c r="D534" s="10">
        <v>1.2</v>
      </c>
      <c r="E534" s="11"/>
      <c r="F534" s="12">
        <f t="shared" si="10"/>
        <v>269056173.86000007</v>
      </c>
      <c r="G534" s="15">
        <v>12</v>
      </c>
    </row>
    <row r="535" spans="1:7" x14ac:dyDescent="0.2">
      <c r="A535" s="21">
        <v>45768</v>
      </c>
      <c r="B535" s="29" t="s">
        <v>11</v>
      </c>
      <c r="C535" s="9">
        <v>50587</v>
      </c>
      <c r="D535" s="10">
        <v>40000000</v>
      </c>
      <c r="E535" s="11"/>
      <c r="F535" s="12">
        <f t="shared" si="10"/>
        <v>229056173.86000007</v>
      </c>
      <c r="G535" s="15">
        <v>13</v>
      </c>
    </row>
    <row r="536" spans="1:7" x14ac:dyDescent="0.2">
      <c r="A536" s="21">
        <v>45768</v>
      </c>
      <c r="B536" s="29" t="s">
        <v>9</v>
      </c>
      <c r="C536" s="9">
        <v>50592</v>
      </c>
      <c r="D536" s="10">
        <v>956</v>
      </c>
      <c r="E536" s="11"/>
      <c r="F536" s="12">
        <f t="shared" si="10"/>
        <v>229055217.86000007</v>
      </c>
      <c r="G536" s="15">
        <v>14</v>
      </c>
    </row>
    <row r="537" spans="1:7" x14ac:dyDescent="0.2">
      <c r="A537" s="21">
        <v>45768</v>
      </c>
      <c r="B537" s="29" t="s">
        <v>15</v>
      </c>
      <c r="C537" s="9">
        <v>50593</v>
      </c>
      <c r="D537" s="10">
        <v>200.76</v>
      </c>
      <c r="E537" s="11"/>
      <c r="F537" s="12">
        <f t="shared" si="10"/>
        <v>229055017.10000008</v>
      </c>
      <c r="G537" s="15">
        <v>15</v>
      </c>
    </row>
    <row r="538" spans="1:7" x14ac:dyDescent="0.2">
      <c r="A538" s="21">
        <v>45768</v>
      </c>
      <c r="B538" s="29" t="s">
        <v>12</v>
      </c>
      <c r="C538" s="9">
        <v>50592</v>
      </c>
      <c r="D538" s="10">
        <v>5.74</v>
      </c>
      <c r="E538" s="11"/>
      <c r="F538" s="12">
        <f t="shared" si="10"/>
        <v>229055011.36000007</v>
      </c>
      <c r="G538" s="15">
        <v>16</v>
      </c>
    </row>
    <row r="539" spans="1:7" x14ac:dyDescent="0.2">
      <c r="A539" s="21">
        <v>45768</v>
      </c>
      <c r="B539" s="29" t="s">
        <v>12</v>
      </c>
      <c r="C539" s="9">
        <v>50593</v>
      </c>
      <c r="D539" s="10">
        <v>1.2</v>
      </c>
      <c r="E539" s="11"/>
      <c r="F539" s="12">
        <f t="shared" si="10"/>
        <v>229055010.16000009</v>
      </c>
      <c r="G539" s="15">
        <v>17</v>
      </c>
    </row>
    <row r="540" spans="1:7" x14ac:dyDescent="0.2">
      <c r="A540" s="21">
        <v>45772</v>
      </c>
      <c r="B540" s="29" t="s">
        <v>21</v>
      </c>
      <c r="C540" s="9">
        <v>4634646</v>
      </c>
      <c r="D540" s="10">
        <v>60000000</v>
      </c>
      <c r="E540" s="11"/>
      <c r="F540" s="12">
        <f t="shared" si="10"/>
        <v>169055010.16000009</v>
      </c>
      <c r="G540" s="15">
        <v>18</v>
      </c>
    </row>
    <row r="541" spans="1:7" x14ac:dyDescent="0.2">
      <c r="A541" s="21">
        <v>45772</v>
      </c>
      <c r="B541" s="29" t="s">
        <v>22</v>
      </c>
      <c r="C541" s="9">
        <v>50615</v>
      </c>
      <c r="D541" s="10">
        <v>8575</v>
      </c>
      <c r="E541" s="11"/>
      <c r="F541" s="12">
        <f t="shared" si="10"/>
        <v>169046435.16000009</v>
      </c>
      <c r="G541" s="15">
        <v>19</v>
      </c>
    </row>
    <row r="542" spans="1:7" x14ac:dyDescent="0.2">
      <c r="A542" s="21">
        <v>45772</v>
      </c>
      <c r="B542" s="29" t="s">
        <v>23</v>
      </c>
      <c r="C542" s="9">
        <v>50616</v>
      </c>
      <c r="D542" s="10">
        <v>1800.75</v>
      </c>
      <c r="E542" s="11"/>
      <c r="F542" s="12">
        <f t="shared" si="10"/>
        <v>169044634.41000009</v>
      </c>
      <c r="G542" s="15">
        <v>20</v>
      </c>
    </row>
    <row r="543" spans="1:7" x14ac:dyDescent="0.2">
      <c r="A543" s="21">
        <v>45772</v>
      </c>
      <c r="B543" s="29" t="s">
        <v>24</v>
      </c>
      <c r="C543" s="9">
        <v>50617</v>
      </c>
      <c r="D543" s="10">
        <v>257.25</v>
      </c>
      <c r="E543" s="11"/>
      <c r="F543" s="12">
        <f t="shared" si="10"/>
        <v>169044377.16000009</v>
      </c>
      <c r="G543" s="15">
        <v>21</v>
      </c>
    </row>
    <row r="544" spans="1:7" x14ac:dyDescent="0.2">
      <c r="A544" s="21">
        <v>45772</v>
      </c>
      <c r="B544" s="29" t="s">
        <v>21</v>
      </c>
      <c r="C544" s="9">
        <v>4634647</v>
      </c>
      <c r="D544" s="10">
        <v>60000000</v>
      </c>
      <c r="E544" s="11"/>
      <c r="F544" s="12">
        <f t="shared" si="10"/>
        <v>109044377.16000009</v>
      </c>
      <c r="G544" s="15">
        <v>22</v>
      </c>
    </row>
    <row r="545" spans="1:7" x14ac:dyDescent="0.2">
      <c r="A545" s="21">
        <v>45772</v>
      </c>
      <c r="B545" s="29" t="s">
        <v>22</v>
      </c>
      <c r="C545" s="9">
        <v>50619</v>
      </c>
      <c r="D545" s="10">
        <v>8575</v>
      </c>
      <c r="E545" s="11"/>
      <c r="F545" s="12">
        <f t="shared" si="10"/>
        <v>109035802.16000009</v>
      </c>
      <c r="G545" s="15">
        <v>23</v>
      </c>
    </row>
    <row r="546" spans="1:7" x14ac:dyDescent="0.2">
      <c r="A546" s="21">
        <v>45772</v>
      </c>
      <c r="B546" s="29" t="s">
        <v>23</v>
      </c>
      <c r="C546" s="9">
        <v>50620</v>
      </c>
      <c r="D546" s="10">
        <v>1800.75</v>
      </c>
      <c r="E546" s="11"/>
      <c r="F546" s="12">
        <f t="shared" si="10"/>
        <v>109034001.41000009</v>
      </c>
      <c r="G546" s="15">
        <v>24</v>
      </c>
    </row>
    <row r="547" spans="1:7" x14ac:dyDescent="0.2">
      <c r="A547" s="21">
        <v>45772</v>
      </c>
      <c r="B547" s="29" t="s">
        <v>24</v>
      </c>
      <c r="C547" s="9">
        <v>50621</v>
      </c>
      <c r="D547" s="10">
        <v>257.25</v>
      </c>
      <c r="E547" s="11"/>
      <c r="F547" s="12">
        <f t="shared" si="10"/>
        <v>109033744.16000009</v>
      </c>
      <c r="G547" s="15">
        <v>25</v>
      </c>
    </row>
    <row r="548" spans="1:7" x14ac:dyDescent="0.2">
      <c r="A548" s="21">
        <v>45772</v>
      </c>
      <c r="B548" s="29" t="s">
        <v>12</v>
      </c>
      <c r="C548" s="9">
        <v>50615</v>
      </c>
      <c r="D548" s="10">
        <v>51.45</v>
      </c>
      <c r="E548" s="11"/>
      <c r="F548" s="12">
        <f t="shared" si="10"/>
        <v>109033692.71000008</v>
      </c>
      <c r="G548" s="15">
        <v>26</v>
      </c>
    </row>
    <row r="549" spans="1:7" x14ac:dyDescent="0.2">
      <c r="A549" s="21">
        <v>45772</v>
      </c>
      <c r="B549" s="29" t="s">
        <v>13</v>
      </c>
      <c r="C549" s="9">
        <v>50615</v>
      </c>
      <c r="D549" s="10">
        <v>128.63</v>
      </c>
      <c r="E549" s="11"/>
      <c r="F549" s="12">
        <f t="shared" si="10"/>
        <v>109033564.08000009</v>
      </c>
      <c r="G549" s="15">
        <v>27</v>
      </c>
    </row>
    <row r="550" spans="1:7" x14ac:dyDescent="0.2">
      <c r="A550" s="21">
        <v>45772</v>
      </c>
      <c r="B550" s="29" t="s">
        <v>12</v>
      </c>
      <c r="C550" s="9">
        <v>50616</v>
      </c>
      <c r="D550" s="10">
        <v>10.8</v>
      </c>
      <c r="E550" s="11"/>
      <c r="F550" s="12">
        <f t="shared" si="10"/>
        <v>109033553.28000009</v>
      </c>
      <c r="G550" s="15">
        <v>28</v>
      </c>
    </row>
    <row r="551" spans="1:7" x14ac:dyDescent="0.2">
      <c r="A551" s="21">
        <v>45772</v>
      </c>
      <c r="B551" s="29" t="s">
        <v>12</v>
      </c>
      <c r="C551" s="9">
        <v>50617</v>
      </c>
      <c r="D551" s="10">
        <v>1.54</v>
      </c>
      <c r="E551" s="11"/>
      <c r="F551" s="12">
        <f t="shared" si="10"/>
        <v>109033551.74000008</v>
      </c>
      <c r="G551" s="15">
        <v>29</v>
      </c>
    </row>
    <row r="552" spans="1:7" x14ac:dyDescent="0.2">
      <c r="A552" s="21">
        <v>45772</v>
      </c>
      <c r="B552" s="29" t="s">
        <v>12</v>
      </c>
      <c r="C552" s="9">
        <v>50619</v>
      </c>
      <c r="D552" s="10">
        <v>51.45</v>
      </c>
      <c r="E552" s="11"/>
      <c r="F552" s="12">
        <f t="shared" si="10"/>
        <v>109033500.29000008</v>
      </c>
      <c r="G552" s="15">
        <v>30</v>
      </c>
    </row>
    <row r="553" spans="1:7" x14ac:dyDescent="0.2">
      <c r="A553" s="21">
        <v>45772</v>
      </c>
      <c r="B553" s="29" t="s">
        <v>13</v>
      </c>
      <c r="C553" s="9">
        <v>50619</v>
      </c>
      <c r="D553" s="10">
        <v>128.63</v>
      </c>
      <c r="E553" s="11"/>
      <c r="F553" s="12">
        <f t="shared" si="10"/>
        <v>109033371.66000009</v>
      </c>
      <c r="G553" s="15">
        <v>31</v>
      </c>
    </row>
    <row r="554" spans="1:7" x14ac:dyDescent="0.2">
      <c r="A554" s="21">
        <v>45772</v>
      </c>
      <c r="B554" s="29" t="s">
        <v>12</v>
      </c>
      <c r="C554" s="9">
        <v>50620</v>
      </c>
      <c r="D554" s="10">
        <v>10.8</v>
      </c>
      <c r="E554" s="11"/>
      <c r="F554" s="12">
        <f t="shared" si="10"/>
        <v>109033360.86000009</v>
      </c>
      <c r="G554" s="15">
        <v>32</v>
      </c>
    </row>
    <row r="555" spans="1:7" x14ac:dyDescent="0.2">
      <c r="A555" s="21">
        <v>45772</v>
      </c>
      <c r="B555" s="29" t="s">
        <v>12</v>
      </c>
      <c r="C555" s="9">
        <v>50621</v>
      </c>
      <c r="D555" s="10">
        <v>1.54</v>
      </c>
      <c r="E555" s="11"/>
      <c r="F555" s="12">
        <f t="shared" si="10"/>
        <v>109033359.32000008</v>
      </c>
      <c r="G555" s="15">
        <v>33</v>
      </c>
    </row>
    <row r="556" spans="1:7" x14ac:dyDescent="0.2">
      <c r="A556" s="21">
        <v>45772</v>
      </c>
      <c r="B556" s="29" t="s">
        <v>12</v>
      </c>
      <c r="C556" s="9">
        <v>50615</v>
      </c>
      <c r="D556" s="10">
        <v>0.77</v>
      </c>
      <c r="E556" s="11"/>
      <c r="F556" s="12">
        <f t="shared" si="10"/>
        <v>109033358.55000009</v>
      </c>
      <c r="G556" s="15">
        <v>34</v>
      </c>
    </row>
    <row r="557" spans="1:7" x14ac:dyDescent="0.2">
      <c r="A557" s="21">
        <v>45772</v>
      </c>
      <c r="B557" s="29" t="s">
        <v>12</v>
      </c>
      <c r="C557" s="9">
        <v>50619</v>
      </c>
      <c r="D557" s="10">
        <v>0.77</v>
      </c>
      <c r="E557" s="11"/>
      <c r="F557" s="12">
        <f t="shared" si="10"/>
        <v>109033357.78000009</v>
      </c>
      <c r="G557" s="15">
        <v>35</v>
      </c>
    </row>
    <row r="558" spans="1:7" x14ac:dyDescent="0.2">
      <c r="A558" s="21">
        <v>45776</v>
      </c>
      <c r="B558" s="29" t="s">
        <v>21</v>
      </c>
      <c r="C558" s="9">
        <v>4634649</v>
      </c>
      <c r="D558" s="10">
        <v>50000000</v>
      </c>
      <c r="E558" s="11"/>
      <c r="F558" s="12">
        <f t="shared" si="10"/>
        <v>59033357.780000091</v>
      </c>
      <c r="G558" s="15">
        <v>36</v>
      </c>
    </row>
    <row r="559" spans="1:7" x14ac:dyDescent="0.2">
      <c r="A559" s="21">
        <v>45776</v>
      </c>
      <c r="B559" s="29" t="s">
        <v>22</v>
      </c>
      <c r="C559" s="9">
        <v>50655</v>
      </c>
      <c r="D559" s="10">
        <v>8575</v>
      </c>
      <c r="E559" s="11"/>
      <c r="F559" s="12">
        <f t="shared" si="10"/>
        <v>59024782.780000091</v>
      </c>
      <c r="G559" s="15">
        <v>37</v>
      </c>
    </row>
    <row r="560" spans="1:7" x14ac:dyDescent="0.2">
      <c r="A560" s="21">
        <v>45776</v>
      </c>
      <c r="B560" s="29" t="s">
        <v>23</v>
      </c>
      <c r="C560" s="9">
        <v>50656</v>
      </c>
      <c r="D560" s="10">
        <v>1800.75</v>
      </c>
      <c r="E560" s="11"/>
      <c r="F560" s="12">
        <f t="shared" si="10"/>
        <v>59022982.030000091</v>
      </c>
      <c r="G560" s="15">
        <v>38</v>
      </c>
    </row>
    <row r="561" spans="1:7" x14ac:dyDescent="0.2">
      <c r="A561" s="21">
        <v>45776</v>
      </c>
      <c r="B561" s="29" t="s">
        <v>24</v>
      </c>
      <c r="C561" s="9">
        <v>50657</v>
      </c>
      <c r="D561" s="10">
        <v>257.25</v>
      </c>
      <c r="E561" s="11"/>
      <c r="F561" s="12">
        <f t="shared" si="10"/>
        <v>59022724.780000091</v>
      </c>
      <c r="G561" s="15">
        <v>39</v>
      </c>
    </row>
    <row r="562" spans="1:7" x14ac:dyDescent="0.2">
      <c r="A562" s="21">
        <v>45776</v>
      </c>
      <c r="B562" s="29" t="s">
        <v>21</v>
      </c>
      <c r="C562" s="9">
        <v>4634648</v>
      </c>
      <c r="D562" s="10">
        <v>50000000</v>
      </c>
      <c r="E562" s="11"/>
      <c r="F562" s="12">
        <f t="shared" si="10"/>
        <v>9022724.7800000906</v>
      </c>
      <c r="G562" s="15">
        <v>40</v>
      </c>
    </row>
    <row r="563" spans="1:7" x14ac:dyDescent="0.2">
      <c r="A563" s="21">
        <v>45776</v>
      </c>
      <c r="B563" s="29" t="s">
        <v>22</v>
      </c>
      <c r="C563" s="9">
        <v>50659</v>
      </c>
      <c r="D563" s="10">
        <v>8575</v>
      </c>
      <c r="E563" s="11"/>
      <c r="F563" s="12">
        <f t="shared" si="10"/>
        <v>9014149.7800000906</v>
      </c>
      <c r="G563" s="15">
        <v>41</v>
      </c>
    </row>
    <row r="564" spans="1:7" x14ac:dyDescent="0.2">
      <c r="A564" s="36">
        <v>45776</v>
      </c>
      <c r="B564" s="29" t="s">
        <v>23</v>
      </c>
      <c r="C564" s="9">
        <v>50660</v>
      </c>
      <c r="D564" s="10">
        <v>1800.75</v>
      </c>
      <c r="E564" s="11"/>
      <c r="F564" s="12">
        <f t="shared" si="10"/>
        <v>9012349.0300000906</v>
      </c>
      <c r="G564" s="15">
        <v>42</v>
      </c>
    </row>
    <row r="565" spans="1:7" x14ac:dyDescent="0.2">
      <c r="A565" s="36">
        <v>45776</v>
      </c>
      <c r="B565" s="29" t="s">
        <v>24</v>
      </c>
      <c r="C565" s="9">
        <v>50661</v>
      </c>
      <c r="D565" s="10">
        <v>257.25</v>
      </c>
      <c r="E565" s="11"/>
      <c r="F565" s="12">
        <f t="shared" si="10"/>
        <v>9012091.7800000906</v>
      </c>
      <c r="G565" s="15">
        <v>43</v>
      </c>
    </row>
    <row r="566" spans="1:7" x14ac:dyDescent="0.2">
      <c r="A566" s="36">
        <v>45776</v>
      </c>
      <c r="B566" s="29" t="s">
        <v>12</v>
      </c>
      <c r="C566" s="9">
        <v>50655</v>
      </c>
      <c r="D566" s="10">
        <v>51.45</v>
      </c>
      <c r="F566" s="12">
        <f t="shared" si="10"/>
        <v>9012040.3300000913</v>
      </c>
      <c r="G566" s="15">
        <v>44</v>
      </c>
    </row>
    <row r="567" spans="1:7" x14ac:dyDescent="0.2">
      <c r="A567" s="36">
        <v>45776</v>
      </c>
      <c r="B567" s="29" t="s">
        <v>13</v>
      </c>
      <c r="C567" s="9">
        <v>50655</v>
      </c>
      <c r="D567" s="10">
        <v>128.63</v>
      </c>
      <c r="F567" s="12">
        <f t="shared" si="10"/>
        <v>9011911.7000000905</v>
      </c>
      <c r="G567" s="15">
        <v>45</v>
      </c>
    </row>
    <row r="568" spans="1:7" x14ac:dyDescent="0.2">
      <c r="A568" s="36">
        <v>45776</v>
      </c>
      <c r="B568" s="29" t="s">
        <v>12</v>
      </c>
      <c r="C568" s="9">
        <v>50656</v>
      </c>
      <c r="D568" s="10">
        <v>10.8</v>
      </c>
      <c r="F568" s="12">
        <f t="shared" si="10"/>
        <v>9011900.9000000898</v>
      </c>
      <c r="G568" s="15">
        <v>46</v>
      </c>
    </row>
    <row r="569" spans="1:7" x14ac:dyDescent="0.2">
      <c r="A569" s="36">
        <v>45776</v>
      </c>
      <c r="B569" s="29" t="s">
        <v>12</v>
      </c>
      <c r="C569" s="9">
        <v>50657</v>
      </c>
      <c r="D569" s="10">
        <v>1.54</v>
      </c>
      <c r="F569" s="12">
        <f t="shared" si="10"/>
        <v>9011899.3600000907</v>
      </c>
      <c r="G569" s="15">
        <v>47</v>
      </c>
    </row>
    <row r="570" spans="1:7" x14ac:dyDescent="0.2">
      <c r="A570" s="36">
        <v>45776</v>
      </c>
      <c r="B570" s="29" t="s">
        <v>12</v>
      </c>
      <c r="C570" s="9">
        <v>50659</v>
      </c>
      <c r="D570" s="10">
        <v>51.45</v>
      </c>
      <c r="F570" s="12">
        <f t="shared" si="10"/>
        <v>9011847.9100000914</v>
      </c>
      <c r="G570" s="15">
        <v>48</v>
      </c>
    </row>
    <row r="571" spans="1:7" x14ac:dyDescent="0.2">
      <c r="A571" s="36">
        <v>45776</v>
      </c>
      <c r="B571" s="29" t="s">
        <v>13</v>
      </c>
      <c r="C571" s="9">
        <v>50659</v>
      </c>
      <c r="D571" s="10">
        <v>128.63</v>
      </c>
      <c r="F571" s="12">
        <f t="shared" si="10"/>
        <v>9011719.2800000906</v>
      </c>
      <c r="G571" s="15">
        <v>49</v>
      </c>
    </row>
    <row r="572" spans="1:7" x14ac:dyDescent="0.2">
      <c r="A572" s="36">
        <v>45776</v>
      </c>
      <c r="B572" s="29" t="s">
        <v>12</v>
      </c>
      <c r="C572" s="9">
        <v>50660</v>
      </c>
      <c r="D572" s="10">
        <v>10.8</v>
      </c>
      <c r="F572" s="12">
        <f t="shared" si="10"/>
        <v>9011708.4800000899</v>
      </c>
      <c r="G572" s="15">
        <v>50</v>
      </c>
    </row>
    <row r="573" spans="1:7" x14ac:dyDescent="0.2">
      <c r="A573" s="36">
        <v>45776</v>
      </c>
      <c r="B573" s="29" t="s">
        <v>12</v>
      </c>
      <c r="C573" s="9">
        <v>50661</v>
      </c>
      <c r="D573" s="10">
        <v>1.54</v>
      </c>
      <c r="F573" s="12">
        <f t="shared" si="10"/>
        <v>9011706.9400000907</v>
      </c>
      <c r="G573" s="15">
        <v>51</v>
      </c>
    </row>
    <row r="574" spans="1:7" x14ac:dyDescent="0.2">
      <c r="A574" s="36">
        <v>45776</v>
      </c>
      <c r="B574" s="29" t="s">
        <v>12</v>
      </c>
      <c r="C574" s="9">
        <v>50655</v>
      </c>
      <c r="D574" s="10">
        <v>0.77</v>
      </c>
      <c r="F574" s="12">
        <f t="shared" si="10"/>
        <v>9011706.1700000912</v>
      </c>
      <c r="G574" s="15">
        <v>52</v>
      </c>
    </row>
    <row r="575" spans="1:7" x14ac:dyDescent="0.2">
      <c r="A575" s="36">
        <v>45776</v>
      </c>
      <c r="B575" s="29" t="s">
        <v>12</v>
      </c>
      <c r="C575" s="9">
        <v>50659</v>
      </c>
      <c r="D575" s="10">
        <v>0.77</v>
      </c>
      <c r="F575" s="12">
        <f t="shared" si="10"/>
        <v>9011705.4000000916</v>
      </c>
      <c r="G575" s="15">
        <v>53</v>
      </c>
    </row>
    <row r="576" spans="1:7" x14ac:dyDescent="0.2">
      <c r="A576" s="36">
        <v>45777</v>
      </c>
      <c r="B576" s="29" t="s">
        <v>25</v>
      </c>
      <c r="C576" s="9">
        <v>50694</v>
      </c>
      <c r="D576" s="10">
        <v>27000</v>
      </c>
      <c r="F576" s="12">
        <f t="shared" si="10"/>
        <v>8984705.4000000916</v>
      </c>
      <c r="G576" s="15">
        <v>54</v>
      </c>
    </row>
    <row r="577" spans="1:7" x14ac:dyDescent="0.2">
      <c r="A577" s="36">
        <v>45777</v>
      </c>
      <c r="B577" s="29" t="s">
        <v>15</v>
      </c>
      <c r="C577" s="9">
        <v>50695</v>
      </c>
      <c r="D577" s="10">
        <v>5670</v>
      </c>
      <c r="E577" s="11"/>
      <c r="F577" s="12">
        <f t="shared" si="10"/>
        <v>8979035.4000000916</v>
      </c>
      <c r="G577" s="15">
        <v>55</v>
      </c>
    </row>
    <row r="578" spans="1:7" x14ac:dyDescent="0.2">
      <c r="A578" s="36">
        <v>45777</v>
      </c>
      <c r="B578" s="29" t="s">
        <v>18</v>
      </c>
      <c r="C578" s="9">
        <v>50695</v>
      </c>
      <c r="D578" s="10">
        <v>810</v>
      </c>
      <c r="E578" s="11"/>
      <c r="F578" s="12">
        <f t="shared" si="10"/>
        <v>8978225.4000000916</v>
      </c>
      <c r="G578" s="15">
        <v>56</v>
      </c>
    </row>
    <row r="579" spans="1:7" x14ac:dyDescent="0.2">
      <c r="A579" s="36">
        <v>45777</v>
      </c>
      <c r="B579" s="29" t="s">
        <v>12</v>
      </c>
      <c r="C579" s="9">
        <v>50694</v>
      </c>
      <c r="D579" s="10">
        <v>162</v>
      </c>
      <c r="E579" s="11"/>
      <c r="F579" s="12">
        <f t="shared" si="10"/>
        <v>8978063.4000000916</v>
      </c>
      <c r="G579" s="15">
        <v>57</v>
      </c>
    </row>
    <row r="580" spans="1:7" x14ac:dyDescent="0.2">
      <c r="A580" s="36">
        <v>45777</v>
      </c>
      <c r="B580" s="29" t="s">
        <v>13</v>
      </c>
      <c r="C580" s="9">
        <v>50694</v>
      </c>
      <c r="D580" s="10">
        <v>405</v>
      </c>
      <c r="E580" s="11"/>
      <c r="F580" s="12">
        <f t="shared" si="10"/>
        <v>8977658.4000000916</v>
      </c>
      <c r="G580" s="15">
        <v>58</v>
      </c>
    </row>
    <row r="581" spans="1:7" x14ac:dyDescent="0.2">
      <c r="A581" s="36">
        <v>45777</v>
      </c>
      <c r="B581" s="29" t="s">
        <v>12</v>
      </c>
      <c r="C581" s="9">
        <v>50695</v>
      </c>
      <c r="D581" s="10">
        <v>34.020000000000003</v>
      </c>
      <c r="E581" s="11"/>
      <c r="F581" s="12">
        <f t="shared" si="10"/>
        <v>8977624.3800000921</v>
      </c>
      <c r="G581" s="15">
        <v>59</v>
      </c>
    </row>
    <row r="582" spans="1:7" x14ac:dyDescent="0.2">
      <c r="A582" s="36">
        <v>45777</v>
      </c>
      <c r="B582" s="29" t="s">
        <v>12</v>
      </c>
      <c r="C582" s="9">
        <v>50695</v>
      </c>
      <c r="D582" s="10">
        <v>4.8600000000000003</v>
      </c>
      <c r="E582" s="11"/>
      <c r="F582" s="12">
        <f t="shared" si="10"/>
        <v>8977619.5200000927</v>
      </c>
      <c r="G582" s="15">
        <v>60</v>
      </c>
    </row>
    <row r="583" spans="1:7" x14ac:dyDescent="0.2">
      <c r="A583" s="36">
        <v>45777</v>
      </c>
      <c r="B583" s="29" t="s">
        <v>12</v>
      </c>
      <c r="C583" s="9">
        <v>50694</v>
      </c>
      <c r="D583" s="10">
        <v>2.4300000000000002</v>
      </c>
      <c r="E583" s="11"/>
      <c r="F583" s="12">
        <f t="shared" si="10"/>
        <v>8977617.090000093</v>
      </c>
      <c r="G583" s="15">
        <v>61</v>
      </c>
    </row>
    <row r="585" spans="1:7" x14ac:dyDescent="0.2">
      <c r="A585" s="37" t="s">
        <v>0</v>
      </c>
      <c r="B585" s="16" t="s">
        <v>1</v>
      </c>
      <c r="C585" s="16" t="s">
        <v>2</v>
      </c>
      <c r="D585" s="17" t="s">
        <v>3</v>
      </c>
      <c r="E585" s="17" t="s">
        <v>4</v>
      </c>
      <c r="F585" s="17" t="s">
        <v>5</v>
      </c>
      <c r="G585" s="18"/>
    </row>
    <row r="586" spans="1:7" x14ac:dyDescent="0.2">
      <c r="A586" s="39"/>
      <c r="B586" s="5" t="s">
        <v>6</v>
      </c>
      <c r="C586" s="25"/>
      <c r="D586" s="26"/>
      <c r="E586" s="26"/>
      <c r="F586" s="7">
        <v>8977617.0899999999</v>
      </c>
      <c r="G586" s="13">
        <v>1</v>
      </c>
    </row>
    <row r="587" spans="1:7" x14ac:dyDescent="0.2">
      <c r="A587" s="21">
        <v>45786</v>
      </c>
      <c r="B587" s="8" t="s">
        <v>11</v>
      </c>
      <c r="C587" s="9">
        <v>50712</v>
      </c>
      <c r="D587" s="10">
        <v>6000000</v>
      </c>
      <c r="E587" s="11"/>
      <c r="F587" s="12">
        <f t="shared" ref="F587:F638" si="11">+F586+E587-D587</f>
        <v>2977617.09</v>
      </c>
      <c r="G587" s="13">
        <v>2</v>
      </c>
    </row>
    <row r="588" spans="1:7" x14ac:dyDescent="0.2">
      <c r="A588" s="21">
        <v>45789</v>
      </c>
      <c r="B588" s="8" t="s">
        <v>9</v>
      </c>
      <c r="C588" s="9">
        <v>50715</v>
      </c>
      <c r="D588" s="10">
        <v>956</v>
      </c>
      <c r="E588" s="11"/>
      <c r="F588" s="12">
        <f t="shared" si="11"/>
        <v>2976661.09</v>
      </c>
      <c r="G588" s="13">
        <v>3</v>
      </c>
    </row>
    <row r="589" spans="1:7" x14ac:dyDescent="0.2">
      <c r="A589" s="21">
        <v>45789</v>
      </c>
      <c r="B589" s="8" t="s">
        <v>15</v>
      </c>
      <c r="C589" s="9">
        <v>50716</v>
      </c>
      <c r="D589" s="10">
        <v>200.76</v>
      </c>
      <c r="E589" s="11"/>
      <c r="F589" s="12">
        <f t="shared" si="11"/>
        <v>2976460.33</v>
      </c>
      <c r="G589" s="13">
        <v>4</v>
      </c>
    </row>
    <row r="590" spans="1:7" x14ac:dyDescent="0.2">
      <c r="A590" s="21">
        <v>45789</v>
      </c>
      <c r="B590" s="8" t="s">
        <v>12</v>
      </c>
      <c r="C590" s="9">
        <v>50715</v>
      </c>
      <c r="D590" s="10">
        <v>5.74</v>
      </c>
      <c r="E590" s="11"/>
      <c r="F590" s="12">
        <f t="shared" si="11"/>
        <v>2976454.59</v>
      </c>
      <c r="G590" s="13">
        <v>5</v>
      </c>
    </row>
    <row r="591" spans="1:7" x14ac:dyDescent="0.2">
      <c r="A591" s="21">
        <v>45789</v>
      </c>
      <c r="B591" s="8" t="s">
        <v>12</v>
      </c>
      <c r="C591" s="9">
        <v>50716</v>
      </c>
      <c r="D591" s="10">
        <v>1.2</v>
      </c>
      <c r="E591" s="11"/>
      <c r="F591" s="12">
        <f t="shared" si="11"/>
        <v>2976453.3899999997</v>
      </c>
      <c r="G591" s="13">
        <v>6</v>
      </c>
    </row>
    <row r="592" spans="1:7" x14ac:dyDescent="0.2">
      <c r="A592" s="21">
        <v>45791</v>
      </c>
      <c r="B592" s="8" t="s">
        <v>7</v>
      </c>
      <c r="C592" s="9">
        <v>9646338</v>
      </c>
      <c r="D592" s="11"/>
      <c r="E592" s="14">
        <v>339831779.42000002</v>
      </c>
      <c r="F592" s="12">
        <f t="shared" si="11"/>
        <v>342808232.81</v>
      </c>
      <c r="G592" s="13">
        <v>7</v>
      </c>
    </row>
    <row r="593" spans="1:7" x14ac:dyDescent="0.2">
      <c r="A593" s="21">
        <v>45791</v>
      </c>
      <c r="B593" s="8" t="s">
        <v>14</v>
      </c>
      <c r="C593" s="9">
        <v>9646338</v>
      </c>
      <c r="D593" s="10">
        <v>2038990.68</v>
      </c>
      <c r="E593" s="11"/>
      <c r="F593" s="12">
        <f t="shared" si="11"/>
        <v>340769242.13</v>
      </c>
      <c r="G593" s="13">
        <v>8</v>
      </c>
    </row>
    <row r="594" spans="1:7" x14ac:dyDescent="0.2">
      <c r="A594" s="21">
        <v>45791</v>
      </c>
      <c r="B594" s="8" t="s">
        <v>17</v>
      </c>
      <c r="C594" s="9">
        <v>9646338</v>
      </c>
      <c r="D594" s="10">
        <v>679663.56</v>
      </c>
      <c r="E594" s="11"/>
      <c r="F594" s="12">
        <f t="shared" si="11"/>
        <v>340089578.56999999</v>
      </c>
      <c r="G594" s="13">
        <v>9</v>
      </c>
    </row>
    <row r="595" spans="1:7" x14ac:dyDescent="0.2">
      <c r="A595" s="21">
        <v>45791</v>
      </c>
      <c r="B595" s="8" t="s">
        <v>12</v>
      </c>
      <c r="C595" s="9">
        <v>9646338</v>
      </c>
      <c r="D595" s="10">
        <v>4077.98</v>
      </c>
      <c r="E595" s="11"/>
      <c r="F595" s="12">
        <f t="shared" si="11"/>
        <v>340085500.58999997</v>
      </c>
      <c r="G595" s="13">
        <v>10</v>
      </c>
    </row>
    <row r="596" spans="1:7" x14ac:dyDescent="0.2">
      <c r="A596" s="21">
        <v>45793</v>
      </c>
      <c r="B596" s="8" t="s">
        <v>11</v>
      </c>
      <c r="C596" s="9">
        <v>50726</v>
      </c>
      <c r="D596" s="10">
        <v>50000000</v>
      </c>
      <c r="E596" s="11"/>
      <c r="F596" s="12">
        <f t="shared" si="11"/>
        <v>290085500.58999997</v>
      </c>
      <c r="G596" s="13">
        <v>11</v>
      </c>
    </row>
    <row r="597" spans="1:7" x14ac:dyDescent="0.2">
      <c r="A597" s="21">
        <v>45796</v>
      </c>
      <c r="B597" s="8" t="s">
        <v>11</v>
      </c>
      <c r="C597" s="9">
        <v>50743</v>
      </c>
      <c r="D597" s="10">
        <v>200000000</v>
      </c>
      <c r="E597" s="11"/>
      <c r="F597" s="12">
        <f t="shared" si="11"/>
        <v>90085500.589999974</v>
      </c>
      <c r="G597" s="13">
        <v>12</v>
      </c>
    </row>
    <row r="598" spans="1:7" x14ac:dyDescent="0.2">
      <c r="A598" s="21">
        <v>45796</v>
      </c>
      <c r="B598" s="8" t="s">
        <v>9</v>
      </c>
      <c r="C598" s="9">
        <v>50746</v>
      </c>
      <c r="D598" s="10">
        <v>956</v>
      </c>
      <c r="E598" s="11"/>
      <c r="F598" s="12">
        <f t="shared" si="11"/>
        <v>90084544.589999974</v>
      </c>
      <c r="G598" s="13">
        <v>13</v>
      </c>
    </row>
    <row r="599" spans="1:7" x14ac:dyDescent="0.2">
      <c r="A599" s="21">
        <v>45796</v>
      </c>
      <c r="B599" s="8" t="s">
        <v>15</v>
      </c>
      <c r="C599" s="9">
        <v>50747</v>
      </c>
      <c r="D599" s="10">
        <v>200.76</v>
      </c>
      <c r="E599" s="11"/>
      <c r="F599" s="12">
        <f t="shared" si="11"/>
        <v>90084343.829999968</v>
      </c>
      <c r="G599" s="13">
        <v>14</v>
      </c>
    </row>
    <row r="600" spans="1:7" x14ac:dyDescent="0.2">
      <c r="A600" s="21">
        <v>45796</v>
      </c>
      <c r="B600" s="8" t="s">
        <v>12</v>
      </c>
      <c r="C600" s="9">
        <v>50746</v>
      </c>
      <c r="D600" s="10">
        <v>5.74</v>
      </c>
      <c r="E600" s="11"/>
      <c r="F600" s="12">
        <f t="shared" si="11"/>
        <v>90084338.089999974</v>
      </c>
      <c r="G600" s="13">
        <v>15</v>
      </c>
    </row>
    <row r="601" spans="1:7" x14ac:dyDescent="0.2">
      <c r="A601" s="21">
        <v>45796</v>
      </c>
      <c r="B601" s="8" t="s">
        <v>12</v>
      </c>
      <c r="C601" s="9">
        <v>50747</v>
      </c>
      <c r="D601" s="10">
        <v>1.2</v>
      </c>
      <c r="E601" s="11"/>
      <c r="F601" s="12">
        <f t="shared" si="11"/>
        <v>90084336.889999971</v>
      </c>
      <c r="G601" s="13">
        <v>16</v>
      </c>
    </row>
    <row r="602" spans="1:7" x14ac:dyDescent="0.2">
      <c r="A602" s="21">
        <v>45797</v>
      </c>
      <c r="B602" s="8" t="s">
        <v>9</v>
      </c>
      <c r="C602" s="9">
        <v>50750</v>
      </c>
      <c r="D602" s="10">
        <v>956</v>
      </c>
      <c r="E602" s="11"/>
      <c r="F602" s="12">
        <f t="shared" si="11"/>
        <v>90083380.889999971</v>
      </c>
      <c r="G602" s="13">
        <v>17</v>
      </c>
    </row>
    <row r="603" spans="1:7" x14ac:dyDescent="0.2">
      <c r="A603" s="21">
        <v>45797</v>
      </c>
      <c r="B603" s="8" t="s">
        <v>15</v>
      </c>
      <c r="C603" s="9">
        <v>50751</v>
      </c>
      <c r="D603" s="10">
        <v>200.76</v>
      </c>
      <c r="E603" s="11"/>
      <c r="F603" s="12">
        <f t="shared" si="11"/>
        <v>90083180.129999965</v>
      </c>
      <c r="G603" s="13">
        <v>18</v>
      </c>
    </row>
    <row r="604" spans="1:7" x14ac:dyDescent="0.2">
      <c r="A604" s="21">
        <v>45797</v>
      </c>
      <c r="B604" s="8" t="s">
        <v>12</v>
      </c>
      <c r="C604" s="9">
        <v>50750</v>
      </c>
      <c r="D604" s="10">
        <v>5.74</v>
      </c>
      <c r="E604" s="11"/>
      <c r="F604" s="12">
        <f t="shared" si="11"/>
        <v>90083174.389999971</v>
      </c>
      <c r="G604" s="13">
        <v>19</v>
      </c>
    </row>
    <row r="605" spans="1:7" x14ac:dyDescent="0.2">
      <c r="A605" s="21">
        <v>45797</v>
      </c>
      <c r="B605" s="8" t="s">
        <v>12</v>
      </c>
      <c r="C605" s="9">
        <v>50751</v>
      </c>
      <c r="D605" s="10">
        <v>1.2</v>
      </c>
      <c r="E605" s="11"/>
      <c r="F605" s="12">
        <f t="shared" si="11"/>
        <v>90083173.189999968</v>
      </c>
      <c r="G605" s="13">
        <v>20</v>
      </c>
    </row>
    <row r="606" spans="1:7" x14ac:dyDescent="0.2">
      <c r="A606" s="21">
        <v>45798</v>
      </c>
      <c r="B606" s="8" t="s">
        <v>11</v>
      </c>
      <c r="C606" s="9">
        <v>50757</v>
      </c>
      <c r="D606" s="10">
        <v>85000000</v>
      </c>
      <c r="E606" s="11"/>
      <c r="F606" s="12">
        <f t="shared" si="11"/>
        <v>5083173.1899999678</v>
      </c>
      <c r="G606" s="13">
        <v>21</v>
      </c>
    </row>
    <row r="607" spans="1:7" x14ac:dyDescent="0.2">
      <c r="A607" s="21">
        <v>45799</v>
      </c>
      <c r="B607" s="8" t="s">
        <v>9</v>
      </c>
      <c r="C607" s="9">
        <v>50776</v>
      </c>
      <c r="D607" s="10">
        <v>956</v>
      </c>
      <c r="E607" s="11"/>
      <c r="F607" s="12">
        <f t="shared" si="11"/>
        <v>5082217.1899999678</v>
      </c>
      <c r="G607" s="13">
        <v>22</v>
      </c>
    </row>
    <row r="608" spans="1:7" x14ac:dyDescent="0.2">
      <c r="A608" s="21">
        <v>45799</v>
      </c>
      <c r="B608" s="8" t="s">
        <v>15</v>
      </c>
      <c r="C608" s="9">
        <v>50777</v>
      </c>
      <c r="D608" s="10">
        <v>200.76</v>
      </c>
      <c r="E608" s="11"/>
      <c r="F608" s="12">
        <f t="shared" si="11"/>
        <v>5082016.429999968</v>
      </c>
      <c r="G608" s="13">
        <v>23</v>
      </c>
    </row>
    <row r="609" spans="1:7" x14ac:dyDescent="0.2">
      <c r="A609" s="21">
        <v>45799</v>
      </c>
      <c r="B609" s="8" t="s">
        <v>12</v>
      </c>
      <c r="C609" s="9">
        <v>50776</v>
      </c>
      <c r="D609" s="10">
        <v>5.74</v>
      </c>
      <c r="E609" s="11"/>
      <c r="F609" s="12">
        <f t="shared" si="11"/>
        <v>5082010.6899999678</v>
      </c>
      <c r="G609" s="13">
        <v>24</v>
      </c>
    </row>
    <row r="610" spans="1:7" x14ac:dyDescent="0.2">
      <c r="A610" s="21">
        <v>45799</v>
      </c>
      <c r="B610" s="8" t="s">
        <v>12</v>
      </c>
      <c r="C610" s="9">
        <v>50777</v>
      </c>
      <c r="D610" s="10">
        <v>1.2</v>
      </c>
      <c r="E610" s="11"/>
      <c r="F610" s="12">
        <f t="shared" si="11"/>
        <v>5082009.4899999676</v>
      </c>
      <c r="G610" s="13">
        <v>25</v>
      </c>
    </row>
    <row r="611" spans="1:7" x14ac:dyDescent="0.2">
      <c r="A611" s="21">
        <v>45800</v>
      </c>
      <c r="B611" s="8" t="s">
        <v>26</v>
      </c>
      <c r="C611" s="9">
        <v>4038901</v>
      </c>
      <c r="D611" s="11"/>
      <c r="E611" s="14">
        <v>20000000</v>
      </c>
      <c r="F611" s="12">
        <f t="shared" si="11"/>
        <v>25082009.489999969</v>
      </c>
      <c r="G611" s="13">
        <v>26</v>
      </c>
    </row>
    <row r="612" spans="1:7" x14ac:dyDescent="0.2">
      <c r="A612" s="21">
        <v>45800</v>
      </c>
      <c r="B612" s="8" t="s">
        <v>16</v>
      </c>
      <c r="C612" s="9">
        <v>112947000</v>
      </c>
      <c r="D612" s="10">
        <v>73172.179999999993</v>
      </c>
      <c r="E612" s="11"/>
      <c r="F612" s="12">
        <f t="shared" si="11"/>
        <v>25008837.309999969</v>
      </c>
      <c r="G612" s="13">
        <v>27</v>
      </c>
    </row>
    <row r="613" spans="1:7" x14ac:dyDescent="0.2">
      <c r="A613" s="21">
        <v>45800</v>
      </c>
      <c r="B613" s="8" t="s">
        <v>16</v>
      </c>
      <c r="C613" s="9">
        <v>112947000</v>
      </c>
      <c r="D613" s="10">
        <v>3398939.11</v>
      </c>
      <c r="E613" s="11"/>
      <c r="F613" s="12">
        <f t="shared" si="11"/>
        <v>21609898.199999969</v>
      </c>
      <c r="G613" s="13">
        <v>28</v>
      </c>
    </row>
    <row r="614" spans="1:7" x14ac:dyDescent="0.2">
      <c r="A614" s="21">
        <v>45800</v>
      </c>
      <c r="B614" s="8" t="s">
        <v>16</v>
      </c>
      <c r="C614" s="9">
        <v>112947000</v>
      </c>
      <c r="D614" s="10">
        <v>5230237.05</v>
      </c>
      <c r="E614" s="11"/>
      <c r="F614" s="12">
        <f t="shared" si="11"/>
        <v>16379661.149999969</v>
      </c>
      <c r="G614" s="13">
        <v>29</v>
      </c>
    </row>
    <row r="615" spans="1:7" x14ac:dyDescent="0.2">
      <c r="A615" s="21">
        <v>45800</v>
      </c>
      <c r="B615" s="8" t="s">
        <v>16</v>
      </c>
      <c r="C615" s="9">
        <v>112947000</v>
      </c>
      <c r="D615" s="10">
        <v>72458.12</v>
      </c>
      <c r="E615" s="11"/>
      <c r="F615" s="12">
        <f t="shared" si="11"/>
        <v>16307203.02999997</v>
      </c>
      <c r="G615" s="13">
        <v>30</v>
      </c>
    </row>
    <row r="616" spans="1:7" x14ac:dyDescent="0.2">
      <c r="A616" s="21">
        <v>45800</v>
      </c>
      <c r="B616" s="8" t="s">
        <v>16</v>
      </c>
      <c r="C616" s="9">
        <v>112947000</v>
      </c>
      <c r="D616" s="10">
        <v>3628228.88</v>
      </c>
      <c r="E616" s="11"/>
      <c r="F616" s="12">
        <f t="shared" si="11"/>
        <v>12678974.149999969</v>
      </c>
      <c r="G616" s="13">
        <v>31</v>
      </c>
    </row>
    <row r="617" spans="1:7" x14ac:dyDescent="0.2">
      <c r="A617" s="21">
        <v>45800</v>
      </c>
      <c r="B617" s="8" t="s">
        <v>16</v>
      </c>
      <c r="C617" s="9">
        <v>112947000</v>
      </c>
      <c r="D617" s="10">
        <v>4355836.96</v>
      </c>
      <c r="E617" s="11"/>
      <c r="F617" s="12">
        <f t="shared" si="11"/>
        <v>8323137.1899999687</v>
      </c>
      <c r="G617" s="13">
        <v>32</v>
      </c>
    </row>
    <row r="618" spans="1:7" x14ac:dyDescent="0.2">
      <c r="A618" s="21">
        <v>45800</v>
      </c>
      <c r="B618" s="8" t="s">
        <v>16</v>
      </c>
      <c r="C618" s="9">
        <v>112947000</v>
      </c>
      <c r="D618" s="10">
        <v>3982062.22</v>
      </c>
      <c r="E618" s="11"/>
      <c r="F618" s="12">
        <f t="shared" si="11"/>
        <v>4341074.969999969</v>
      </c>
      <c r="G618" s="13">
        <v>33</v>
      </c>
    </row>
    <row r="619" spans="1:7" x14ac:dyDescent="0.2">
      <c r="A619" s="21">
        <v>45800</v>
      </c>
      <c r="B619" s="8" t="s">
        <v>12</v>
      </c>
      <c r="C619" s="9">
        <v>112947000</v>
      </c>
      <c r="D619" s="10">
        <v>439.03</v>
      </c>
      <c r="F619" s="12">
        <f t="shared" si="11"/>
        <v>4340635.9399999687</v>
      </c>
      <c r="G619" s="13">
        <v>34</v>
      </c>
    </row>
    <row r="620" spans="1:7" x14ac:dyDescent="0.2">
      <c r="A620" s="21">
        <v>45800</v>
      </c>
      <c r="B620" s="8" t="s">
        <v>12</v>
      </c>
      <c r="C620" s="9">
        <v>112947000</v>
      </c>
      <c r="D620" s="10">
        <v>20393.63</v>
      </c>
      <c r="F620" s="12">
        <f t="shared" si="11"/>
        <v>4320242.3099999689</v>
      </c>
      <c r="G620" s="13">
        <v>35</v>
      </c>
    </row>
    <row r="621" spans="1:7" x14ac:dyDescent="0.2">
      <c r="A621" s="21">
        <v>45800</v>
      </c>
      <c r="B621" s="8" t="s">
        <v>12</v>
      </c>
      <c r="C621" s="9">
        <v>112947000</v>
      </c>
      <c r="D621" s="10">
        <v>31381.42</v>
      </c>
      <c r="F621" s="12">
        <f t="shared" si="11"/>
        <v>4288860.8899999689</v>
      </c>
      <c r="G621" s="13">
        <v>36</v>
      </c>
    </row>
    <row r="622" spans="1:7" x14ac:dyDescent="0.2">
      <c r="A622" s="21">
        <v>45800</v>
      </c>
      <c r="B622" s="8" t="s">
        <v>12</v>
      </c>
      <c r="C622" s="9">
        <v>112947000</v>
      </c>
      <c r="D622" s="10">
        <v>434.75</v>
      </c>
      <c r="F622" s="12">
        <f t="shared" si="11"/>
        <v>4288426.1399999689</v>
      </c>
      <c r="G622" s="13">
        <v>37</v>
      </c>
    </row>
    <row r="623" spans="1:7" x14ac:dyDescent="0.2">
      <c r="A623" s="21">
        <v>45800</v>
      </c>
      <c r="B623" s="8" t="s">
        <v>12</v>
      </c>
      <c r="C623" s="9">
        <v>112947000</v>
      </c>
      <c r="D623" s="10">
        <v>21769.37</v>
      </c>
      <c r="F623" s="12">
        <f t="shared" si="11"/>
        <v>4266656.7699999688</v>
      </c>
      <c r="G623" s="13">
        <v>38</v>
      </c>
    </row>
    <row r="624" spans="1:7" x14ac:dyDescent="0.2">
      <c r="A624" s="21">
        <v>45800</v>
      </c>
      <c r="B624" s="8" t="s">
        <v>12</v>
      </c>
      <c r="C624" s="9">
        <v>112947000</v>
      </c>
      <c r="D624" s="10">
        <v>26135.02</v>
      </c>
      <c r="F624" s="12">
        <f t="shared" si="11"/>
        <v>4240521.7499999693</v>
      </c>
      <c r="G624" s="13">
        <v>39</v>
      </c>
    </row>
    <row r="625" spans="1:7" x14ac:dyDescent="0.2">
      <c r="A625" s="21">
        <v>45800</v>
      </c>
      <c r="B625" s="8" t="s">
        <v>12</v>
      </c>
      <c r="C625" s="9">
        <v>112947000</v>
      </c>
      <c r="D625" s="10">
        <v>23892.37</v>
      </c>
      <c r="F625" s="12">
        <f t="shared" si="11"/>
        <v>4216629.3799999692</v>
      </c>
      <c r="G625" s="13">
        <v>40</v>
      </c>
    </row>
    <row r="626" spans="1:7" x14ac:dyDescent="0.2">
      <c r="A626" s="21">
        <v>45804</v>
      </c>
      <c r="B626" s="8" t="s">
        <v>11</v>
      </c>
      <c r="C626" s="9">
        <v>50831</v>
      </c>
      <c r="D626" s="10">
        <v>3000000</v>
      </c>
      <c r="F626" s="12">
        <f t="shared" si="11"/>
        <v>1216629.3799999692</v>
      </c>
      <c r="G626" s="13">
        <v>41</v>
      </c>
    </row>
    <row r="627" spans="1:7" x14ac:dyDescent="0.2">
      <c r="A627" s="36">
        <v>45805</v>
      </c>
      <c r="B627" s="8" t="s">
        <v>9</v>
      </c>
      <c r="C627" s="32">
        <v>50834</v>
      </c>
      <c r="D627" s="10">
        <v>956</v>
      </c>
      <c r="E627" s="11"/>
      <c r="F627" s="12">
        <f t="shared" si="11"/>
        <v>1215673.3799999692</v>
      </c>
      <c r="G627" s="13">
        <v>42</v>
      </c>
    </row>
    <row r="628" spans="1:7" x14ac:dyDescent="0.2">
      <c r="A628" s="36">
        <v>45805</v>
      </c>
      <c r="B628" s="8" t="s">
        <v>15</v>
      </c>
      <c r="C628" s="32">
        <v>50835</v>
      </c>
      <c r="D628" s="10">
        <v>200.76</v>
      </c>
      <c r="E628" s="11"/>
      <c r="F628" s="12">
        <f t="shared" si="11"/>
        <v>1215472.6199999691</v>
      </c>
      <c r="G628" s="13">
        <v>43</v>
      </c>
    </row>
    <row r="629" spans="1:7" x14ac:dyDescent="0.2">
      <c r="A629" s="36">
        <v>45805</v>
      </c>
      <c r="B629" s="8" t="s">
        <v>12</v>
      </c>
      <c r="C629" s="32">
        <v>50834</v>
      </c>
      <c r="D629" s="10">
        <v>5.74</v>
      </c>
      <c r="E629" s="11"/>
      <c r="F629" s="12">
        <f t="shared" si="11"/>
        <v>1215466.8799999692</v>
      </c>
      <c r="G629" s="13">
        <v>44</v>
      </c>
    </row>
    <row r="630" spans="1:7" x14ac:dyDescent="0.2">
      <c r="A630" s="36">
        <v>45805</v>
      </c>
      <c r="B630" s="8" t="s">
        <v>12</v>
      </c>
      <c r="C630" s="32">
        <v>50835</v>
      </c>
      <c r="D630" s="10">
        <v>1.2</v>
      </c>
      <c r="E630" s="11"/>
      <c r="F630" s="12">
        <f t="shared" si="11"/>
        <v>1215465.6799999692</v>
      </c>
      <c r="G630" s="13">
        <v>45</v>
      </c>
    </row>
    <row r="631" spans="1:7" x14ac:dyDescent="0.2">
      <c r="A631" s="36">
        <v>45807</v>
      </c>
      <c r="B631" s="8" t="s">
        <v>8</v>
      </c>
      <c r="C631" s="32">
        <v>50838</v>
      </c>
      <c r="D631" s="10">
        <v>27000</v>
      </c>
      <c r="E631" s="11"/>
      <c r="F631" s="12">
        <f t="shared" si="11"/>
        <v>1188465.6799999692</v>
      </c>
      <c r="G631" s="13">
        <v>46</v>
      </c>
    </row>
    <row r="632" spans="1:7" x14ac:dyDescent="0.2">
      <c r="A632" s="36">
        <v>45807</v>
      </c>
      <c r="B632" s="8" t="s">
        <v>15</v>
      </c>
      <c r="C632" s="32">
        <v>50839</v>
      </c>
      <c r="D632" s="10">
        <v>5670</v>
      </c>
      <c r="E632" s="11"/>
      <c r="F632" s="12">
        <f t="shared" si="11"/>
        <v>1182795.6799999692</v>
      </c>
      <c r="G632" s="13">
        <v>47</v>
      </c>
    </row>
    <row r="633" spans="1:7" x14ac:dyDescent="0.2">
      <c r="A633" s="36">
        <v>45807</v>
      </c>
      <c r="B633" s="8" t="s">
        <v>18</v>
      </c>
      <c r="C633" s="32">
        <v>50839</v>
      </c>
      <c r="D633" s="10">
        <v>810</v>
      </c>
      <c r="E633" s="11"/>
      <c r="F633" s="12">
        <f t="shared" si="11"/>
        <v>1181985.6799999692</v>
      </c>
      <c r="G633" s="13">
        <v>48</v>
      </c>
    </row>
    <row r="634" spans="1:7" x14ac:dyDescent="0.2">
      <c r="A634" s="36">
        <v>45807</v>
      </c>
      <c r="B634" s="8" t="s">
        <v>12</v>
      </c>
      <c r="C634" s="32">
        <v>50838</v>
      </c>
      <c r="D634" s="10">
        <v>162</v>
      </c>
      <c r="E634" s="11"/>
      <c r="F634" s="12">
        <f t="shared" si="11"/>
        <v>1181823.6799999692</v>
      </c>
      <c r="G634" s="13">
        <v>49</v>
      </c>
    </row>
    <row r="635" spans="1:7" x14ac:dyDescent="0.2">
      <c r="A635" s="36">
        <v>45807</v>
      </c>
      <c r="B635" s="8" t="s">
        <v>13</v>
      </c>
      <c r="C635" s="32">
        <v>50838</v>
      </c>
      <c r="D635" s="10">
        <v>405</v>
      </c>
      <c r="E635" s="11"/>
      <c r="F635" s="12">
        <f t="shared" si="11"/>
        <v>1181418.6799999692</v>
      </c>
      <c r="G635" s="13">
        <v>50</v>
      </c>
    </row>
    <row r="636" spans="1:7" x14ac:dyDescent="0.2">
      <c r="A636" s="36">
        <v>45807</v>
      </c>
      <c r="B636" s="8" t="s">
        <v>12</v>
      </c>
      <c r="C636" s="32">
        <v>50839</v>
      </c>
      <c r="D636" s="10">
        <v>34.020000000000003</v>
      </c>
      <c r="E636" s="11"/>
      <c r="F636" s="12">
        <f t="shared" si="11"/>
        <v>1181384.6599999692</v>
      </c>
      <c r="G636" s="13">
        <v>51</v>
      </c>
    </row>
    <row r="637" spans="1:7" x14ac:dyDescent="0.2">
      <c r="A637" s="36">
        <v>45807</v>
      </c>
      <c r="B637" s="8" t="s">
        <v>12</v>
      </c>
      <c r="C637" s="32">
        <v>50839</v>
      </c>
      <c r="D637" s="10">
        <v>4.8600000000000003</v>
      </c>
      <c r="E637" s="11"/>
      <c r="F637" s="12">
        <f t="shared" si="11"/>
        <v>1181379.7999999691</v>
      </c>
      <c r="G637" s="13">
        <v>52</v>
      </c>
    </row>
    <row r="638" spans="1:7" x14ac:dyDescent="0.2">
      <c r="A638" s="36">
        <v>45807</v>
      </c>
      <c r="B638" s="8" t="s">
        <v>12</v>
      </c>
      <c r="C638" s="32">
        <v>50838</v>
      </c>
      <c r="D638" s="10">
        <v>2.4300000000000002</v>
      </c>
      <c r="E638" s="11"/>
      <c r="F638" s="12">
        <f t="shared" si="11"/>
        <v>1181377.3699999691</v>
      </c>
      <c r="G638" s="13">
        <v>53</v>
      </c>
    </row>
    <row r="640" spans="1:7" x14ac:dyDescent="0.2">
      <c r="A640" s="37" t="s">
        <v>0</v>
      </c>
      <c r="B640" s="16" t="s">
        <v>1</v>
      </c>
      <c r="C640" s="16" t="s">
        <v>2</v>
      </c>
      <c r="D640" s="17" t="s">
        <v>3</v>
      </c>
      <c r="E640" s="17" t="s">
        <v>4</v>
      </c>
      <c r="F640" s="17" t="s">
        <v>5</v>
      </c>
      <c r="G640" s="30"/>
    </row>
    <row r="641" spans="1:7" x14ac:dyDescent="0.2">
      <c r="A641" s="39"/>
      <c r="B641" s="5" t="s">
        <v>6</v>
      </c>
      <c r="C641" s="25"/>
      <c r="D641" s="26"/>
      <c r="E641" s="26"/>
      <c r="F641" s="7">
        <v>1181377.3700000001</v>
      </c>
      <c r="G641" s="15">
        <v>1</v>
      </c>
    </row>
    <row r="642" spans="1:7" x14ac:dyDescent="0.2">
      <c r="A642" s="21">
        <v>45820</v>
      </c>
      <c r="B642" s="8" t="s">
        <v>7</v>
      </c>
      <c r="C642" s="9">
        <v>9019419</v>
      </c>
      <c r="D642" s="11"/>
      <c r="E642" s="14">
        <v>319578350.22000003</v>
      </c>
      <c r="F642" s="12">
        <f t="shared" ref="F642:F682" si="12">+F641+E642-D642</f>
        <v>320759727.59000003</v>
      </c>
      <c r="G642" s="15">
        <v>2</v>
      </c>
    </row>
    <row r="643" spans="1:7" x14ac:dyDescent="0.2">
      <c r="A643" s="21">
        <v>45820</v>
      </c>
      <c r="B643" s="8" t="s">
        <v>14</v>
      </c>
      <c r="C643" s="9">
        <v>9019419</v>
      </c>
      <c r="D643" s="10">
        <v>1917470.1</v>
      </c>
      <c r="E643" s="11"/>
      <c r="F643" s="12">
        <f t="shared" si="12"/>
        <v>318842257.49000001</v>
      </c>
      <c r="G643" s="15">
        <v>3</v>
      </c>
    </row>
    <row r="644" spans="1:7" x14ac:dyDescent="0.2">
      <c r="A644" s="21">
        <v>45820</v>
      </c>
      <c r="B644" s="8" t="s">
        <v>17</v>
      </c>
      <c r="C644" s="9">
        <v>9019419</v>
      </c>
      <c r="D644" s="10">
        <v>639156.69999999995</v>
      </c>
      <c r="E644" s="11"/>
      <c r="F644" s="12">
        <f t="shared" si="12"/>
        <v>318203100.79000002</v>
      </c>
      <c r="G644" s="15">
        <v>4</v>
      </c>
    </row>
    <row r="645" spans="1:7" x14ac:dyDescent="0.2">
      <c r="A645" s="21">
        <v>45820</v>
      </c>
      <c r="B645" s="8" t="s">
        <v>12</v>
      </c>
      <c r="C645" s="9">
        <v>9019419</v>
      </c>
      <c r="D645" s="10">
        <v>3834.94</v>
      </c>
      <c r="E645" s="11"/>
      <c r="F645" s="12">
        <f t="shared" si="12"/>
        <v>318199265.85000002</v>
      </c>
      <c r="G645" s="15">
        <v>5</v>
      </c>
    </row>
    <row r="646" spans="1:7" x14ac:dyDescent="0.2">
      <c r="A646" s="21">
        <v>45821</v>
      </c>
      <c r="B646" s="8" t="s">
        <v>11</v>
      </c>
      <c r="C646" s="9">
        <v>50898</v>
      </c>
      <c r="D646" s="10">
        <v>50000000</v>
      </c>
      <c r="E646" s="11"/>
      <c r="F646" s="12">
        <f t="shared" si="12"/>
        <v>268199265.85000002</v>
      </c>
      <c r="G646" s="15">
        <v>6</v>
      </c>
    </row>
    <row r="647" spans="1:7" x14ac:dyDescent="0.2">
      <c r="A647" s="21">
        <v>45825</v>
      </c>
      <c r="B647" s="8" t="s">
        <v>11</v>
      </c>
      <c r="C647" s="9">
        <v>50906</v>
      </c>
      <c r="D647" s="10">
        <v>150000000</v>
      </c>
      <c r="E647" s="11"/>
      <c r="F647" s="12">
        <f t="shared" si="12"/>
        <v>118199265.85000002</v>
      </c>
      <c r="G647" s="15">
        <v>7</v>
      </c>
    </row>
    <row r="648" spans="1:7" x14ac:dyDescent="0.2">
      <c r="A648" s="21">
        <v>45825</v>
      </c>
      <c r="B648" s="8" t="s">
        <v>9</v>
      </c>
      <c r="C648" s="9">
        <v>50913</v>
      </c>
      <c r="D648" s="10">
        <v>956</v>
      </c>
      <c r="E648" s="11"/>
      <c r="F648" s="12">
        <f t="shared" si="12"/>
        <v>118198309.85000002</v>
      </c>
      <c r="G648" s="15">
        <v>8</v>
      </c>
    </row>
    <row r="649" spans="1:7" x14ac:dyDescent="0.2">
      <c r="A649" s="21">
        <v>45825</v>
      </c>
      <c r="B649" s="8" t="s">
        <v>15</v>
      </c>
      <c r="C649" s="9">
        <v>50914</v>
      </c>
      <c r="D649" s="10">
        <v>200.76</v>
      </c>
      <c r="E649" s="11"/>
      <c r="F649" s="12">
        <f t="shared" si="12"/>
        <v>118198109.09000002</v>
      </c>
      <c r="G649" s="15">
        <v>9</v>
      </c>
    </row>
    <row r="650" spans="1:7" x14ac:dyDescent="0.2">
      <c r="A650" s="21">
        <v>45825</v>
      </c>
      <c r="B650" s="8" t="s">
        <v>12</v>
      </c>
      <c r="C650" s="9">
        <v>50913</v>
      </c>
      <c r="D650" s="10">
        <v>5.74</v>
      </c>
      <c r="E650" s="11"/>
      <c r="F650" s="12">
        <f t="shared" si="12"/>
        <v>118198103.35000002</v>
      </c>
      <c r="G650" s="15">
        <v>10</v>
      </c>
    </row>
    <row r="651" spans="1:7" x14ac:dyDescent="0.2">
      <c r="A651" s="21">
        <v>45825</v>
      </c>
      <c r="B651" s="8" t="s">
        <v>12</v>
      </c>
      <c r="C651" s="9">
        <v>50914</v>
      </c>
      <c r="D651" s="10">
        <v>1.2</v>
      </c>
      <c r="E651" s="11"/>
      <c r="F651" s="12">
        <f t="shared" si="12"/>
        <v>118198102.15000002</v>
      </c>
      <c r="G651" s="15">
        <v>11</v>
      </c>
    </row>
    <row r="652" spans="1:7" x14ac:dyDescent="0.2">
      <c r="A652" s="21">
        <v>45826</v>
      </c>
      <c r="B652" s="8" t="s">
        <v>9</v>
      </c>
      <c r="C652" s="9">
        <v>50917</v>
      </c>
      <c r="D652" s="10">
        <v>956</v>
      </c>
      <c r="E652" s="11"/>
      <c r="F652" s="12">
        <f t="shared" si="12"/>
        <v>118197146.15000002</v>
      </c>
      <c r="G652" s="15">
        <v>12</v>
      </c>
    </row>
    <row r="653" spans="1:7" x14ac:dyDescent="0.2">
      <c r="A653" s="21">
        <v>45826</v>
      </c>
      <c r="B653" s="8" t="s">
        <v>15</v>
      </c>
      <c r="C653" s="9">
        <v>50918</v>
      </c>
      <c r="D653" s="10">
        <v>200.76</v>
      </c>
      <c r="E653" s="11"/>
      <c r="F653" s="12">
        <f t="shared" si="12"/>
        <v>118196945.39000002</v>
      </c>
      <c r="G653" s="15">
        <v>13</v>
      </c>
    </row>
    <row r="654" spans="1:7" x14ac:dyDescent="0.2">
      <c r="A654" s="21">
        <v>45826</v>
      </c>
      <c r="B654" s="8" t="s">
        <v>12</v>
      </c>
      <c r="C654" s="9">
        <v>50917</v>
      </c>
      <c r="D654" s="10">
        <v>5.74</v>
      </c>
      <c r="E654" s="11"/>
      <c r="F654" s="12">
        <f t="shared" si="12"/>
        <v>118196939.65000002</v>
      </c>
      <c r="G654" s="15">
        <v>14</v>
      </c>
    </row>
    <row r="655" spans="1:7" x14ac:dyDescent="0.2">
      <c r="A655" s="21">
        <v>45826</v>
      </c>
      <c r="B655" s="8" t="s">
        <v>12</v>
      </c>
      <c r="C655" s="9">
        <v>50918</v>
      </c>
      <c r="D655" s="10">
        <v>1.2</v>
      </c>
      <c r="E655" s="11"/>
      <c r="F655" s="12">
        <f t="shared" si="12"/>
        <v>118196938.45000002</v>
      </c>
      <c r="G655" s="15">
        <v>15</v>
      </c>
    </row>
    <row r="656" spans="1:7" x14ac:dyDescent="0.2">
      <c r="A656" s="21">
        <v>45827</v>
      </c>
      <c r="B656" s="8" t="s">
        <v>11</v>
      </c>
      <c r="C656" s="9">
        <v>50930</v>
      </c>
      <c r="D656" s="10">
        <v>100000000</v>
      </c>
      <c r="E656" s="11"/>
      <c r="F656" s="12">
        <f t="shared" si="12"/>
        <v>18196938.450000018</v>
      </c>
      <c r="G656" s="15">
        <v>16</v>
      </c>
    </row>
    <row r="657" spans="1:7" x14ac:dyDescent="0.2">
      <c r="A657" s="21">
        <v>45827</v>
      </c>
      <c r="B657" s="8" t="s">
        <v>16</v>
      </c>
      <c r="C657" s="9">
        <v>112947000</v>
      </c>
      <c r="D657" s="10">
        <v>1890979.18</v>
      </c>
      <c r="E657" s="11"/>
      <c r="F657" s="12">
        <f t="shared" si="12"/>
        <v>16305959.270000018</v>
      </c>
      <c r="G657" s="15">
        <v>17</v>
      </c>
    </row>
    <row r="658" spans="1:7" x14ac:dyDescent="0.2">
      <c r="A658" s="21">
        <v>45827</v>
      </c>
      <c r="B658" s="8" t="s">
        <v>16</v>
      </c>
      <c r="C658" s="9">
        <v>112947000</v>
      </c>
      <c r="D658" s="10">
        <v>30790.560000000001</v>
      </c>
      <c r="E658" s="11"/>
      <c r="F658" s="12">
        <f t="shared" si="12"/>
        <v>16275168.710000018</v>
      </c>
      <c r="G658" s="15">
        <v>18</v>
      </c>
    </row>
    <row r="659" spans="1:7" x14ac:dyDescent="0.2">
      <c r="A659" s="21">
        <v>45827</v>
      </c>
      <c r="B659" s="8" t="s">
        <v>16</v>
      </c>
      <c r="C659" s="9">
        <v>112947000</v>
      </c>
      <c r="D659" s="10">
        <v>3337021.91</v>
      </c>
      <c r="E659" s="11"/>
      <c r="F659" s="12">
        <f t="shared" si="12"/>
        <v>12938146.800000018</v>
      </c>
      <c r="G659" s="15">
        <v>19</v>
      </c>
    </row>
    <row r="660" spans="1:7" x14ac:dyDescent="0.2">
      <c r="A660" s="21">
        <v>45827</v>
      </c>
      <c r="B660" s="8" t="s">
        <v>16</v>
      </c>
      <c r="C660" s="9">
        <v>112947000</v>
      </c>
      <c r="D660" s="10">
        <v>6817147.5199999996</v>
      </c>
      <c r="E660" s="11"/>
      <c r="F660" s="12">
        <f t="shared" si="12"/>
        <v>6120999.280000018</v>
      </c>
      <c r="G660" s="15">
        <v>20</v>
      </c>
    </row>
    <row r="661" spans="1:7" x14ac:dyDescent="0.2">
      <c r="A661" s="21">
        <v>45827</v>
      </c>
      <c r="B661" s="8" t="s">
        <v>16</v>
      </c>
      <c r="C661" s="9">
        <v>112947000</v>
      </c>
      <c r="D661" s="10">
        <v>4029395.13</v>
      </c>
      <c r="E661" s="11"/>
      <c r="F661" s="12">
        <f t="shared" si="12"/>
        <v>2091604.1500000181</v>
      </c>
      <c r="G661" s="15">
        <v>21</v>
      </c>
    </row>
    <row r="662" spans="1:7" x14ac:dyDescent="0.2">
      <c r="A662" s="21">
        <v>45827</v>
      </c>
      <c r="B662" s="8" t="s">
        <v>12</v>
      </c>
      <c r="C662" s="9">
        <v>112947000</v>
      </c>
      <c r="D662" s="10">
        <v>11345.88</v>
      </c>
      <c r="E662" s="11"/>
      <c r="F662" s="12">
        <f t="shared" si="12"/>
        <v>2080258.2700000182</v>
      </c>
      <c r="G662" s="15">
        <v>22</v>
      </c>
    </row>
    <row r="663" spans="1:7" x14ac:dyDescent="0.2">
      <c r="A663" s="21">
        <v>45827</v>
      </c>
      <c r="B663" s="8" t="s">
        <v>12</v>
      </c>
      <c r="C663" s="9">
        <v>112947000</v>
      </c>
      <c r="D663" s="10">
        <v>184.74</v>
      </c>
      <c r="E663" s="11"/>
      <c r="F663" s="12">
        <f t="shared" si="12"/>
        <v>2080073.5300000182</v>
      </c>
      <c r="G663" s="15">
        <v>23</v>
      </c>
    </row>
    <row r="664" spans="1:7" x14ac:dyDescent="0.2">
      <c r="A664" s="21">
        <v>45827</v>
      </c>
      <c r="B664" s="8" t="s">
        <v>12</v>
      </c>
      <c r="C664" s="9">
        <v>112947000</v>
      </c>
      <c r="D664" s="10">
        <v>20022.13</v>
      </c>
      <c r="E664" s="11"/>
      <c r="F664" s="12">
        <f t="shared" si="12"/>
        <v>2060051.4000000183</v>
      </c>
      <c r="G664" s="15">
        <v>24</v>
      </c>
    </row>
    <row r="665" spans="1:7" x14ac:dyDescent="0.2">
      <c r="A665" s="21">
        <v>45827</v>
      </c>
      <c r="B665" s="8" t="s">
        <v>12</v>
      </c>
      <c r="C665" s="9">
        <v>112947000</v>
      </c>
      <c r="D665" s="10">
        <v>40902.89</v>
      </c>
      <c r="E665" s="11"/>
      <c r="F665" s="12">
        <f t="shared" si="12"/>
        <v>2019148.5100000184</v>
      </c>
      <c r="G665" s="15">
        <v>25</v>
      </c>
    </row>
    <row r="666" spans="1:7" x14ac:dyDescent="0.2">
      <c r="A666" s="21">
        <v>45827</v>
      </c>
      <c r="B666" s="8" t="s">
        <v>12</v>
      </c>
      <c r="C666" s="9">
        <v>112947000</v>
      </c>
      <c r="D666" s="10">
        <v>24176.37</v>
      </c>
      <c r="E666" s="11"/>
      <c r="F666" s="12">
        <f t="shared" si="12"/>
        <v>1994972.1400000183</v>
      </c>
      <c r="G666" s="15">
        <v>26</v>
      </c>
    </row>
    <row r="667" spans="1:7" x14ac:dyDescent="0.2">
      <c r="A667" s="21">
        <v>45831</v>
      </c>
      <c r="B667" s="8" t="s">
        <v>9</v>
      </c>
      <c r="C667" s="9">
        <v>50952</v>
      </c>
      <c r="D667" s="10">
        <v>956</v>
      </c>
      <c r="E667" s="11"/>
      <c r="F667" s="12">
        <f t="shared" si="12"/>
        <v>1994016.1400000183</v>
      </c>
      <c r="G667" s="15">
        <v>27</v>
      </c>
    </row>
    <row r="668" spans="1:7" x14ac:dyDescent="0.2">
      <c r="A668" s="21">
        <v>45831</v>
      </c>
      <c r="B668" s="8" t="s">
        <v>15</v>
      </c>
      <c r="C668" s="9">
        <v>50953</v>
      </c>
      <c r="D668" s="10">
        <v>200.76</v>
      </c>
      <c r="E668" s="11"/>
      <c r="F668" s="12">
        <f t="shared" si="12"/>
        <v>1993815.3800000183</v>
      </c>
      <c r="G668" s="15">
        <v>28</v>
      </c>
    </row>
    <row r="669" spans="1:7" x14ac:dyDescent="0.2">
      <c r="A669" s="21">
        <v>45831</v>
      </c>
      <c r="B669" s="8" t="s">
        <v>12</v>
      </c>
      <c r="C669" s="9">
        <v>50952</v>
      </c>
      <c r="D669" s="10">
        <v>5.74</v>
      </c>
      <c r="E669" s="11"/>
      <c r="F669" s="12">
        <f t="shared" si="12"/>
        <v>1993809.6400000183</v>
      </c>
      <c r="G669" s="15">
        <v>29</v>
      </c>
    </row>
    <row r="670" spans="1:7" x14ac:dyDescent="0.2">
      <c r="A670" s="21">
        <v>45831</v>
      </c>
      <c r="B670" s="8" t="s">
        <v>12</v>
      </c>
      <c r="C670" s="9">
        <v>50953</v>
      </c>
      <c r="D670" s="10">
        <v>1.2</v>
      </c>
      <c r="E670" s="11"/>
      <c r="F670" s="12">
        <f t="shared" si="12"/>
        <v>1993808.4400000183</v>
      </c>
      <c r="G670" s="15">
        <v>30</v>
      </c>
    </row>
    <row r="671" spans="1:7" x14ac:dyDescent="0.2">
      <c r="A671" s="21">
        <v>45834</v>
      </c>
      <c r="B671" s="8" t="s">
        <v>10</v>
      </c>
      <c r="C671" s="9">
        <v>50982</v>
      </c>
      <c r="D671" s="10">
        <v>300000</v>
      </c>
      <c r="E671" s="11"/>
      <c r="F671" s="12">
        <f t="shared" si="12"/>
        <v>1693808.4400000183</v>
      </c>
      <c r="G671" s="15">
        <v>31</v>
      </c>
    </row>
    <row r="672" spans="1:7" x14ac:dyDescent="0.2">
      <c r="A672" s="21">
        <v>45834</v>
      </c>
      <c r="B672" s="8" t="s">
        <v>12</v>
      </c>
      <c r="C672" s="9">
        <v>50982</v>
      </c>
      <c r="D672" s="10">
        <v>1800</v>
      </c>
      <c r="E672" s="11"/>
      <c r="F672" s="12">
        <f t="shared" si="12"/>
        <v>1692008.4400000183</v>
      </c>
      <c r="G672" s="15">
        <v>32</v>
      </c>
    </row>
    <row r="673" spans="1:7" x14ac:dyDescent="0.2">
      <c r="A673" s="21">
        <v>45835</v>
      </c>
      <c r="B673" s="8" t="s">
        <v>8</v>
      </c>
      <c r="C673" s="9">
        <v>50986</v>
      </c>
      <c r="D673" s="10">
        <v>27000</v>
      </c>
      <c r="E673" s="11"/>
      <c r="F673" s="12">
        <f t="shared" si="12"/>
        <v>1665008.4400000183</v>
      </c>
      <c r="G673" s="15">
        <v>33</v>
      </c>
    </row>
    <row r="674" spans="1:7" x14ac:dyDescent="0.2">
      <c r="A674" s="21">
        <v>45835</v>
      </c>
      <c r="B674" s="8" t="s">
        <v>9</v>
      </c>
      <c r="C674" s="9">
        <v>50987</v>
      </c>
      <c r="D674" s="10">
        <v>535</v>
      </c>
      <c r="E674" s="11"/>
      <c r="F674" s="12">
        <f t="shared" si="12"/>
        <v>1664473.4400000183</v>
      </c>
      <c r="G674" s="15">
        <v>34</v>
      </c>
    </row>
    <row r="675" spans="1:7" x14ac:dyDescent="0.2">
      <c r="A675" s="21">
        <v>45835</v>
      </c>
      <c r="B675" s="8" t="s">
        <v>15</v>
      </c>
      <c r="C675" s="9">
        <v>50988</v>
      </c>
      <c r="D675" s="10">
        <v>5782.35</v>
      </c>
      <c r="E675" s="11"/>
      <c r="F675" s="12">
        <f t="shared" si="12"/>
        <v>1658691.0900000182</v>
      </c>
      <c r="G675" s="15">
        <v>35</v>
      </c>
    </row>
    <row r="676" spans="1:7" x14ac:dyDescent="0.2">
      <c r="A676" s="21">
        <v>45835</v>
      </c>
      <c r="B676" s="8" t="s">
        <v>18</v>
      </c>
      <c r="C676" s="9">
        <v>50988</v>
      </c>
      <c r="D676" s="10">
        <v>826.05</v>
      </c>
      <c r="E676" s="11"/>
      <c r="F676" s="12">
        <f t="shared" si="12"/>
        <v>1657865.0400000182</v>
      </c>
      <c r="G676" s="15">
        <v>36</v>
      </c>
    </row>
    <row r="677" spans="1:7" x14ac:dyDescent="0.2">
      <c r="A677" s="21">
        <v>45835</v>
      </c>
      <c r="B677" s="8" t="s">
        <v>12</v>
      </c>
      <c r="C677" s="9">
        <v>50986</v>
      </c>
      <c r="D677" s="10">
        <v>162</v>
      </c>
      <c r="E677" s="11"/>
      <c r="F677" s="12">
        <f t="shared" si="12"/>
        <v>1657703.0400000182</v>
      </c>
      <c r="G677" s="15">
        <v>37</v>
      </c>
    </row>
    <row r="678" spans="1:7" x14ac:dyDescent="0.2">
      <c r="A678" s="21">
        <v>45835</v>
      </c>
      <c r="B678" s="8" t="s">
        <v>13</v>
      </c>
      <c r="C678" s="9">
        <v>50986</v>
      </c>
      <c r="D678" s="10">
        <v>405</v>
      </c>
      <c r="E678" s="11"/>
      <c r="F678" s="12">
        <f t="shared" si="12"/>
        <v>1657298.0400000182</v>
      </c>
      <c r="G678" s="15">
        <v>38</v>
      </c>
    </row>
    <row r="679" spans="1:7" x14ac:dyDescent="0.2">
      <c r="A679" s="21">
        <v>45835</v>
      </c>
      <c r="B679" s="8" t="s">
        <v>12</v>
      </c>
      <c r="C679" s="9">
        <v>50987</v>
      </c>
      <c r="D679" s="10">
        <v>3.21</v>
      </c>
      <c r="E679" s="11"/>
      <c r="F679" s="12">
        <f t="shared" si="12"/>
        <v>1657294.8300000182</v>
      </c>
      <c r="G679" s="15">
        <v>39</v>
      </c>
    </row>
    <row r="680" spans="1:7" x14ac:dyDescent="0.2">
      <c r="A680" s="21">
        <v>45835</v>
      </c>
      <c r="B680" s="8" t="s">
        <v>12</v>
      </c>
      <c r="C680" s="9">
        <v>50988</v>
      </c>
      <c r="D680" s="10">
        <v>34.69</v>
      </c>
      <c r="E680" s="11"/>
      <c r="F680" s="12">
        <f t="shared" si="12"/>
        <v>1657260.1400000183</v>
      </c>
      <c r="G680" s="15">
        <v>40</v>
      </c>
    </row>
    <row r="681" spans="1:7" x14ac:dyDescent="0.2">
      <c r="A681" s="21">
        <v>45835</v>
      </c>
      <c r="B681" s="8" t="s">
        <v>12</v>
      </c>
      <c r="C681" s="9">
        <v>50988</v>
      </c>
      <c r="D681" s="10">
        <v>4.96</v>
      </c>
      <c r="E681" s="11"/>
      <c r="F681" s="12">
        <f t="shared" si="12"/>
        <v>1657255.1800000183</v>
      </c>
      <c r="G681" s="15">
        <v>41</v>
      </c>
    </row>
    <row r="682" spans="1:7" x14ac:dyDescent="0.2">
      <c r="A682" s="21">
        <v>45835</v>
      </c>
      <c r="B682" s="8" t="s">
        <v>12</v>
      </c>
      <c r="C682" s="15">
        <v>50986</v>
      </c>
      <c r="D682" s="12">
        <v>2.4300000000000002</v>
      </c>
      <c r="F682" s="12">
        <f t="shared" si="12"/>
        <v>1657252.7500000184</v>
      </c>
      <c r="G682" s="15">
        <v>42</v>
      </c>
    </row>
    <row r="684" spans="1:7" x14ac:dyDescent="0.2">
      <c r="A684" s="37" t="s">
        <v>0</v>
      </c>
      <c r="B684" s="16" t="s">
        <v>1</v>
      </c>
      <c r="C684" s="16" t="s">
        <v>2</v>
      </c>
      <c r="D684" s="17" t="s">
        <v>3</v>
      </c>
      <c r="E684" s="17" t="s">
        <v>4</v>
      </c>
      <c r="F684" s="17" t="s">
        <v>5</v>
      </c>
      <c r="G684" s="30"/>
    </row>
    <row r="685" spans="1:7" x14ac:dyDescent="0.2">
      <c r="A685" s="39"/>
      <c r="B685" s="5" t="s">
        <v>6</v>
      </c>
      <c r="C685" s="25"/>
      <c r="D685" s="26"/>
      <c r="E685" s="26"/>
      <c r="F685" s="7">
        <v>1657252.75</v>
      </c>
      <c r="G685" s="15">
        <v>1</v>
      </c>
    </row>
    <row r="686" spans="1:7" x14ac:dyDescent="0.2">
      <c r="A686" s="21">
        <v>45854</v>
      </c>
      <c r="B686" s="8" t="s">
        <v>27</v>
      </c>
      <c r="C686" s="9">
        <v>9168915</v>
      </c>
      <c r="D686" s="11"/>
      <c r="E686" s="14">
        <v>370209185.57999998</v>
      </c>
      <c r="F686" s="12">
        <f t="shared" ref="F686:F731" si="13">+F685+E686-D686</f>
        <v>371866438.32999998</v>
      </c>
      <c r="G686" s="15">
        <v>2</v>
      </c>
    </row>
    <row r="687" spans="1:7" x14ac:dyDescent="0.2">
      <c r="A687" s="21">
        <v>45854</v>
      </c>
      <c r="B687" s="8" t="s">
        <v>14</v>
      </c>
      <c r="C687" s="9">
        <v>9168915</v>
      </c>
      <c r="D687" s="10">
        <v>2221255.11</v>
      </c>
      <c r="E687" s="11"/>
      <c r="F687" s="12">
        <f t="shared" si="13"/>
        <v>369645183.21999997</v>
      </c>
      <c r="G687" s="15">
        <v>3</v>
      </c>
    </row>
    <row r="688" spans="1:7" x14ac:dyDescent="0.2">
      <c r="A688" s="21">
        <v>45854</v>
      </c>
      <c r="B688" s="8" t="s">
        <v>17</v>
      </c>
      <c r="C688" s="9">
        <v>9168915</v>
      </c>
      <c r="D688" s="10">
        <v>370209.19</v>
      </c>
      <c r="E688" s="11"/>
      <c r="F688" s="12">
        <f t="shared" si="13"/>
        <v>369274974.02999997</v>
      </c>
      <c r="G688" s="15">
        <v>4</v>
      </c>
    </row>
    <row r="689" spans="1:7" x14ac:dyDescent="0.2">
      <c r="A689" s="21">
        <v>45854</v>
      </c>
      <c r="B689" s="8" t="s">
        <v>12</v>
      </c>
      <c r="C689" s="9">
        <v>9168915</v>
      </c>
      <c r="D689" s="10">
        <v>2221.2600000000002</v>
      </c>
      <c r="E689" s="11"/>
      <c r="F689" s="12">
        <f t="shared" si="13"/>
        <v>369272752.76999998</v>
      </c>
      <c r="G689" s="15">
        <v>5</v>
      </c>
    </row>
    <row r="690" spans="1:7" x14ac:dyDescent="0.2">
      <c r="A690" s="21">
        <v>45855</v>
      </c>
      <c r="B690" s="8" t="s">
        <v>11</v>
      </c>
      <c r="C690" s="9">
        <v>51042</v>
      </c>
      <c r="D690" s="10">
        <v>200000000</v>
      </c>
      <c r="E690" s="11"/>
      <c r="F690" s="12">
        <f t="shared" si="13"/>
        <v>169272752.76999998</v>
      </c>
      <c r="G690" s="15">
        <v>6</v>
      </c>
    </row>
    <row r="691" spans="1:7" x14ac:dyDescent="0.2">
      <c r="A691" s="21">
        <v>45855</v>
      </c>
      <c r="B691" s="8" t="s">
        <v>16</v>
      </c>
      <c r="C691" s="9">
        <v>112947000</v>
      </c>
      <c r="D691" s="10">
        <v>2881951</v>
      </c>
      <c r="E691" s="11"/>
      <c r="F691" s="12">
        <f t="shared" si="13"/>
        <v>166390801.76999998</v>
      </c>
      <c r="G691" s="15">
        <v>7</v>
      </c>
    </row>
    <row r="692" spans="1:7" x14ac:dyDescent="0.2">
      <c r="A692" s="21">
        <v>45855</v>
      </c>
      <c r="B692" s="8" t="s">
        <v>16</v>
      </c>
      <c r="C692" s="9">
        <v>112947000</v>
      </c>
      <c r="D692" s="10">
        <v>31125.24</v>
      </c>
      <c r="E692" s="11"/>
      <c r="F692" s="12">
        <f t="shared" si="13"/>
        <v>166359676.52999997</v>
      </c>
      <c r="G692" s="15">
        <v>8</v>
      </c>
    </row>
    <row r="693" spans="1:7" x14ac:dyDescent="0.2">
      <c r="A693" s="21">
        <v>45855</v>
      </c>
      <c r="B693" s="8" t="s">
        <v>16</v>
      </c>
      <c r="C693" s="9">
        <v>112947000</v>
      </c>
      <c r="D693" s="10">
        <v>5085795.96</v>
      </c>
      <c r="E693" s="11"/>
      <c r="F693" s="12">
        <f t="shared" si="13"/>
        <v>161273880.56999996</v>
      </c>
      <c r="G693" s="15">
        <v>9</v>
      </c>
    </row>
    <row r="694" spans="1:7" x14ac:dyDescent="0.2">
      <c r="A694" s="21">
        <v>45855</v>
      </c>
      <c r="B694" s="8" t="s">
        <v>16</v>
      </c>
      <c r="C694" s="9">
        <v>112947000</v>
      </c>
      <c r="D694" s="10">
        <v>8582447.7400000002</v>
      </c>
      <c r="E694" s="11"/>
      <c r="F694" s="12">
        <f t="shared" si="13"/>
        <v>152691432.82999995</v>
      </c>
      <c r="G694" s="15">
        <v>10</v>
      </c>
    </row>
    <row r="695" spans="1:7" x14ac:dyDescent="0.2">
      <c r="A695" s="21">
        <v>45855</v>
      </c>
      <c r="B695" s="8" t="s">
        <v>16</v>
      </c>
      <c r="C695" s="9">
        <v>112947000</v>
      </c>
      <c r="D695" s="10">
        <v>10412911.93</v>
      </c>
      <c r="E695" s="11"/>
      <c r="F695" s="12">
        <f t="shared" si="13"/>
        <v>142278520.89999995</v>
      </c>
      <c r="G695" s="15">
        <v>11</v>
      </c>
    </row>
    <row r="696" spans="1:7" x14ac:dyDescent="0.2">
      <c r="A696" s="21">
        <v>45855</v>
      </c>
      <c r="B696" s="8" t="s">
        <v>16</v>
      </c>
      <c r="C696" s="9">
        <v>112947000</v>
      </c>
      <c r="D696" s="10">
        <v>5243441.34</v>
      </c>
      <c r="E696" s="11"/>
      <c r="F696" s="12">
        <f t="shared" si="13"/>
        <v>137035079.55999994</v>
      </c>
      <c r="G696" s="15">
        <v>12</v>
      </c>
    </row>
    <row r="697" spans="1:7" x14ac:dyDescent="0.2">
      <c r="A697" s="21">
        <v>45855</v>
      </c>
      <c r="B697" s="8" t="s">
        <v>12</v>
      </c>
      <c r="C697" s="9">
        <v>112947000</v>
      </c>
      <c r="D697" s="10">
        <v>17291.71</v>
      </c>
      <c r="E697" s="11"/>
      <c r="F697" s="12">
        <f t="shared" si="13"/>
        <v>137017787.84999993</v>
      </c>
      <c r="G697" s="15">
        <v>13</v>
      </c>
    </row>
    <row r="698" spans="1:7" x14ac:dyDescent="0.2">
      <c r="A698" s="21">
        <v>45855</v>
      </c>
      <c r="B698" s="8" t="s">
        <v>12</v>
      </c>
      <c r="C698" s="9">
        <v>112947000</v>
      </c>
      <c r="D698" s="10">
        <v>186.75</v>
      </c>
      <c r="E698" s="11"/>
      <c r="F698" s="12">
        <f t="shared" si="13"/>
        <v>137017601.09999993</v>
      </c>
      <c r="G698" s="15">
        <v>14</v>
      </c>
    </row>
    <row r="699" spans="1:7" x14ac:dyDescent="0.2">
      <c r="A699" s="21">
        <v>45855</v>
      </c>
      <c r="B699" s="8" t="s">
        <v>12</v>
      </c>
      <c r="C699" s="9">
        <v>112947000</v>
      </c>
      <c r="D699" s="10">
        <v>30514.78</v>
      </c>
      <c r="E699" s="11"/>
      <c r="F699" s="12">
        <f t="shared" si="13"/>
        <v>136987086.31999993</v>
      </c>
      <c r="G699" s="15">
        <v>15</v>
      </c>
    </row>
    <row r="700" spans="1:7" x14ac:dyDescent="0.2">
      <c r="A700" s="21">
        <v>45855</v>
      </c>
      <c r="B700" s="8" t="s">
        <v>12</v>
      </c>
      <c r="C700" s="9">
        <v>112947000</v>
      </c>
      <c r="D700" s="10">
        <v>51494.69</v>
      </c>
      <c r="E700" s="11"/>
      <c r="F700" s="12">
        <f t="shared" si="13"/>
        <v>136935591.62999994</v>
      </c>
      <c r="G700" s="15">
        <v>16</v>
      </c>
    </row>
    <row r="701" spans="1:7" x14ac:dyDescent="0.2">
      <c r="A701" s="21">
        <v>45855</v>
      </c>
      <c r="B701" s="8" t="s">
        <v>12</v>
      </c>
      <c r="C701" s="9">
        <v>112947000</v>
      </c>
      <c r="D701" s="10">
        <v>62477.47</v>
      </c>
      <c r="E701" s="11"/>
      <c r="F701" s="12">
        <f t="shared" si="13"/>
        <v>136873114.15999994</v>
      </c>
      <c r="G701" s="15">
        <v>17</v>
      </c>
    </row>
    <row r="702" spans="1:7" x14ac:dyDescent="0.2">
      <c r="A702" s="21">
        <v>45855</v>
      </c>
      <c r="B702" s="8" t="s">
        <v>12</v>
      </c>
      <c r="C702" s="9">
        <v>112947000</v>
      </c>
      <c r="D702" s="10">
        <v>31460.65</v>
      </c>
      <c r="E702" s="11"/>
      <c r="F702" s="12">
        <f t="shared" si="13"/>
        <v>136841653.50999993</v>
      </c>
      <c r="G702" s="15">
        <v>18</v>
      </c>
    </row>
    <row r="703" spans="1:7" x14ac:dyDescent="0.2">
      <c r="A703" s="21">
        <v>45856</v>
      </c>
      <c r="B703" s="8" t="s">
        <v>9</v>
      </c>
      <c r="C703" s="9">
        <v>51060</v>
      </c>
      <c r="D703" s="10">
        <v>956</v>
      </c>
      <c r="E703" s="11"/>
      <c r="F703" s="12">
        <f t="shared" si="13"/>
        <v>136840697.50999993</v>
      </c>
      <c r="G703" s="15">
        <v>19</v>
      </c>
    </row>
    <row r="704" spans="1:7" x14ac:dyDescent="0.2">
      <c r="A704" s="21">
        <v>45856</v>
      </c>
      <c r="B704" s="8" t="s">
        <v>15</v>
      </c>
      <c r="C704" s="9">
        <v>51061</v>
      </c>
      <c r="D704" s="10">
        <v>200.76</v>
      </c>
      <c r="E704" s="11"/>
      <c r="F704" s="12">
        <f t="shared" si="13"/>
        <v>136840496.74999994</v>
      </c>
      <c r="G704" s="15">
        <v>20</v>
      </c>
    </row>
    <row r="705" spans="1:7" x14ac:dyDescent="0.2">
      <c r="A705" s="21">
        <v>45856</v>
      </c>
      <c r="B705" s="8" t="s">
        <v>12</v>
      </c>
      <c r="C705" s="9">
        <v>51060</v>
      </c>
      <c r="D705" s="10">
        <v>5.74</v>
      </c>
      <c r="E705" s="11"/>
      <c r="F705" s="12">
        <f t="shared" si="13"/>
        <v>136840491.00999993</v>
      </c>
      <c r="G705" s="15">
        <v>21</v>
      </c>
    </row>
    <row r="706" spans="1:7" x14ac:dyDescent="0.2">
      <c r="A706" s="21">
        <v>45856</v>
      </c>
      <c r="B706" s="8" t="s">
        <v>12</v>
      </c>
      <c r="C706" s="9">
        <v>51061</v>
      </c>
      <c r="D706" s="10">
        <v>1.2</v>
      </c>
      <c r="E706" s="11"/>
      <c r="F706" s="12">
        <f t="shared" si="13"/>
        <v>136840489.80999994</v>
      </c>
      <c r="G706" s="15">
        <v>22</v>
      </c>
    </row>
    <row r="707" spans="1:7" x14ac:dyDescent="0.2">
      <c r="A707" s="21">
        <v>45859</v>
      </c>
      <c r="B707" s="8" t="s">
        <v>11</v>
      </c>
      <c r="C707" s="9">
        <v>51068</v>
      </c>
      <c r="D707" s="10">
        <v>135000000</v>
      </c>
      <c r="E707" s="11"/>
      <c r="F707" s="12">
        <f t="shared" si="13"/>
        <v>1840489.8099999428</v>
      </c>
      <c r="G707" s="15">
        <v>23</v>
      </c>
    </row>
    <row r="708" spans="1:7" x14ac:dyDescent="0.2">
      <c r="A708" s="21">
        <v>45860</v>
      </c>
      <c r="B708" s="8" t="s">
        <v>9</v>
      </c>
      <c r="C708" s="9">
        <v>51077</v>
      </c>
      <c r="D708" s="10">
        <v>956</v>
      </c>
      <c r="E708" s="11"/>
      <c r="F708" s="12">
        <f t="shared" si="13"/>
        <v>1839533.8099999428</v>
      </c>
      <c r="G708" s="15">
        <v>24</v>
      </c>
    </row>
    <row r="709" spans="1:7" x14ac:dyDescent="0.2">
      <c r="A709" s="21">
        <v>45860</v>
      </c>
      <c r="B709" s="8" t="s">
        <v>15</v>
      </c>
      <c r="C709" s="9">
        <v>51078</v>
      </c>
      <c r="D709" s="10">
        <v>200.76</v>
      </c>
      <c r="E709" s="11"/>
      <c r="F709" s="12">
        <f t="shared" si="13"/>
        <v>1839333.0499999428</v>
      </c>
      <c r="G709" s="15">
        <v>25</v>
      </c>
    </row>
    <row r="710" spans="1:7" x14ac:dyDescent="0.2">
      <c r="A710" s="21">
        <v>45860</v>
      </c>
      <c r="B710" s="8" t="s">
        <v>12</v>
      </c>
      <c r="C710" s="9">
        <v>51077</v>
      </c>
      <c r="D710" s="10">
        <v>5.74</v>
      </c>
      <c r="E710" s="11"/>
      <c r="F710" s="12">
        <f t="shared" si="13"/>
        <v>1839327.3099999428</v>
      </c>
      <c r="G710" s="15">
        <v>26</v>
      </c>
    </row>
    <row r="711" spans="1:7" x14ac:dyDescent="0.2">
      <c r="A711" s="21">
        <v>45860</v>
      </c>
      <c r="B711" s="8" t="s">
        <v>12</v>
      </c>
      <c r="C711" s="9">
        <v>51078</v>
      </c>
      <c r="D711" s="10">
        <v>1.2</v>
      </c>
      <c r="E711" s="11"/>
      <c r="F711" s="12">
        <f t="shared" si="13"/>
        <v>1839326.1099999428</v>
      </c>
      <c r="G711" s="15">
        <v>27</v>
      </c>
    </row>
    <row r="712" spans="1:7" x14ac:dyDescent="0.2">
      <c r="A712" s="21">
        <v>45863</v>
      </c>
      <c r="B712" s="8" t="s">
        <v>28</v>
      </c>
      <c r="C712" s="9">
        <v>4223749</v>
      </c>
      <c r="D712" s="11"/>
      <c r="E712" s="14">
        <v>175000000</v>
      </c>
      <c r="F712" s="12">
        <f t="shared" si="13"/>
        <v>176839326.10999995</v>
      </c>
      <c r="G712" s="15">
        <v>28</v>
      </c>
    </row>
    <row r="713" spans="1:7" x14ac:dyDescent="0.2">
      <c r="A713" s="21">
        <v>45863</v>
      </c>
      <c r="B713" s="8" t="s">
        <v>8</v>
      </c>
      <c r="C713" s="9">
        <v>51102</v>
      </c>
      <c r="D713" s="10">
        <v>43000</v>
      </c>
      <c r="E713" s="11"/>
      <c r="F713" s="12">
        <f t="shared" si="13"/>
        <v>176796326.10999995</v>
      </c>
      <c r="G713" s="15">
        <v>29</v>
      </c>
    </row>
    <row r="714" spans="1:7" x14ac:dyDescent="0.2">
      <c r="A714" s="21">
        <v>45863</v>
      </c>
      <c r="B714" s="8" t="s">
        <v>15</v>
      </c>
      <c r="C714" s="9">
        <v>51103</v>
      </c>
      <c r="D714" s="10">
        <v>9030</v>
      </c>
      <c r="E714" s="11"/>
      <c r="F714" s="12">
        <f t="shared" si="13"/>
        <v>176787296.10999995</v>
      </c>
      <c r="G714" s="15">
        <v>30</v>
      </c>
    </row>
    <row r="715" spans="1:7" x14ac:dyDescent="0.2">
      <c r="A715" s="21">
        <v>45863</v>
      </c>
      <c r="B715" s="8" t="s">
        <v>18</v>
      </c>
      <c r="C715" s="9">
        <v>51103</v>
      </c>
      <c r="D715" s="10">
        <v>1290</v>
      </c>
      <c r="E715" s="11"/>
      <c r="F715" s="12">
        <f t="shared" si="13"/>
        <v>176786006.10999995</v>
      </c>
      <c r="G715" s="15">
        <v>31</v>
      </c>
    </row>
    <row r="716" spans="1:7" x14ac:dyDescent="0.2">
      <c r="A716" s="21">
        <v>45863</v>
      </c>
      <c r="B716" s="8" t="s">
        <v>12</v>
      </c>
      <c r="C716" s="9">
        <v>51102</v>
      </c>
      <c r="D716" s="10">
        <v>258</v>
      </c>
      <c r="E716" s="11"/>
      <c r="F716" s="12">
        <f t="shared" si="13"/>
        <v>176785748.10999995</v>
      </c>
      <c r="G716" s="15">
        <v>32</v>
      </c>
    </row>
    <row r="717" spans="1:7" x14ac:dyDescent="0.2">
      <c r="A717" s="21">
        <v>45863</v>
      </c>
      <c r="B717" s="8" t="s">
        <v>13</v>
      </c>
      <c r="C717" s="9">
        <v>51102</v>
      </c>
      <c r="D717" s="10">
        <v>645</v>
      </c>
      <c r="E717" s="11"/>
      <c r="F717" s="12">
        <f t="shared" si="13"/>
        <v>176785103.10999995</v>
      </c>
      <c r="G717" s="15">
        <v>33</v>
      </c>
    </row>
    <row r="718" spans="1:7" x14ac:dyDescent="0.2">
      <c r="A718" s="21">
        <v>45863</v>
      </c>
      <c r="B718" s="8" t="s">
        <v>12</v>
      </c>
      <c r="C718" s="9">
        <v>51103</v>
      </c>
      <c r="D718" s="10">
        <v>54.18</v>
      </c>
      <c r="E718" s="11"/>
      <c r="F718" s="12">
        <f t="shared" si="13"/>
        <v>176785048.92999995</v>
      </c>
      <c r="G718" s="15">
        <v>34</v>
      </c>
    </row>
    <row r="719" spans="1:7" x14ac:dyDescent="0.2">
      <c r="A719" s="21">
        <v>45863</v>
      </c>
      <c r="B719" s="8" t="s">
        <v>12</v>
      </c>
      <c r="C719" s="9">
        <v>51103</v>
      </c>
      <c r="D719" s="10">
        <v>7.74</v>
      </c>
      <c r="E719" s="11"/>
      <c r="F719" s="12">
        <f t="shared" si="13"/>
        <v>176785041.18999994</v>
      </c>
      <c r="G719" s="15">
        <v>35</v>
      </c>
    </row>
    <row r="720" spans="1:7" x14ac:dyDescent="0.2">
      <c r="A720" s="21">
        <v>45863</v>
      </c>
      <c r="B720" s="8" t="s">
        <v>12</v>
      </c>
      <c r="C720" s="9">
        <v>51102</v>
      </c>
      <c r="D720" s="10">
        <v>3.87</v>
      </c>
      <c r="E720" s="11"/>
      <c r="F720" s="12">
        <f t="shared" si="13"/>
        <v>176785037.31999993</v>
      </c>
      <c r="G720" s="15">
        <v>36</v>
      </c>
    </row>
    <row r="721" spans="1:7" x14ac:dyDescent="0.2">
      <c r="A721" s="21">
        <v>45866</v>
      </c>
      <c r="B721" s="8" t="s">
        <v>11</v>
      </c>
      <c r="C721" s="9">
        <v>51121</v>
      </c>
      <c r="D721" s="10">
        <v>176000000</v>
      </c>
      <c r="E721" s="11"/>
      <c r="F721" s="12">
        <f t="shared" si="13"/>
        <v>785037.31999993324</v>
      </c>
      <c r="G721" s="15">
        <v>37</v>
      </c>
    </row>
    <row r="722" spans="1:7" x14ac:dyDescent="0.2">
      <c r="A722" s="21">
        <v>45866</v>
      </c>
      <c r="B722" s="8" t="s">
        <v>28</v>
      </c>
      <c r="C722" s="9">
        <v>4289293</v>
      </c>
      <c r="D722" s="11"/>
      <c r="E722" s="14">
        <v>175000000</v>
      </c>
      <c r="F722" s="12">
        <f t="shared" si="13"/>
        <v>175785037.31999993</v>
      </c>
      <c r="G722" s="15">
        <v>38</v>
      </c>
    </row>
    <row r="723" spans="1:7" x14ac:dyDescent="0.2">
      <c r="A723" s="21">
        <v>45867</v>
      </c>
      <c r="B723" s="8" t="s">
        <v>11</v>
      </c>
      <c r="C723" s="9">
        <v>51134</v>
      </c>
      <c r="D723" s="10">
        <v>175000000</v>
      </c>
      <c r="E723" s="11"/>
      <c r="F723" s="12">
        <f t="shared" si="13"/>
        <v>785037.31999993324</v>
      </c>
      <c r="G723" s="15">
        <v>39</v>
      </c>
    </row>
    <row r="724" spans="1:7" x14ac:dyDescent="0.2">
      <c r="A724" s="21">
        <v>45867</v>
      </c>
      <c r="B724" s="8" t="s">
        <v>9</v>
      </c>
      <c r="C724" s="9">
        <v>51137</v>
      </c>
      <c r="D724" s="10">
        <v>956</v>
      </c>
      <c r="E724" s="11"/>
      <c r="F724" s="12">
        <f t="shared" si="13"/>
        <v>784081.31999993324</v>
      </c>
      <c r="G724" s="15">
        <v>40</v>
      </c>
    </row>
    <row r="725" spans="1:7" x14ac:dyDescent="0.2">
      <c r="A725" s="21">
        <v>45867</v>
      </c>
      <c r="B725" s="8" t="s">
        <v>15</v>
      </c>
      <c r="C725" s="9">
        <v>51138</v>
      </c>
      <c r="D725" s="10">
        <v>200.76</v>
      </c>
      <c r="E725" s="11"/>
      <c r="F725" s="12">
        <f t="shared" si="13"/>
        <v>783880.55999993323</v>
      </c>
      <c r="G725" s="15">
        <v>41</v>
      </c>
    </row>
    <row r="726" spans="1:7" x14ac:dyDescent="0.2">
      <c r="A726" s="21">
        <v>45867</v>
      </c>
      <c r="B726" s="8" t="s">
        <v>12</v>
      </c>
      <c r="C726" s="15">
        <v>51137</v>
      </c>
      <c r="D726" s="10">
        <v>5.74</v>
      </c>
      <c r="E726" s="10"/>
      <c r="F726" s="12">
        <f t="shared" si="13"/>
        <v>783874.81999993324</v>
      </c>
      <c r="G726" s="15">
        <v>42</v>
      </c>
    </row>
    <row r="727" spans="1:7" x14ac:dyDescent="0.2">
      <c r="A727" s="21">
        <v>45867</v>
      </c>
      <c r="B727" s="8" t="s">
        <v>12</v>
      </c>
      <c r="C727" s="15">
        <v>51138</v>
      </c>
      <c r="D727" s="10">
        <v>1.2</v>
      </c>
      <c r="E727" s="10"/>
      <c r="F727" s="12">
        <f t="shared" si="13"/>
        <v>783873.61999993329</v>
      </c>
      <c r="G727" s="15">
        <v>43</v>
      </c>
    </row>
    <row r="728" spans="1:7" x14ac:dyDescent="0.2">
      <c r="A728" s="33">
        <v>45841</v>
      </c>
      <c r="B728" s="15" t="s">
        <v>29</v>
      </c>
      <c r="C728" s="15">
        <v>51149</v>
      </c>
      <c r="D728" s="10">
        <v>956</v>
      </c>
      <c r="E728" s="10"/>
      <c r="F728" s="12">
        <f t="shared" si="13"/>
        <v>782917.61999993329</v>
      </c>
      <c r="G728" s="15">
        <v>44</v>
      </c>
    </row>
    <row r="729" spans="1:7" x14ac:dyDescent="0.2">
      <c r="A729" s="33">
        <v>45841</v>
      </c>
      <c r="B729" s="8" t="s">
        <v>15</v>
      </c>
      <c r="C729" s="15">
        <v>51150</v>
      </c>
      <c r="D729" s="10">
        <v>200.76</v>
      </c>
      <c r="E729" s="10"/>
      <c r="F729" s="12">
        <f t="shared" si="13"/>
        <v>782716.85999993328</v>
      </c>
      <c r="G729" s="15">
        <v>45</v>
      </c>
    </row>
    <row r="730" spans="1:7" x14ac:dyDescent="0.2">
      <c r="A730" s="33">
        <v>45841</v>
      </c>
      <c r="B730" s="8" t="s">
        <v>12</v>
      </c>
      <c r="C730" s="15">
        <v>51149</v>
      </c>
      <c r="D730" s="10">
        <v>5.74</v>
      </c>
      <c r="E730" s="10"/>
      <c r="F730" s="12">
        <f t="shared" si="13"/>
        <v>782711.11999993329</v>
      </c>
      <c r="G730" s="15">
        <v>46</v>
      </c>
    </row>
    <row r="731" spans="1:7" x14ac:dyDescent="0.2">
      <c r="A731" s="33">
        <v>45841</v>
      </c>
      <c r="B731" s="8" t="s">
        <v>12</v>
      </c>
      <c r="C731" s="15">
        <v>51150</v>
      </c>
      <c r="D731" s="10">
        <v>1.2</v>
      </c>
      <c r="E731" s="10"/>
      <c r="F731" s="12">
        <f t="shared" si="13"/>
        <v>782709.91999993334</v>
      </c>
      <c r="G731" s="15">
        <v>47</v>
      </c>
    </row>
    <row r="734" spans="1:7" x14ac:dyDescent="0.2">
      <c r="A734" s="37" t="s">
        <v>0</v>
      </c>
      <c r="B734" s="16" t="s">
        <v>1</v>
      </c>
      <c r="C734" s="16" t="s">
        <v>2</v>
      </c>
      <c r="D734" s="17" t="s">
        <v>3</v>
      </c>
      <c r="E734" s="17" t="s">
        <v>4</v>
      </c>
      <c r="F734" s="17" t="s">
        <v>5</v>
      </c>
      <c r="G734" s="30"/>
    </row>
    <row r="735" spans="1:7" x14ac:dyDescent="0.2">
      <c r="A735" s="39"/>
      <c r="B735" s="5" t="s">
        <v>6</v>
      </c>
      <c r="C735" s="25"/>
      <c r="D735" s="26"/>
      <c r="E735" s="26"/>
      <c r="F735" s="7">
        <v>782709.92</v>
      </c>
      <c r="G735" s="15">
        <v>1</v>
      </c>
    </row>
    <row r="736" spans="1:7" x14ac:dyDescent="0.2">
      <c r="A736" s="21">
        <v>45887</v>
      </c>
      <c r="B736" s="8" t="s">
        <v>27</v>
      </c>
      <c r="C736" s="9">
        <v>8875579</v>
      </c>
      <c r="D736" s="11"/>
      <c r="E736" s="10">
        <v>400357763.85000002</v>
      </c>
      <c r="F736" s="12">
        <f t="shared" ref="F736:F779" si="14">+F735+E736-D736</f>
        <v>401140473.77000004</v>
      </c>
      <c r="G736" s="15">
        <v>2</v>
      </c>
    </row>
    <row r="737" spans="1:7" x14ac:dyDescent="0.2">
      <c r="A737" s="21">
        <v>45887</v>
      </c>
      <c r="B737" s="8" t="s">
        <v>14</v>
      </c>
      <c r="C737" s="9">
        <v>8875579</v>
      </c>
      <c r="D737" s="10">
        <v>2402146.58</v>
      </c>
      <c r="E737" s="11"/>
      <c r="F737" s="12">
        <f t="shared" si="14"/>
        <v>398738327.19000006</v>
      </c>
      <c r="G737" s="15">
        <v>3</v>
      </c>
    </row>
    <row r="738" spans="1:7" x14ac:dyDescent="0.2">
      <c r="A738" s="21">
        <v>45887</v>
      </c>
      <c r="B738" s="8" t="s">
        <v>17</v>
      </c>
      <c r="C738" s="9">
        <v>8875579</v>
      </c>
      <c r="D738" s="10">
        <v>800715.53</v>
      </c>
      <c r="E738" s="11"/>
      <c r="F738" s="12">
        <f t="shared" si="14"/>
        <v>397937611.66000009</v>
      </c>
      <c r="G738" s="15">
        <v>4</v>
      </c>
    </row>
    <row r="739" spans="1:7" x14ac:dyDescent="0.2">
      <c r="A739" s="21">
        <v>45887</v>
      </c>
      <c r="B739" s="8" t="s">
        <v>12</v>
      </c>
      <c r="C739" s="9">
        <v>8875579</v>
      </c>
      <c r="D739" s="10">
        <v>4804.29</v>
      </c>
      <c r="E739" s="11"/>
      <c r="F739" s="12">
        <f t="shared" si="14"/>
        <v>397932807.37000006</v>
      </c>
      <c r="G739" s="15">
        <v>5</v>
      </c>
    </row>
    <row r="740" spans="1:7" x14ac:dyDescent="0.2">
      <c r="A740" s="21">
        <v>45888</v>
      </c>
      <c r="B740" s="8" t="s">
        <v>11</v>
      </c>
      <c r="C740" s="9">
        <v>51202</v>
      </c>
      <c r="D740" s="10">
        <v>10000000</v>
      </c>
      <c r="E740" s="11"/>
      <c r="F740" s="12">
        <f t="shared" si="14"/>
        <v>387932807.37000006</v>
      </c>
      <c r="G740" s="15">
        <v>6</v>
      </c>
    </row>
    <row r="741" spans="1:7" x14ac:dyDescent="0.2">
      <c r="A741" s="21">
        <v>45888</v>
      </c>
      <c r="B741" s="8" t="s">
        <v>11</v>
      </c>
      <c r="C741" s="9">
        <v>51209</v>
      </c>
      <c r="D741" s="10">
        <v>30000000</v>
      </c>
      <c r="E741" s="11"/>
      <c r="F741" s="12">
        <f t="shared" si="14"/>
        <v>357932807.37000006</v>
      </c>
      <c r="G741" s="15">
        <v>7</v>
      </c>
    </row>
    <row r="742" spans="1:7" x14ac:dyDescent="0.2">
      <c r="A742" s="21">
        <v>45889</v>
      </c>
      <c r="B742" s="8" t="s">
        <v>11</v>
      </c>
      <c r="C742" s="9">
        <v>51239</v>
      </c>
      <c r="D742" s="10">
        <v>50000000</v>
      </c>
      <c r="E742" s="11"/>
      <c r="F742" s="12">
        <f t="shared" si="14"/>
        <v>307932807.37000006</v>
      </c>
      <c r="G742" s="15">
        <v>8</v>
      </c>
    </row>
    <row r="743" spans="1:7" x14ac:dyDescent="0.2">
      <c r="A743" s="21">
        <v>45889</v>
      </c>
      <c r="B743" s="8" t="s">
        <v>11</v>
      </c>
      <c r="C743" s="9">
        <v>51245</v>
      </c>
      <c r="D743" s="10">
        <v>100000000</v>
      </c>
      <c r="E743" s="11"/>
      <c r="F743" s="12">
        <f t="shared" si="14"/>
        <v>207932807.37000006</v>
      </c>
      <c r="G743" s="15">
        <v>9</v>
      </c>
    </row>
    <row r="744" spans="1:7" x14ac:dyDescent="0.2">
      <c r="A744" s="21">
        <v>45889</v>
      </c>
      <c r="B744" s="8" t="s">
        <v>9</v>
      </c>
      <c r="C744" s="9">
        <v>51248</v>
      </c>
      <c r="D744" s="10">
        <v>956</v>
      </c>
      <c r="E744" s="11"/>
      <c r="F744" s="12">
        <f t="shared" si="14"/>
        <v>207931851.37000006</v>
      </c>
      <c r="G744" s="15">
        <v>10</v>
      </c>
    </row>
    <row r="745" spans="1:7" x14ac:dyDescent="0.2">
      <c r="A745" s="21">
        <v>45889</v>
      </c>
      <c r="B745" s="8" t="s">
        <v>9</v>
      </c>
      <c r="C745" s="9">
        <v>51249</v>
      </c>
      <c r="D745" s="10">
        <v>956</v>
      </c>
      <c r="E745" s="11"/>
      <c r="F745" s="12">
        <f t="shared" si="14"/>
        <v>207930895.37000006</v>
      </c>
      <c r="G745" s="15">
        <v>11</v>
      </c>
    </row>
    <row r="746" spans="1:7" x14ac:dyDescent="0.2">
      <c r="A746" s="21">
        <v>45889</v>
      </c>
      <c r="B746" s="8" t="s">
        <v>15</v>
      </c>
      <c r="C746" s="9">
        <v>51250</v>
      </c>
      <c r="D746" s="10">
        <v>401.52</v>
      </c>
      <c r="E746" s="11"/>
      <c r="F746" s="12">
        <f t="shared" si="14"/>
        <v>207930493.85000005</v>
      </c>
      <c r="G746" s="15">
        <v>12</v>
      </c>
    </row>
    <row r="747" spans="1:7" x14ac:dyDescent="0.2">
      <c r="A747" s="21">
        <v>45889</v>
      </c>
      <c r="B747" s="8" t="s">
        <v>12</v>
      </c>
      <c r="C747" s="9">
        <v>51248</v>
      </c>
      <c r="D747" s="10">
        <v>5.74</v>
      </c>
      <c r="E747" s="11"/>
      <c r="F747" s="12">
        <f t="shared" si="14"/>
        <v>207930488.11000004</v>
      </c>
      <c r="G747" s="15">
        <v>13</v>
      </c>
    </row>
    <row r="748" spans="1:7" x14ac:dyDescent="0.2">
      <c r="A748" s="21">
        <v>45889</v>
      </c>
      <c r="B748" s="8" t="s">
        <v>12</v>
      </c>
      <c r="C748" s="9">
        <v>51249</v>
      </c>
      <c r="D748" s="10">
        <v>5.74</v>
      </c>
      <c r="E748" s="11"/>
      <c r="F748" s="12">
        <f t="shared" si="14"/>
        <v>207930482.37000003</v>
      </c>
      <c r="G748" s="15">
        <v>14</v>
      </c>
    </row>
    <row r="749" spans="1:7" x14ac:dyDescent="0.2">
      <c r="A749" s="21">
        <v>45889</v>
      </c>
      <c r="B749" s="8" t="s">
        <v>12</v>
      </c>
      <c r="C749" s="9">
        <v>51250</v>
      </c>
      <c r="D749" s="10">
        <v>2.41</v>
      </c>
      <c r="E749" s="11"/>
      <c r="F749" s="12">
        <f t="shared" si="14"/>
        <v>207930479.96000004</v>
      </c>
      <c r="G749" s="15">
        <v>15</v>
      </c>
    </row>
    <row r="750" spans="1:7" x14ac:dyDescent="0.2">
      <c r="A750" s="21">
        <v>45890</v>
      </c>
      <c r="B750" s="8" t="s">
        <v>11</v>
      </c>
      <c r="C750" s="9">
        <v>51258</v>
      </c>
      <c r="D750" s="10">
        <v>150000000</v>
      </c>
      <c r="E750" s="11"/>
      <c r="F750" s="12">
        <f t="shared" si="14"/>
        <v>57930479.960000038</v>
      </c>
      <c r="G750" s="15">
        <v>16</v>
      </c>
    </row>
    <row r="751" spans="1:7" x14ac:dyDescent="0.2">
      <c r="A751" s="21">
        <v>45890</v>
      </c>
      <c r="B751" s="8" t="s">
        <v>9</v>
      </c>
      <c r="C751" s="9">
        <v>51263</v>
      </c>
      <c r="D751" s="10">
        <v>956</v>
      </c>
      <c r="E751" s="11"/>
      <c r="F751" s="12">
        <f t="shared" si="14"/>
        <v>57929523.960000038</v>
      </c>
      <c r="G751" s="15">
        <v>17</v>
      </c>
    </row>
    <row r="752" spans="1:7" x14ac:dyDescent="0.2">
      <c r="A752" s="21">
        <v>45890</v>
      </c>
      <c r="B752" s="8" t="s">
        <v>9</v>
      </c>
      <c r="C752" s="9">
        <v>51264</v>
      </c>
      <c r="D752" s="10">
        <v>956</v>
      </c>
      <c r="E752" s="11"/>
      <c r="F752" s="12">
        <f t="shared" si="14"/>
        <v>57928567.960000038</v>
      </c>
      <c r="G752" s="15">
        <v>18</v>
      </c>
    </row>
    <row r="753" spans="1:7" x14ac:dyDescent="0.2">
      <c r="A753" s="21">
        <v>45890</v>
      </c>
      <c r="B753" s="8" t="s">
        <v>15</v>
      </c>
      <c r="C753" s="9">
        <v>51265</v>
      </c>
      <c r="D753" s="10">
        <v>401.52</v>
      </c>
      <c r="E753" s="11"/>
      <c r="F753" s="12">
        <f t="shared" si="14"/>
        <v>57928166.440000035</v>
      </c>
      <c r="G753" s="15">
        <v>19</v>
      </c>
    </row>
    <row r="754" spans="1:7" x14ac:dyDescent="0.2">
      <c r="A754" s="21">
        <v>45890</v>
      </c>
      <c r="B754" s="8" t="s">
        <v>12</v>
      </c>
      <c r="C754" s="9">
        <v>51263</v>
      </c>
      <c r="D754" s="10">
        <v>5.74</v>
      </c>
      <c r="E754" s="11"/>
      <c r="F754" s="12">
        <f t="shared" si="14"/>
        <v>57928160.700000033</v>
      </c>
      <c r="G754" s="15">
        <v>20</v>
      </c>
    </row>
    <row r="755" spans="1:7" x14ac:dyDescent="0.2">
      <c r="A755" s="21">
        <v>45890</v>
      </c>
      <c r="B755" s="8" t="s">
        <v>12</v>
      </c>
      <c r="C755" s="9">
        <v>51264</v>
      </c>
      <c r="D755" s="10">
        <v>5.74</v>
      </c>
      <c r="E755" s="11"/>
      <c r="F755" s="12">
        <f t="shared" si="14"/>
        <v>57928154.960000031</v>
      </c>
      <c r="G755" s="15">
        <v>21</v>
      </c>
    </row>
    <row r="756" spans="1:7" x14ac:dyDescent="0.2">
      <c r="A756" s="21">
        <v>45890</v>
      </c>
      <c r="B756" s="8" t="s">
        <v>12</v>
      </c>
      <c r="C756" s="9">
        <v>51265</v>
      </c>
      <c r="D756" s="10">
        <v>2.41</v>
      </c>
      <c r="E756" s="11"/>
      <c r="F756" s="12">
        <f t="shared" si="14"/>
        <v>57928152.550000034</v>
      </c>
      <c r="G756" s="15">
        <v>22</v>
      </c>
    </row>
    <row r="757" spans="1:7" x14ac:dyDescent="0.2">
      <c r="A757" s="21">
        <v>45891</v>
      </c>
      <c r="B757" s="8" t="s">
        <v>9</v>
      </c>
      <c r="C757" s="9">
        <v>51269</v>
      </c>
      <c r="D757" s="10">
        <v>956</v>
      </c>
      <c r="E757" s="11"/>
      <c r="F757" s="12">
        <f t="shared" si="14"/>
        <v>57927196.550000034</v>
      </c>
      <c r="G757" s="15">
        <v>23</v>
      </c>
    </row>
    <row r="758" spans="1:7" x14ac:dyDescent="0.2">
      <c r="A758" s="21">
        <v>45891</v>
      </c>
      <c r="B758" s="8" t="s">
        <v>15</v>
      </c>
      <c r="C758" s="9">
        <v>51270</v>
      </c>
      <c r="D758" s="10">
        <v>200.76</v>
      </c>
      <c r="E758" s="11"/>
      <c r="F758" s="12">
        <f t="shared" si="14"/>
        <v>57926995.790000036</v>
      </c>
      <c r="G758" s="15">
        <v>24</v>
      </c>
    </row>
    <row r="759" spans="1:7" x14ac:dyDescent="0.2">
      <c r="A759" s="21">
        <v>45891</v>
      </c>
      <c r="B759" s="8" t="s">
        <v>12</v>
      </c>
      <c r="C759" s="9">
        <v>51269</v>
      </c>
      <c r="D759" s="10">
        <v>5.74</v>
      </c>
      <c r="E759" s="11"/>
      <c r="F759" s="12">
        <f t="shared" si="14"/>
        <v>57926990.050000034</v>
      </c>
      <c r="G759" s="15">
        <v>25</v>
      </c>
    </row>
    <row r="760" spans="1:7" x14ac:dyDescent="0.2">
      <c r="A760" s="21">
        <v>45891</v>
      </c>
      <c r="B760" s="8" t="s">
        <v>12</v>
      </c>
      <c r="C760" s="9">
        <v>51270</v>
      </c>
      <c r="D760" s="10">
        <v>1.2</v>
      </c>
      <c r="E760" s="11"/>
      <c r="F760" s="12">
        <f t="shared" si="14"/>
        <v>57926988.850000031</v>
      </c>
      <c r="G760" s="15">
        <v>26</v>
      </c>
    </row>
    <row r="761" spans="1:7" x14ac:dyDescent="0.2">
      <c r="A761" s="21">
        <v>45894</v>
      </c>
      <c r="B761" s="8" t="s">
        <v>11</v>
      </c>
      <c r="C761" s="9">
        <v>51277</v>
      </c>
      <c r="D761" s="10">
        <v>56000000</v>
      </c>
      <c r="E761" s="11"/>
      <c r="F761" s="12">
        <f t="shared" si="14"/>
        <v>1926988.8500000313</v>
      </c>
      <c r="G761" s="15">
        <v>27</v>
      </c>
    </row>
    <row r="762" spans="1:7" x14ac:dyDescent="0.2">
      <c r="A762" s="21">
        <v>45894</v>
      </c>
      <c r="B762" s="8" t="s">
        <v>28</v>
      </c>
      <c r="C762" s="9">
        <v>4280177</v>
      </c>
      <c r="D762" s="11"/>
      <c r="E762" s="10">
        <v>60000000</v>
      </c>
      <c r="F762" s="12">
        <f t="shared" si="14"/>
        <v>61926988.850000031</v>
      </c>
      <c r="G762" s="15">
        <v>28</v>
      </c>
    </row>
    <row r="763" spans="1:7" x14ac:dyDescent="0.2">
      <c r="A763" s="21">
        <v>45895</v>
      </c>
      <c r="B763" s="8" t="s">
        <v>9</v>
      </c>
      <c r="C763" s="9">
        <v>51295</v>
      </c>
      <c r="D763" s="10">
        <v>956</v>
      </c>
      <c r="E763" s="11"/>
      <c r="F763" s="12">
        <f t="shared" si="14"/>
        <v>61926032.850000031</v>
      </c>
      <c r="G763" s="15">
        <v>29</v>
      </c>
    </row>
    <row r="764" spans="1:7" x14ac:dyDescent="0.2">
      <c r="A764" s="21">
        <v>45895</v>
      </c>
      <c r="B764" s="8" t="s">
        <v>15</v>
      </c>
      <c r="C764" s="9">
        <v>51296</v>
      </c>
      <c r="D764" s="10">
        <v>200.76</v>
      </c>
      <c r="E764" s="11"/>
      <c r="F764" s="12">
        <f t="shared" si="14"/>
        <v>61925832.090000033</v>
      </c>
      <c r="G764" s="15">
        <v>30</v>
      </c>
    </row>
    <row r="765" spans="1:7" x14ac:dyDescent="0.2">
      <c r="A765" s="21">
        <v>45895</v>
      </c>
      <c r="B765" s="8" t="s">
        <v>12</v>
      </c>
      <c r="C765" s="9">
        <v>51295</v>
      </c>
      <c r="D765" s="10">
        <v>5.74</v>
      </c>
      <c r="E765" s="11"/>
      <c r="F765" s="12">
        <f t="shared" si="14"/>
        <v>61925826.350000031</v>
      </c>
      <c r="G765" s="15">
        <v>31</v>
      </c>
    </row>
    <row r="766" spans="1:7" x14ac:dyDescent="0.2">
      <c r="A766" s="21">
        <v>45895</v>
      </c>
      <c r="B766" s="8" t="s">
        <v>12</v>
      </c>
      <c r="C766" s="9">
        <v>51296</v>
      </c>
      <c r="D766" s="10">
        <v>1.2</v>
      </c>
      <c r="E766" s="11"/>
      <c r="F766" s="12">
        <f t="shared" si="14"/>
        <v>61925825.150000028</v>
      </c>
      <c r="G766" s="15">
        <v>32</v>
      </c>
    </row>
    <row r="767" spans="1:7" x14ac:dyDescent="0.2">
      <c r="A767" s="21">
        <v>45896</v>
      </c>
      <c r="B767" s="8" t="s">
        <v>11</v>
      </c>
      <c r="C767" s="9">
        <v>51305</v>
      </c>
      <c r="D767" s="10">
        <v>60000000</v>
      </c>
      <c r="E767" s="11"/>
      <c r="F767" s="12">
        <f t="shared" si="14"/>
        <v>1925825.1500000283</v>
      </c>
      <c r="G767" s="15">
        <v>33</v>
      </c>
    </row>
    <row r="768" spans="1:7" x14ac:dyDescent="0.2">
      <c r="A768" s="21">
        <v>45897</v>
      </c>
      <c r="B768" s="8" t="s">
        <v>9</v>
      </c>
      <c r="C768" s="9">
        <v>51313</v>
      </c>
      <c r="D768" s="10">
        <v>956</v>
      </c>
      <c r="E768" s="11"/>
      <c r="F768" s="12">
        <f t="shared" si="14"/>
        <v>1924869.1500000283</v>
      </c>
      <c r="G768" s="15">
        <v>34</v>
      </c>
    </row>
    <row r="769" spans="1:7" x14ac:dyDescent="0.2">
      <c r="A769" s="21">
        <v>45897</v>
      </c>
      <c r="B769" s="8" t="s">
        <v>15</v>
      </c>
      <c r="C769" s="9">
        <v>51314</v>
      </c>
      <c r="D769" s="10">
        <v>200.76</v>
      </c>
      <c r="E769" s="11"/>
      <c r="F769" s="12">
        <f t="shared" si="14"/>
        <v>1924668.3900000283</v>
      </c>
      <c r="G769" s="15">
        <v>35</v>
      </c>
    </row>
    <row r="770" spans="1:7" x14ac:dyDescent="0.2">
      <c r="A770" s="21">
        <v>45897</v>
      </c>
      <c r="B770" s="8" t="s">
        <v>12</v>
      </c>
      <c r="C770" s="9">
        <v>51313</v>
      </c>
      <c r="D770" s="10">
        <v>5.74</v>
      </c>
      <c r="E770" s="11"/>
      <c r="F770" s="12">
        <f t="shared" si="14"/>
        <v>1924662.6500000283</v>
      </c>
      <c r="G770" s="15">
        <v>36</v>
      </c>
    </row>
    <row r="771" spans="1:7" x14ac:dyDescent="0.2">
      <c r="A771" s="21">
        <v>45897</v>
      </c>
      <c r="B771" s="8" t="s">
        <v>12</v>
      </c>
      <c r="C771" s="9">
        <v>51314</v>
      </c>
      <c r="D771" s="10">
        <v>1.2</v>
      </c>
      <c r="E771" s="11"/>
      <c r="F771" s="12">
        <f t="shared" si="14"/>
        <v>1924661.4500000284</v>
      </c>
      <c r="G771" s="15">
        <v>37</v>
      </c>
    </row>
    <row r="772" spans="1:7" x14ac:dyDescent="0.2">
      <c r="A772" s="21">
        <v>45898</v>
      </c>
      <c r="B772" s="8" t="s">
        <v>8</v>
      </c>
      <c r="C772" s="9">
        <v>51322</v>
      </c>
      <c r="D772" s="10">
        <v>43000</v>
      </c>
      <c r="E772" s="11"/>
      <c r="F772" s="12">
        <f t="shared" si="14"/>
        <v>1881661.4500000284</v>
      </c>
      <c r="G772" s="15">
        <v>38</v>
      </c>
    </row>
    <row r="773" spans="1:7" x14ac:dyDescent="0.2">
      <c r="A773" s="21">
        <v>45898</v>
      </c>
      <c r="B773" s="8" t="s">
        <v>15</v>
      </c>
      <c r="C773" s="9">
        <v>51323</v>
      </c>
      <c r="D773" s="10">
        <v>9030</v>
      </c>
      <c r="E773" s="11"/>
      <c r="F773" s="12">
        <f t="shared" si="14"/>
        <v>1872631.4500000284</v>
      </c>
      <c r="G773" s="15">
        <v>39</v>
      </c>
    </row>
    <row r="774" spans="1:7" x14ac:dyDescent="0.2">
      <c r="A774" s="21">
        <v>45898</v>
      </c>
      <c r="B774" s="8" t="s">
        <v>18</v>
      </c>
      <c r="C774" s="9">
        <v>51323</v>
      </c>
      <c r="D774" s="10">
        <v>1290</v>
      </c>
      <c r="E774" s="11"/>
      <c r="F774" s="12">
        <f t="shared" si="14"/>
        <v>1871341.4500000284</v>
      </c>
      <c r="G774" s="15">
        <v>40</v>
      </c>
    </row>
    <row r="775" spans="1:7" x14ac:dyDescent="0.2">
      <c r="A775" s="21">
        <v>45898</v>
      </c>
      <c r="B775" s="8" t="s">
        <v>12</v>
      </c>
      <c r="C775" s="9">
        <v>51322</v>
      </c>
      <c r="D775" s="10">
        <v>258</v>
      </c>
      <c r="E775" s="11"/>
      <c r="F775" s="12">
        <f t="shared" si="14"/>
        <v>1871083.4500000284</v>
      </c>
      <c r="G775" s="15">
        <v>41</v>
      </c>
    </row>
    <row r="776" spans="1:7" x14ac:dyDescent="0.2">
      <c r="A776" s="21">
        <v>45898</v>
      </c>
      <c r="B776" s="15" t="s">
        <v>13</v>
      </c>
      <c r="C776" s="9">
        <v>51322</v>
      </c>
      <c r="D776" s="10">
        <v>645</v>
      </c>
      <c r="F776" s="12">
        <f t="shared" si="14"/>
        <v>1870438.4500000284</v>
      </c>
      <c r="G776" s="15">
        <v>42</v>
      </c>
    </row>
    <row r="777" spans="1:7" x14ac:dyDescent="0.2">
      <c r="A777" s="21">
        <v>45898</v>
      </c>
      <c r="B777" s="8" t="s">
        <v>12</v>
      </c>
      <c r="C777" s="9">
        <v>51323</v>
      </c>
      <c r="D777" s="10">
        <v>54.18</v>
      </c>
      <c r="F777" s="12">
        <f t="shared" si="14"/>
        <v>1870384.2700000284</v>
      </c>
      <c r="G777" s="15">
        <v>43</v>
      </c>
    </row>
    <row r="778" spans="1:7" x14ac:dyDescent="0.2">
      <c r="A778" s="21">
        <v>45898</v>
      </c>
      <c r="B778" s="8" t="s">
        <v>12</v>
      </c>
      <c r="C778" s="9">
        <v>51323</v>
      </c>
      <c r="D778" s="10">
        <v>7.74</v>
      </c>
      <c r="F778" s="12">
        <f t="shared" si="14"/>
        <v>1870376.5300000284</v>
      </c>
      <c r="G778" s="15">
        <v>44</v>
      </c>
    </row>
    <row r="779" spans="1:7" x14ac:dyDescent="0.2">
      <c r="A779" s="21">
        <v>45898</v>
      </c>
      <c r="B779" s="8" t="s">
        <v>12</v>
      </c>
      <c r="C779" s="9">
        <v>51322</v>
      </c>
      <c r="D779" s="10">
        <v>3.87</v>
      </c>
      <c r="F779" s="12">
        <f t="shared" si="14"/>
        <v>1870372.6600000283</v>
      </c>
      <c r="G779" s="1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F64B-CF7C-42CF-89BA-F71F0271C295}">
  <dimension ref="A1:G744"/>
  <sheetViews>
    <sheetView workbookViewId="0">
      <pane ySplit="1" topLeftCell="A709" activePane="bottomLeft" state="frozen"/>
      <selection pane="bottomLeft" activeCell="F1" sqref="F1"/>
    </sheetView>
  </sheetViews>
  <sheetFormatPr baseColWidth="10" defaultRowHeight="10.199999999999999" x14ac:dyDescent="0.2"/>
  <cols>
    <col min="1" max="1" width="13.140625" style="36" bestFit="1" customWidth="1"/>
    <col min="2" max="2" width="30.42578125" style="15" bestFit="1" customWidth="1"/>
    <col min="3" max="3" width="11.28515625" style="43" bestFit="1" customWidth="1"/>
    <col min="4" max="4" width="14.42578125" style="12" bestFit="1" customWidth="1"/>
    <col min="5" max="6" width="15" style="12" bestFit="1" customWidth="1"/>
    <col min="7" max="7" width="4.140625" style="15" bestFit="1" customWidth="1"/>
  </cols>
  <sheetData>
    <row r="1" spans="1:7" x14ac:dyDescent="0.2">
      <c r="A1" s="48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34</v>
      </c>
      <c r="G1" s="3"/>
    </row>
    <row r="2" spans="1:7" x14ac:dyDescent="0.2">
      <c r="A2" s="51">
        <v>45537</v>
      </c>
      <c r="B2" s="52" t="s">
        <v>11</v>
      </c>
      <c r="C2" s="53">
        <v>49660</v>
      </c>
      <c r="D2" s="61">
        <v>5000000</v>
      </c>
      <c r="E2" s="62"/>
      <c r="F2" s="61">
        <f>+E2-D2</f>
        <v>-5000000</v>
      </c>
      <c r="G2" s="13">
        <v>2</v>
      </c>
    </row>
    <row r="3" spans="1:7" x14ac:dyDescent="0.2">
      <c r="A3" s="51">
        <v>45538</v>
      </c>
      <c r="B3" s="52" t="s">
        <v>9</v>
      </c>
      <c r="C3" s="53">
        <v>49661</v>
      </c>
      <c r="D3" s="61">
        <v>956</v>
      </c>
      <c r="E3" s="62"/>
      <c r="F3" s="61">
        <f t="shared" ref="F3:F66" si="0">+E3-D3</f>
        <v>-956</v>
      </c>
      <c r="G3" s="13">
        <v>3</v>
      </c>
    </row>
    <row r="4" spans="1:7" x14ac:dyDescent="0.2">
      <c r="A4" s="51">
        <v>45538</v>
      </c>
      <c r="B4" s="52" t="s">
        <v>15</v>
      </c>
      <c r="C4" s="53">
        <v>49662</v>
      </c>
      <c r="D4" s="61">
        <v>200.76</v>
      </c>
      <c r="E4" s="62"/>
      <c r="F4" s="61">
        <f t="shared" si="0"/>
        <v>-200.76</v>
      </c>
      <c r="G4" s="13">
        <v>4</v>
      </c>
    </row>
    <row r="5" spans="1:7" x14ac:dyDescent="0.2">
      <c r="A5" s="51">
        <v>45538</v>
      </c>
      <c r="B5" s="52" t="s">
        <v>12</v>
      </c>
      <c r="C5" s="53">
        <v>49661</v>
      </c>
      <c r="D5" s="61">
        <v>5.74</v>
      </c>
      <c r="E5" s="62"/>
      <c r="F5" s="61">
        <f t="shared" si="0"/>
        <v>-5.74</v>
      </c>
      <c r="G5" s="13">
        <v>5</v>
      </c>
    </row>
    <row r="6" spans="1:7" x14ac:dyDescent="0.2">
      <c r="A6" s="51">
        <v>45538</v>
      </c>
      <c r="B6" s="52" t="s">
        <v>12</v>
      </c>
      <c r="C6" s="53">
        <v>49662</v>
      </c>
      <c r="D6" s="61">
        <v>1.2</v>
      </c>
      <c r="E6" s="62"/>
      <c r="F6" s="61">
        <f t="shared" si="0"/>
        <v>-1.2</v>
      </c>
      <c r="G6" s="13">
        <v>6</v>
      </c>
    </row>
    <row r="7" spans="1:7" x14ac:dyDescent="0.2">
      <c r="A7" s="51">
        <v>45551</v>
      </c>
      <c r="B7" s="52" t="s">
        <v>7</v>
      </c>
      <c r="C7" s="53">
        <v>9444935</v>
      </c>
      <c r="D7" s="62"/>
      <c r="E7" s="61">
        <v>372404983.60000002</v>
      </c>
      <c r="F7" s="61">
        <f t="shared" si="0"/>
        <v>372404983.60000002</v>
      </c>
      <c r="G7" s="13">
        <v>7</v>
      </c>
    </row>
    <row r="8" spans="1:7" x14ac:dyDescent="0.2">
      <c r="A8" s="51">
        <v>45551</v>
      </c>
      <c r="B8" s="52" t="s">
        <v>14</v>
      </c>
      <c r="C8" s="53">
        <v>9444935</v>
      </c>
      <c r="D8" s="61">
        <v>2234429.9</v>
      </c>
      <c r="E8" s="62"/>
      <c r="F8" s="61">
        <f t="shared" si="0"/>
        <v>-2234429.9</v>
      </c>
      <c r="G8" s="13">
        <v>8</v>
      </c>
    </row>
    <row r="9" spans="1:7" x14ac:dyDescent="0.2">
      <c r="A9" s="51">
        <v>45551</v>
      </c>
      <c r="B9" s="52" t="s">
        <v>17</v>
      </c>
      <c r="C9" s="53">
        <v>9444935</v>
      </c>
      <c r="D9" s="61">
        <v>3724049.84</v>
      </c>
      <c r="E9" s="62"/>
      <c r="F9" s="61">
        <f t="shared" si="0"/>
        <v>-3724049.84</v>
      </c>
      <c r="G9" s="13">
        <v>9</v>
      </c>
    </row>
    <row r="10" spans="1:7" x14ac:dyDescent="0.2">
      <c r="A10" s="51">
        <v>45551</v>
      </c>
      <c r="B10" s="52" t="s">
        <v>12</v>
      </c>
      <c r="C10" s="53">
        <v>9444935</v>
      </c>
      <c r="D10" s="61">
        <v>22344.3</v>
      </c>
      <c r="E10" s="62"/>
      <c r="F10" s="61">
        <f t="shared" si="0"/>
        <v>-22344.3</v>
      </c>
      <c r="G10" s="13">
        <v>10</v>
      </c>
    </row>
    <row r="11" spans="1:7" x14ac:dyDescent="0.2">
      <c r="A11" s="51">
        <v>45552</v>
      </c>
      <c r="B11" s="52" t="s">
        <v>11</v>
      </c>
      <c r="C11" s="53">
        <v>49669</v>
      </c>
      <c r="D11" s="61">
        <v>20000000</v>
      </c>
      <c r="E11" s="62"/>
      <c r="F11" s="61">
        <f t="shared" si="0"/>
        <v>-20000000</v>
      </c>
      <c r="G11" s="13">
        <v>11</v>
      </c>
    </row>
    <row r="12" spans="1:7" x14ac:dyDescent="0.2">
      <c r="A12" s="51">
        <v>45552</v>
      </c>
      <c r="B12" s="52" t="s">
        <v>11</v>
      </c>
      <c r="C12" s="53">
        <v>49670</v>
      </c>
      <c r="D12" s="61">
        <v>20000000</v>
      </c>
      <c r="E12" s="62"/>
      <c r="F12" s="61">
        <f t="shared" si="0"/>
        <v>-20000000</v>
      </c>
      <c r="G12" s="13">
        <v>12</v>
      </c>
    </row>
    <row r="13" spans="1:7" x14ac:dyDescent="0.2">
      <c r="A13" s="51">
        <v>45552</v>
      </c>
      <c r="B13" s="52" t="s">
        <v>11</v>
      </c>
      <c r="C13" s="53">
        <v>49671</v>
      </c>
      <c r="D13" s="61">
        <v>20000000</v>
      </c>
      <c r="E13" s="62"/>
      <c r="F13" s="61">
        <f t="shared" si="0"/>
        <v>-20000000</v>
      </c>
      <c r="G13" s="13">
        <v>13</v>
      </c>
    </row>
    <row r="14" spans="1:7" x14ac:dyDescent="0.2">
      <c r="A14" s="51">
        <v>45552</v>
      </c>
      <c r="B14" s="52" t="s">
        <v>11</v>
      </c>
      <c r="C14" s="53">
        <v>49672</v>
      </c>
      <c r="D14" s="61">
        <v>20000000</v>
      </c>
      <c r="E14" s="62"/>
      <c r="F14" s="61">
        <f t="shared" si="0"/>
        <v>-20000000</v>
      </c>
      <c r="G14" s="13">
        <v>14</v>
      </c>
    </row>
    <row r="15" spans="1:7" x14ac:dyDescent="0.2">
      <c r="A15" s="51">
        <v>45552</v>
      </c>
      <c r="B15" s="52" t="s">
        <v>16</v>
      </c>
      <c r="C15" s="53">
        <v>707863</v>
      </c>
      <c r="D15" s="61">
        <v>2790838.74</v>
      </c>
      <c r="E15" s="62"/>
      <c r="F15" s="61">
        <f t="shared" si="0"/>
        <v>-2790838.74</v>
      </c>
      <c r="G15" s="13">
        <v>15</v>
      </c>
    </row>
    <row r="16" spans="1:7" x14ac:dyDescent="0.2">
      <c r="A16" s="51">
        <v>45552</v>
      </c>
      <c r="B16" s="52" t="s">
        <v>16</v>
      </c>
      <c r="C16" s="53">
        <v>707864</v>
      </c>
      <c r="D16" s="61">
        <v>5790587.5499999998</v>
      </c>
      <c r="E16" s="62"/>
      <c r="F16" s="61">
        <f t="shared" si="0"/>
        <v>-5790587.5499999998</v>
      </c>
      <c r="G16" s="13">
        <v>16</v>
      </c>
    </row>
    <row r="17" spans="1:7" x14ac:dyDescent="0.2">
      <c r="A17" s="51">
        <v>45552</v>
      </c>
      <c r="B17" s="52" t="s">
        <v>16</v>
      </c>
      <c r="C17" s="53">
        <v>101245</v>
      </c>
      <c r="D17" s="61">
        <v>17764.89</v>
      </c>
      <c r="E17" s="62"/>
      <c r="F17" s="61">
        <f t="shared" si="0"/>
        <v>-17764.89</v>
      </c>
      <c r="G17" s="13">
        <v>17</v>
      </c>
    </row>
    <row r="18" spans="1:7" x14ac:dyDescent="0.2">
      <c r="A18" s="51">
        <v>45552</v>
      </c>
      <c r="B18" s="52" t="s">
        <v>16</v>
      </c>
      <c r="C18" s="53">
        <v>101246</v>
      </c>
      <c r="D18" s="61">
        <v>4407363.0199999996</v>
      </c>
      <c r="E18" s="62"/>
      <c r="F18" s="61">
        <f t="shared" si="0"/>
        <v>-4407363.0199999996</v>
      </c>
      <c r="G18" s="13">
        <v>18</v>
      </c>
    </row>
    <row r="19" spans="1:7" x14ac:dyDescent="0.2">
      <c r="A19" s="51">
        <v>45552</v>
      </c>
      <c r="B19" s="52" t="s">
        <v>16</v>
      </c>
      <c r="C19" s="53">
        <v>101247</v>
      </c>
      <c r="D19" s="61">
        <v>1581475.26</v>
      </c>
      <c r="E19" s="62"/>
      <c r="F19" s="61">
        <f t="shared" si="0"/>
        <v>-1581475.26</v>
      </c>
      <c r="G19" s="13">
        <v>19</v>
      </c>
    </row>
    <row r="20" spans="1:7" x14ac:dyDescent="0.2">
      <c r="A20" s="51">
        <v>45552</v>
      </c>
      <c r="B20" s="52" t="s">
        <v>12</v>
      </c>
      <c r="C20" s="53">
        <v>707863</v>
      </c>
      <c r="D20" s="61">
        <v>16745.03</v>
      </c>
      <c r="E20" s="62"/>
      <c r="F20" s="61">
        <f t="shared" si="0"/>
        <v>-16745.03</v>
      </c>
      <c r="G20" s="13">
        <v>20</v>
      </c>
    </row>
    <row r="21" spans="1:7" x14ac:dyDescent="0.2">
      <c r="A21" s="51">
        <v>45552</v>
      </c>
      <c r="B21" s="52" t="s">
        <v>12</v>
      </c>
      <c r="C21" s="53">
        <v>707864</v>
      </c>
      <c r="D21" s="61">
        <v>34743.53</v>
      </c>
      <c r="E21" s="62"/>
      <c r="F21" s="61">
        <f t="shared" si="0"/>
        <v>-34743.53</v>
      </c>
      <c r="G21" s="13">
        <v>21</v>
      </c>
    </row>
    <row r="22" spans="1:7" x14ac:dyDescent="0.2">
      <c r="A22" s="51">
        <v>45552</v>
      </c>
      <c r="B22" s="52" t="s">
        <v>12</v>
      </c>
      <c r="C22" s="53">
        <v>101245</v>
      </c>
      <c r="D22" s="61">
        <v>106.59</v>
      </c>
      <c r="E22" s="62"/>
      <c r="F22" s="61">
        <f t="shared" si="0"/>
        <v>-106.59</v>
      </c>
      <c r="G22" s="13">
        <v>22</v>
      </c>
    </row>
    <row r="23" spans="1:7" x14ac:dyDescent="0.2">
      <c r="A23" s="51">
        <v>45552</v>
      </c>
      <c r="B23" s="52" t="s">
        <v>12</v>
      </c>
      <c r="C23" s="53">
        <v>101246</v>
      </c>
      <c r="D23" s="61">
        <v>26444.18</v>
      </c>
      <c r="E23" s="62"/>
      <c r="F23" s="61">
        <f t="shared" si="0"/>
        <v>-26444.18</v>
      </c>
      <c r="G23" s="13">
        <v>23</v>
      </c>
    </row>
    <row r="24" spans="1:7" x14ac:dyDescent="0.2">
      <c r="A24" s="51">
        <v>45552</v>
      </c>
      <c r="B24" s="52" t="s">
        <v>12</v>
      </c>
      <c r="C24" s="53">
        <v>101247</v>
      </c>
      <c r="D24" s="61">
        <v>9488.85</v>
      </c>
      <c r="E24" s="62"/>
      <c r="F24" s="61">
        <f t="shared" si="0"/>
        <v>-9488.85</v>
      </c>
      <c r="G24" s="13">
        <v>24</v>
      </c>
    </row>
    <row r="25" spans="1:7" x14ac:dyDescent="0.2">
      <c r="A25" s="51">
        <v>45553</v>
      </c>
      <c r="B25" s="52" t="s">
        <v>9</v>
      </c>
      <c r="C25" s="53">
        <v>49684</v>
      </c>
      <c r="D25" s="61">
        <v>956</v>
      </c>
      <c r="E25" s="62"/>
      <c r="F25" s="61">
        <f t="shared" si="0"/>
        <v>-956</v>
      </c>
      <c r="G25" s="13">
        <v>25</v>
      </c>
    </row>
    <row r="26" spans="1:7" x14ac:dyDescent="0.2">
      <c r="A26" s="51">
        <v>45553</v>
      </c>
      <c r="B26" s="52" t="s">
        <v>9</v>
      </c>
      <c r="C26" s="53">
        <v>49685</v>
      </c>
      <c r="D26" s="61">
        <v>956</v>
      </c>
      <c r="E26" s="62"/>
      <c r="F26" s="61">
        <f t="shared" si="0"/>
        <v>-956</v>
      </c>
      <c r="G26" s="13">
        <v>26</v>
      </c>
    </row>
    <row r="27" spans="1:7" x14ac:dyDescent="0.2">
      <c r="A27" s="51">
        <v>45553</v>
      </c>
      <c r="B27" s="52" t="s">
        <v>9</v>
      </c>
      <c r="C27" s="53">
        <v>49686</v>
      </c>
      <c r="D27" s="61">
        <v>956</v>
      </c>
      <c r="E27" s="62"/>
      <c r="F27" s="61">
        <f t="shared" si="0"/>
        <v>-956</v>
      </c>
      <c r="G27" s="13">
        <v>27</v>
      </c>
    </row>
    <row r="28" spans="1:7" x14ac:dyDescent="0.2">
      <c r="A28" s="51">
        <v>45553</v>
      </c>
      <c r="B28" s="52" t="s">
        <v>9</v>
      </c>
      <c r="C28" s="53">
        <v>49687</v>
      </c>
      <c r="D28" s="61">
        <v>956</v>
      </c>
      <c r="E28" s="62"/>
      <c r="F28" s="61">
        <f t="shared" si="0"/>
        <v>-956</v>
      </c>
      <c r="G28" s="13">
        <v>28</v>
      </c>
    </row>
    <row r="29" spans="1:7" x14ac:dyDescent="0.2">
      <c r="A29" s="51">
        <v>45553</v>
      </c>
      <c r="B29" s="52" t="s">
        <v>15</v>
      </c>
      <c r="C29" s="53">
        <v>49688</v>
      </c>
      <c r="D29" s="61">
        <v>803.04</v>
      </c>
      <c r="E29" s="62"/>
      <c r="F29" s="61">
        <f t="shared" si="0"/>
        <v>-803.04</v>
      </c>
      <c r="G29" s="13">
        <v>29</v>
      </c>
    </row>
    <row r="30" spans="1:7" x14ac:dyDescent="0.2">
      <c r="A30" s="51">
        <v>45553</v>
      </c>
      <c r="B30" s="52" t="s">
        <v>18</v>
      </c>
      <c r="C30" s="53">
        <v>49688</v>
      </c>
      <c r="D30" s="61">
        <v>114.72</v>
      </c>
      <c r="E30" s="62"/>
      <c r="F30" s="61">
        <f t="shared" si="0"/>
        <v>-114.72</v>
      </c>
      <c r="G30" s="13">
        <v>30</v>
      </c>
    </row>
    <row r="31" spans="1:7" x14ac:dyDescent="0.2">
      <c r="A31" s="51">
        <v>45553</v>
      </c>
      <c r="B31" s="52" t="s">
        <v>12</v>
      </c>
      <c r="C31" s="53">
        <v>49684</v>
      </c>
      <c r="D31" s="61">
        <v>5.74</v>
      </c>
      <c r="E31" s="62"/>
      <c r="F31" s="61">
        <f t="shared" si="0"/>
        <v>-5.74</v>
      </c>
      <c r="G31" s="13">
        <v>31</v>
      </c>
    </row>
    <row r="32" spans="1:7" x14ac:dyDescent="0.2">
      <c r="A32" s="51">
        <v>45553</v>
      </c>
      <c r="B32" s="52" t="s">
        <v>12</v>
      </c>
      <c r="C32" s="53">
        <v>49685</v>
      </c>
      <c r="D32" s="61">
        <v>5.74</v>
      </c>
      <c r="E32" s="62"/>
      <c r="F32" s="61">
        <f t="shared" si="0"/>
        <v>-5.74</v>
      </c>
      <c r="G32" s="13">
        <v>32</v>
      </c>
    </row>
    <row r="33" spans="1:7" x14ac:dyDescent="0.2">
      <c r="A33" s="51">
        <v>45553</v>
      </c>
      <c r="B33" s="52" t="s">
        <v>12</v>
      </c>
      <c r="C33" s="53">
        <v>49686</v>
      </c>
      <c r="D33" s="61">
        <v>5.74</v>
      </c>
      <c r="E33" s="62"/>
      <c r="F33" s="61">
        <f t="shared" si="0"/>
        <v>-5.74</v>
      </c>
      <c r="G33" s="13">
        <v>33</v>
      </c>
    </row>
    <row r="34" spans="1:7" x14ac:dyDescent="0.2">
      <c r="A34" s="51">
        <v>45553</v>
      </c>
      <c r="B34" s="52" t="s">
        <v>12</v>
      </c>
      <c r="C34" s="53">
        <v>49687</v>
      </c>
      <c r="D34" s="61">
        <v>5.74</v>
      </c>
      <c r="E34" s="62"/>
      <c r="F34" s="61">
        <f t="shared" si="0"/>
        <v>-5.74</v>
      </c>
      <c r="G34" s="13">
        <v>34</v>
      </c>
    </row>
    <row r="35" spans="1:7" x14ac:dyDescent="0.2">
      <c r="A35" s="51">
        <v>45553</v>
      </c>
      <c r="B35" s="52" t="s">
        <v>12</v>
      </c>
      <c r="C35" s="53">
        <v>49688</v>
      </c>
      <c r="D35" s="61">
        <v>4.82</v>
      </c>
      <c r="E35" s="62"/>
      <c r="F35" s="61">
        <f t="shared" si="0"/>
        <v>-4.82</v>
      </c>
      <c r="G35" s="13">
        <v>35</v>
      </c>
    </row>
    <row r="36" spans="1:7" x14ac:dyDescent="0.2">
      <c r="A36" s="51">
        <v>45553</v>
      </c>
      <c r="B36" s="52" t="s">
        <v>12</v>
      </c>
      <c r="C36" s="53">
        <v>49688</v>
      </c>
      <c r="D36" s="61">
        <v>0.69</v>
      </c>
      <c r="E36" s="62"/>
      <c r="F36" s="61">
        <f t="shared" si="0"/>
        <v>-0.69</v>
      </c>
      <c r="G36" s="13">
        <v>36</v>
      </c>
    </row>
    <row r="37" spans="1:7" x14ac:dyDescent="0.2">
      <c r="A37" s="51">
        <v>45558</v>
      </c>
      <c r="B37" s="52" t="s">
        <v>11</v>
      </c>
      <c r="C37" s="53">
        <v>49696</v>
      </c>
      <c r="D37" s="61">
        <v>20000000</v>
      </c>
      <c r="E37" s="62"/>
      <c r="F37" s="61">
        <f t="shared" si="0"/>
        <v>-20000000</v>
      </c>
      <c r="G37" s="13">
        <v>37</v>
      </c>
    </row>
    <row r="38" spans="1:7" x14ac:dyDescent="0.2">
      <c r="A38" s="51">
        <v>45558</v>
      </c>
      <c r="B38" s="52" t="s">
        <v>11</v>
      </c>
      <c r="C38" s="53">
        <v>49697</v>
      </c>
      <c r="D38" s="61">
        <v>20000000</v>
      </c>
      <c r="E38" s="62"/>
      <c r="F38" s="61">
        <f t="shared" si="0"/>
        <v>-20000000</v>
      </c>
      <c r="G38" s="13">
        <v>38</v>
      </c>
    </row>
    <row r="39" spans="1:7" x14ac:dyDescent="0.2">
      <c r="A39" s="51">
        <v>45558</v>
      </c>
      <c r="B39" s="52" t="s">
        <v>11</v>
      </c>
      <c r="C39" s="53">
        <v>49698</v>
      </c>
      <c r="D39" s="61">
        <v>20000000</v>
      </c>
      <c r="E39" s="62"/>
      <c r="F39" s="61">
        <f t="shared" si="0"/>
        <v>-20000000</v>
      </c>
      <c r="G39" s="13">
        <v>39</v>
      </c>
    </row>
    <row r="40" spans="1:7" x14ac:dyDescent="0.2">
      <c r="A40" s="51">
        <v>45558</v>
      </c>
      <c r="B40" s="52" t="s">
        <v>11</v>
      </c>
      <c r="C40" s="53">
        <v>49699</v>
      </c>
      <c r="D40" s="61">
        <v>20000000</v>
      </c>
      <c r="E40" s="62"/>
      <c r="F40" s="61">
        <f t="shared" si="0"/>
        <v>-20000000</v>
      </c>
      <c r="G40" s="13">
        <v>40</v>
      </c>
    </row>
    <row r="41" spans="1:7" x14ac:dyDescent="0.2">
      <c r="A41" s="51">
        <v>45558</v>
      </c>
      <c r="B41" s="52" t="s">
        <v>11</v>
      </c>
      <c r="C41" s="53">
        <v>49701</v>
      </c>
      <c r="D41" s="61">
        <v>20000000</v>
      </c>
      <c r="E41" s="62"/>
      <c r="F41" s="61">
        <f t="shared" si="0"/>
        <v>-20000000</v>
      </c>
      <c r="G41" s="13">
        <v>41</v>
      </c>
    </row>
    <row r="42" spans="1:7" x14ac:dyDescent="0.2">
      <c r="A42" s="54">
        <v>45559</v>
      </c>
      <c r="B42" s="52" t="s">
        <v>9</v>
      </c>
      <c r="C42" s="53">
        <v>49702</v>
      </c>
      <c r="D42" s="61">
        <v>956</v>
      </c>
      <c r="E42" s="62"/>
      <c r="F42" s="61">
        <f t="shared" si="0"/>
        <v>-956</v>
      </c>
      <c r="G42" s="13">
        <v>42</v>
      </c>
    </row>
    <row r="43" spans="1:7" x14ac:dyDescent="0.2">
      <c r="A43" s="54">
        <v>45559</v>
      </c>
      <c r="B43" s="52" t="s">
        <v>9</v>
      </c>
      <c r="C43" s="53">
        <v>49703</v>
      </c>
      <c r="D43" s="61">
        <v>956</v>
      </c>
      <c r="E43" s="62"/>
      <c r="F43" s="61">
        <f t="shared" si="0"/>
        <v>-956</v>
      </c>
      <c r="G43" s="13">
        <v>43</v>
      </c>
    </row>
    <row r="44" spans="1:7" x14ac:dyDescent="0.2">
      <c r="A44" s="54">
        <v>45559</v>
      </c>
      <c r="B44" s="52" t="s">
        <v>9</v>
      </c>
      <c r="C44" s="53">
        <v>49704</v>
      </c>
      <c r="D44" s="61">
        <v>956</v>
      </c>
      <c r="E44" s="62"/>
      <c r="F44" s="61">
        <f t="shared" si="0"/>
        <v>-956</v>
      </c>
      <c r="G44" s="13">
        <v>44</v>
      </c>
    </row>
    <row r="45" spans="1:7" x14ac:dyDescent="0.2">
      <c r="A45" s="54">
        <v>45559</v>
      </c>
      <c r="B45" s="52" t="s">
        <v>9</v>
      </c>
      <c r="C45" s="53">
        <v>49705</v>
      </c>
      <c r="D45" s="61">
        <v>956</v>
      </c>
      <c r="E45" s="62"/>
      <c r="F45" s="61">
        <f t="shared" si="0"/>
        <v>-956</v>
      </c>
      <c r="G45" s="13">
        <v>45</v>
      </c>
    </row>
    <row r="46" spans="1:7" x14ac:dyDescent="0.2">
      <c r="A46" s="54">
        <v>45559</v>
      </c>
      <c r="B46" s="52" t="s">
        <v>9</v>
      </c>
      <c r="C46" s="53">
        <v>49706</v>
      </c>
      <c r="D46" s="61">
        <v>956</v>
      </c>
      <c r="E46" s="62"/>
      <c r="F46" s="61">
        <f t="shared" si="0"/>
        <v>-956</v>
      </c>
      <c r="G46" s="13">
        <v>46</v>
      </c>
    </row>
    <row r="47" spans="1:7" x14ac:dyDescent="0.2">
      <c r="A47" s="54">
        <v>45559</v>
      </c>
      <c r="B47" s="52" t="s">
        <v>15</v>
      </c>
      <c r="C47" s="53">
        <v>49707</v>
      </c>
      <c r="D47" s="61">
        <v>1003.8</v>
      </c>
      <c r="E47" s="62"/>
      <c r="F47" s="61">
        <f t="shared" si="0"/>
        <v>-1003.8</v>
      </c>
      <c r="G47" s="13">
        <v>47</v>
      </c>
    </row>
    <row r="48" spans="1:7" x14ac:dyDescent="0.2">
      <c r="A48" s="54">
        <v>45559</v>
      </c>
      <c r="B48" s="52" t="s">
        <v>18</v>
      </c>
      <c r="C48" s="53">
        <v>49707</v>
      </c>
      <c r="D48" s="61">
        <v>143.4</v>
      </c>
      <c r="E48" s="62"/>
      <c r="F48" s="61">
        <f t="shared" si="0"/>
        <v>-143.4</v>
      </c>
      <c r="G48" s="13">
        <v>48</v>
      </c>
    </row>
    <row r="49" spans="1:7" x14ac:dyDescent="0.2">
      <c r="A49" s="54">
        <v>45559</v>
      </c>
      <c r="B49" s="52" t="s">
        <v>12</v>
      </c>
      <c r="C49" s="53">
        <v>49702</v>
      </c>
      <c r="D49" s="61">
        <v>5.74</v>
      </c>
      <c r="E49" s="62"/>
      <c r="F49" s="61">
        <f t="shared" si="0"/>
        <v>-5.74</v>
      </c>
      <c r="G49" s="13">
        <v>49</v>
      </c>
    </row>
    <row r="50" spans="1:7" x14ac:dyDescent="0.2">
      <c r="A50" s="54">
        <v>45559</v>
      </c>
      <c r="B50" s="52" t="s">
        <v>12</v>
      </c>
      <c r="C50" s="53">
        <v>49703</v>
      </c>
      <c r="D50" s="61">
        <v>5.74</v>
      </c>
      <c r="E50" s="62"/>
      <c r="F50" s="61">
        <f t="shared" si="0"/>
        <v>-5.74</v>
      </c>
      <c r="G50" s="13">
        <v>50</v>
      </c>
    </row>
    <row r="51" spans="1:7" x14ac:dyDescent="0.2">
      <c r="A51" s="54">
        <v>45559</v>
      </c>
      <c r="B51" s="52" t="s">
        <v>12</v>
      </c>
      <c r="C51" s="53">
        <v>49704</v>
      </c>
      <c r="D51" s="61">
        <v>5.74</v>
      </c>
      <c r="E51" s="62"/>
      <c r="F51" s="61">
        <f t="shared" si="0"/>
        <v>-5.74</v>
      </c>
      <c r="G51" s="13">
        <v>51</v>
      </c>
    </row>
    <row r="52" spans="1:7" x14ac:dyDescent="0.2">
      <c r="A52" s="54">
        <v>45559</v>
      </c>
      <c r="B52" s="52" t="s">
        <v>12</v>
      </c>
      <c r="C52" s="53">
        <v>49705</v>
      </c>
      <c r="D52" s="61">
        <v>5.74</v>
      </c>
      <c r="E52" s="62"/>
      <c r="F52" s="61">
        <f t="shared" si="0"/>
        <v>-5.74</v>
      </c>
      <c r="G52" s="13">
        <v>52</v>
      </c>
    </row>
    <row r="53" spans="1:7" x14ac:dyDescent="0.2">
      <c r="A53" s="54">
        <v>45559</v>
      </c>
      <c r="B53" s="52" t="s">
        <v>12</v>
      </c>
      <c r="C53" s="53">
        <v>49706</v>
      </c>
      <c r="D53" s="61">
        <v>5.74</v>
      </c>
      <c r="E53" s="62"/>
      <c r="F53" s="61">
        <f t="shared" si="0"/>
        <v>-5.74</v>
      </c>
      <c r="G53" s="13">
        <v>53</v>
      </c>
    </row>
    <row r="54" spans="1:7" x14ac:dyDescent="0.2">
      <c r="A54" s="54">
        <v>45559</v>
      </c>
      <c r="B54" s="52" t="s">
        <v>12</v>
      </c>
      <c r="C54" s="53">
        <v>49707</v>
      </c>
      <c r="D54" s="61">
        <v>6.02</v>
      </c>
      <c r="E54" s="62"/>
      <c r="F54" s="61">
        <f t="shared" si="0"/>
        <v>-6.02</v>
      </c>
      <c r="G54" s="13">
        <v>54</v>
      </c>
    </row>
    <row r="55" spans="1:7" x14ac:dyDescent="0.2">
      <c r="A55" s="54">
        <v>45559</v>
      </c>
      <c r="B55" s="52" t="s">
        <v>12</v>
      </c>
      <c r="C55" s="53">
        <v>49707</v>
      </c>
      <c r="D55" s="61">
        <v>0.86</v>
      </c>
      <c r="E55" s="62"/>
      <c r="F55" s="61">
        <f t="shared" si="0"/>
        <v>-0.86</v>
      </c>
      <c r="G55" s="13">
        <v>55</v>
      </c>
    </row>
    <row r="56" spans="1:7" x14ac:dyDescent="0.2">
      <c r="A56" s="54">
        <v>45560</v>
      </c>
      <c r="B56" s="52" t="s">
        <v>11</v>
      </c>
      <c r="C56" s="53">
        <v>49716</v>
      </c>
      <c r="D56" s="61">
        <v>20000000</v>
      </c>
      <c r="E56" s="62"/>
      <c r="F56" s="61">
        <f t="shared" si="0"/>
        <v>-20000000</v>
      </c>
      <c r="G56" s="13">
        <v>56</v>
      </c>
    </row>
    <row r="57" spans="1:7" x14ac:dyDescent="0.2">
      <c r="A57" s="54">
        <v>45560</v>
      </c>
      <c r="B57" s="52" t="s">
        <v>11</v>
      </c>
      <c r="C57" s="53">
        <v>49717</v>
      </c>
      <c r="D57" s="61">
        <v>20000000</v>
      </c>
      <c r="E57" s="62"/>
      <c r="F57" s="61">
        <f t="shared" si="0"/>
        <v>-20000000</v>
      </c>
      <c r="G57" s="13">
        <v>57</v>
      </c>
    </row>
    <row r="58" spans="1:7" x14ac:dyDescent="0.2">
      <c r="A58" s="54">
        <v>45560</v>
      </c>
      <c r="B58" s="52" t="s">
        <v>11</v>
      </c>
      <c r="C58" s="53">
        <v>49718</v>
      </c>
      <c r="D58" s="61">
        <v>20000000</v>
      </c>
      <c r="E58" s="62"/>
      <c r="F58" s="61">
        <f t="shared" si="0"/>
        <v>-20000000</v>
      </c>
      <c r="G58" s="13">
        <v>58</v>
      </c>
    </row>
    <row r="59" spans="1:7" x14ac:dyDescent="0.2">
      <c r="A59" s="54">
        <v>45561</v>
      </c>
      <c r="B59" s="52" t="s">
        <v>9</v>
      </c>
      <c r="C59" s="53">
        <v>49719</v>
      </c>
      <c r="D59" s="61">
        <v>956</v>
      </c>
      <c r="E59" s="62"/>
      <c r="F59" s="61">
        <f t="shared" si="0"/>
        <v>-956</v>
      </c>
      <c r="G59" s="13">
        <v>59</v>
      </c>
    </row>
    <row r="60" spans="1:7" x14ac:dyDescent="0.2">
      <c r="A60" s="54">
        <v>45561</v>
      </c>
      <c r="B60" s="52" t="s">
        <v>9</v>
      </c>
      <c r="C60" s="53">
        <v>49720</v>
      </c>
      <c r="D60" s="61">
        <v>956</v>
      </c>
      <c r="E60" s="62"/>
      <c r="F60" s="61">
        <f t="shared" si="0"/>
        <v>-956</v>
      </c>
      <c r="G60" s="13">
        <v>60</v>
      </c>
    </row>
    <row r="61" spans="1:7" x14ac:dyDescent="0.2">
      <c r="A61" s="54">
        <v>45561</v>
      </c>
      <c r="B61" s="52" t="s">
        <v>9</v>
      </c>
      <c r="C61" s="53">
        <v>49721</v>
      </c>
      <c r="D61" s="61">
        <v>956</v>
      </c>
      <c r="E61" s="62"/>
      <c r="F61" s="61">
        <f t="shared" si="0"/>
        <v>-956</v>
      </c>
      <c r="G61" s="13">
        <v>61</v>
      </c>
    </row>
    <row r="62" spans="1:7" x14ac:dyDescent="0.2">
      <c r="A62" s="54">
        <v>45561</v>
      </c>
      <c r="B62" s="52" t="s">
        <v>15</v>
      </c>
      <c r="C62" s="53">
        <v>49722</v>
      </c>
      <c r="D62" s="61">
        <v>602.28</v>
      </c>
      <c r="E62" s="62"/>
      <c r="F62" s="61">
        <f t="shared" si="0"/>
        <v>-602.28</v>
      </c>
      <c r="G62" s="13">
        <v>62</v>
      </c>
    </row>
    <row r="63" spans="1:7" x14ac:dyDescent="0.2">
      <c r="A63" s="54">
        <v>45561</v>
      </c>
      <c r="B63" s="52" t="s">
        <v>18</v>
      </c>
      <c r="C63" s="53">
        <v>49722</v>
      </c>
      <c r="D63" s="61">
        <v>86.04</v>
      </c>
      <c r="E63" s="62"/>
      <c r="F63" s="61">
        <f t="shared" si="0"/>
        <v>-86.04</v>
      </c>
      <c r="G63" s="13">
        <v>63</v>
      </c>
    </row>
    <row r="64" spans="1:7" x14ac:dyDescent="0.2">
      <c r="A64" s="54">
        <v>45561</v>
      </c>
      <c r="B64" s="52" t="s">
        <v>12</v>
      </c>
      <c r="C64" s="53">
        <v>49719</v>
      </c>
      <c r="D64" s="61">
        <v>5.74</v>
      </c>
      <c r="E64" s="62"/>
      <c r="F64" s="61">
        <f t="shared" si="0"/>
        <v>-5.74</v>
      </c>
      <c r="G64" s="13">
        <v>64</v>
      </c>
    </row>
    <row r="65" spans="1:7" x14ac:dyDescent="0.2">
      <c r="A65" s="54">
        <v>45561</v>
      </c>
      <c r="B65" s="52" t="s">
        <v>12</v>
      </c>
      <c r="C65" s="53">
        <v>49720</v>
      </c>
      <c r="D65" s="61">
        <v>5.74</v>
      </c>
      <c r="E65" s="62"/>
      <c r="F65" s="61">
        <f t="shared" si="0"/>
        <v>-5.74</v>
      </c>
      <c r="G65" s="13">
        <v>65</v>
      </c>
    </row>
    <row r="66" spans="1:7" x14ac:dyDescent="0.2">
      <c r="A66" s="54">
        <v>45561</v>
      </c>
      <c r="B66" s="52" t="s">
        <v>12</v>
      </c>
      <c r="C66" s="53">
        <v>49721</v>
      </c>
      <c r="D66" s="61">
        <v>5.74</v>
      </c>
      <c r="E66" s="62"/>
      <c r="F66" s="61">
        <f t="shared" si="0"/>
        <v>-5.74</v>
      </c>
      <c r="G66" s="13">
        <v>66</v>
      </c>
    </row>
    <row r="67" spans="1:7" x14ac:dyDescent="0.2">
      <c r="A67" s="54">
        <v>45561</v>
      </c>
      <c r="B67" s="52" t="s">
        <v>12</v>
      </c>
      <c r="C67" s="53">
        <v>49722</v>
      </c>
      <c r="D67" s="61">
        <v>3.61</v>
      </c>
      <c r="E67" s="62"/>
      <c r="F67" s="61">
        <f t="shared" ref="F67:F130" si="1">+E67-D67</f>
        <v>-3.61</v>
      </c>
      <c r="G67" s="13">
        <v>67</v>
      </c>
    </row>
    <row r="68" spans="1:7" x14ac:dyDescent="0.2">
      <c r="A68" s="54">
        <v>45561</v>
      </c>
      <c r="B68" s="52" t="s">
        <v>12</v>
      </c>
      <c r="C68" s="53">
        <v>49722</v>
      </c>
      <c r="D68" s="61">
        <v>0.52</v>
      </c>
      <c r="E68" s="62"/>
      <c r="F68" s="61">
        <f t="shared" si="1"/>
        <v>-0.52</v>
      </c>
      <c r="G68" s="13">
        <v>68</v>
      </c>
    </row>
    <row r="69" spans="1:7" x14ac:dyDescent="0.2">
      <c r="A69" s="54">
        <v>45562</v>
      </c>
      <c r="B69" s="52" t="s">
        <v>10</v>
      </c>
      <c r="C69" s="53">
        <v>49729</v>
      </c>
      <c r="D69" s="61">
        <v>2000000</v>
      </c>
      <c r="E69" s="62"/>
      <c r="F69" s="61">
        <f t="shared" si="1"/>
        <v>-2000000</v>
      </c>
      <c r="G69" s="13">
        <v>69</v>
      </c>
    </row>
    <row r="70" spans="1:7" x14ac:dyDescent="0.2">
      <c r="A70" s="54">
        <v>45562</v>
      </c>
      <c r="B70" s="52" t="s">
        <v>11</v>
      </c>
      <c r="C70" s="53">
        <v>49730</v>
      </c>
      <c r="D70" s="61">
        <v>20000000</v>
      </c>
      <c r="E70" s="62"/>
      <c r="F70" s="61">
        <f t="shared" si="1"/>
        <v>-20000000</v>
      </c>
      <c r="G70" s="13">
        <v>70</v>
      </c>
    </row>
    <row r="71" spans="1:7" x14ac:dyDescent="0.2">
      <c r="A71" s="54">
        <v>45562</v>
      </c>
      <c r="B71" s="52" t="s">
        <v>11</v>
      </c>
      <c r="C71" s="53">
        <v>49731</v>
      </c>
      <c r="D71" s="61">
        <v>20000000</v>
      </c>
      <c r="E71" s="62"/>
      <c r="F71" s="61">
        <f t="shared" si="1"/>
        <v>-20000000</v>
      </c>
      <c r="G71" s="13">
        <v>71</v>
      </c>
    </row>
    <row r="72" spans="1:7" x14ac:dyDescent="0.2">
      <c r="A72" s="54">
        <v>45562</v>
      </c>
      <c r="B72" s="52" t="s">
        <v>8</v>
      </c>
      <c r="C72" s="53">
        <v>49732</v>
      </c>
      <c r="D72" s="61">
        <v>23400</v>
      </c>
      <c r="E72" s="62"/>
      <c r="F72" s="61">
        <f t="shared" si="1"/>
        <v>-23400</v>
      </c>
      <c r="G72" s="13">
        <v>72</v>
      </c>
    </row>
    <row r="73" spans="1:7" x14ac:dyDescent="0.2">
      <c r="A73" s="54">
        <v>45562</v>
      </c>
      <c r="B73" s="52" t="s">
        <v>15</v>
      </c>
      <c r="C73" s="53">
        <v>49733</v>
      </c>
      <c r="D73" s="61">
        <v>4914</v>
      </c>
      <c r="E73" s="62"/>
      <c r="F73" s="61">
        <f t="shared" si="1"/>
        <v>-4914</v>
      </c>
      <c r="G73" s="13">
        <v>73</v>
      </c>
    </row>
    <row r="74" spans="1:7" x14ac:dyDescent="0.2">
      <c r="A74" s="54">
        <v>45562</v>
      </c>
      <c r="B74" s="52" t="s">
        <v>18</v>
      </c>
      <c r="C74" s="53">
        <v>49733</v>
      </c>
      <c r="D74" s="61">
        <v>702</v>
      </c>
      <c r="E74" s="62"/>
      <c r="F74" s="61">
        <f t="shared" si="1"/>
        <v>-702</v>
      </c>
      <c r="G74" s="13">
        <v>74</v>
      </c>
    </row>
    <row r="75" spans="1:7" x14ac:dyDescent="0.2">
      <c r="A75" s="54">
        <v>45562</v>
      </c>
      <c r="B75" s="52" t="s">
        <v>12</v>
      </c>
      <c r="C75" s="53">
        <v>49729</v>
      </c>
      <c r="D75" s="61">
        <v>12000</v>
      </c>
      <c r="E75" s="62"/>
      <c r="F75" s="61">
        <f t="shared" si="1"/>
        <v>-12000</v>
      </c>
      <c r="G75" s="13">
        <v>75</v>
      </c>
    </row>
    <row r="76" spans="1:7" x14ac:dyDescent="0.2">
      <c r="A76" s="54">
        <v>45562</v>
      </c>
      <c r="B76" s="52" t="s">
        <v>12</v>
      </c>
      <c r="C76" s="53">
        <v>49732</v>
      </c>
      <c r="D76" s="61">
        <v>140.4</v>
      </c>
      <c r="E76" s="62"/>
      <c r="F76" s="61">
        <f t="shared" si="1"/>
        <v>-140.4</v>
      </c>
      <c r="G76" s="13">
        <v>76</v>
      </c>
    </row>
    <row r="77" spans="1:7" x14ac:dyDescent="0.2">
      <c r="A77" s="54">
        <v>45562</v>
      </c>
      <c r="B77" s="52" t="s">
        <v>13</v>
      </c>
      <c r="C77" s="53">
        <v>49732</v>
      </c>
      <c r="D77" s="61">
        <v>351</v>
      </c>
      <c r="E77" s="62"/>
      <c r="F77" s="61">
        <f t="shared" si="1"/>
        <v>-351</v>
      </c>
      <c r="G77" s="13">
        <v>77</v>
      </c>
    </row>
    <row r="78" spans="1:7" x14ac:dyDescent="0.2">
      <c r="A78" s="54">
        <v>45562</v>
      </c>
      <c r="B78" s="52" t="s">
        <v>12</v>
      </c>
      <c r="C78" s="53">
        <v>49733</v>
      </c>
      <c r="D78" s="61">
        <v>29.48</v>
      </c>
      <c r="E78" s="62"/>
      <c r="F78" s="61">
        <f t="shared" si="1"/>
        <v>-29.48</v>
      </c>
      <c r="G78" s="13">
        <v>78</v>
      </c>
    </row>
    <row r="79" spans="1:7" x14ac:dyDescent="0.2">
      <c r="A79" s="54">
        <v>45562</v>
      </c>
      <c r="B79" s="52" t="s">
        <v>12</v>
      </c>
      <c r="C79" s="53">
        <v>49733</v>
      </c>
      <c r="D79" s="61">
        <v>4.21</v>
      </c>
      <c r="E79" s="62"/>
      <c r="F79" s="61">
        <f t="shared" si="1"/>
        <v>-4.21</v>
      </c>
      <c r="G79" s="13">
        <v>79</v>
      </c>
    </row>
    <row r="80" spans="1:7" x14ac:dyDescent="0.2">
      <c r="A80" s="54">
        <v>45562</v>
      </c>
      <c r="B80" s="52" t="s">
        <v>12</v>
      </c>
      <c r="C80" s="53">
        <v>49732</v>
      </c>
      <c r="D80" s="61">
        <v>2.11</v>
      </c>
      <c r="E80" s="62"/>
      <c r="F80" s="61">
        <f t="shared" si="1"/>
        <v>-2.11</v>
      </c>
      <c r="G80" s="13">
        <v>80</v>
      </c>
    </row>
    <row r="81" spans="1:7" x14ac:dyDescent="0.2">
      <c r="A81" s="54">
        <v>45565</v>
      </c>
      <c r="B81" s="52" t="s">
        <v>9</v>
      </c>
      <c r="C81" s="53">
        <v>49741</v>
      </c>
      <c r="D81" s="61">
        <v>956</v>
      </c>
      <c r="E81" s="62"/>
      <c r="F81" s="61">
        <f t="shared" si="1"/>
        <v>-956</v>
      </c>
      <c r="G81" s="13">
        <v>81</v>
      </c>
    </row>
    <row r="82" spans="1:7" x14ac:dyDescent="0.2">
      <c r="A82" s="54">
        <v>45565</v>
      </c>
      <c r="B82" s="52" t="s">
        <v>9</v>
      </c>
      <c r="C82" s="53">
        <v>49742</v>
      </c>
      <c r="D82" s="61">
        <v>956</v>
      </c>
      <c r="E82" s="62"/>
      <c r="F82" s="61">
        <f t="shared" si="1"/>
        <v>-956</v>
      </c>
      <c r="G82" s="13">
        <v>82</v>
      </c>
    </row>
    <row r="83" spans="1:7" x14ac:dyDescent="0.2">
      <c r="A83" s="54">
        <v>45565</v>
      </c>
      <c r="B83" s="52" t="s">
        <v>9</v>
      </c>
      <c r="C83" s="53">
        <v>49743</v>
      </c>
      <c r="D83" s="61">
        <v>956</v>
      </c>
      <c r="E83" s="62"/>
      <c r="F83" s="61">
        <f t="shared" si="1"/>
        <v>-956</v>
      </c>
      <c r="G83" s="13">
        <v>83</v>
      </c>
    </row>
    <row r="84" spans="1:7" x14ac:dyDescent="0.2">
      <c r="A84" s="54">
        <v>45565</v>
      </c>
      <c r="B84" s="52" t="s">
        <v>15</v>
      </c>
      <c r="C84" s="53">
        <v>49744</v>
      </c>
      <c r="D84" s="61">
        <v>602.28</v>
      </c>
      <c r="E84" s="62"/>
      <c r="F84" s="61">
        <f t="shared" si="1"/>
        <v>-602.28</v>
      </c>
      <c r="G84" s="13">
        <v>84</v>
      </c>
    </row>
    <row r="85" spans="1:7" x14ac:dyDescent="0.2">
      <c r="A85" s="54">
        <v>45565</v>
      </c>
      <c r="B85" s="52" t="s">
        <v>18</v>
      </c>
      <c r="C85" s="53">
        <v>49744</v>
      </c>
      <c r="D85" s="61">
        <v>86.04</v>
      </c>
      <c r="E85" s="62"/>
      <c r="F85" s="61">
        <f t="shared" si="1"/>
        <v>-86.04</v>
      </c>
      <c r="G85" s="13">
        <v>85</v>
      </c>
    </row>
    <row r="86" spans="1:7" x14ac:dyDescent="0.2">
      <c r="A86" s="54">
        <v>45565</v>
      </c>
      <c r="B86" s="52" t="s">
        <v>12</v>
      </c>
      <c r="C86" s="53">
        <v>49741</v>
      </c>
      <c r="D86" s="61">
        <v>5.74</v>
      </c>
      <c r="E86" s="62"/>
      <c r="F86" s="61">
        <f t="shared" si="1"/>
        <v>-5.74</v>
      </c>
      <c r="G86" s="13">
        <v>86</v>
      </c>
    </row>
    <row r="87" spans="1:7" x14ac:dyDescent="0.2">
      <c r="A87" s="54">
        <v>45565</v>
      </c>
      <c r="B87" s="52" t="s">
        <v>12</v>
      </c>
      <c r="C87" s="53">
        <v>49742</v>
      </c>
      <c r="D87" s="61">
        <v>5.74</v>
      </c>
      <c r="E87" s="62"/>
      <c r="F87" s="61">
        <f t="shared" si="1"/>
        <v>-5.74</v>
      </c>
      <c r="G87" s="13">
        <v>87</v>
      </c>
    </row>
    <row r="88" spans="1:7" x14ac:dyDescent="0.2">
      <c r="A88" s="54">
        <v>45565</v>
      </c>
      <c r="B88" s="52" t="s">
        <v>12</v>
      </c>
      <c r="C88" s="53">
        <v>49743</v>
      </c>
      <c r="D88" s="61">
        <v>5.74</v>
      </c>
      <c r="E88" s="62"/>
      <c r="F88" s="61">
        <f t="shared" si="1"/>
        <v>-5.74</v>
      </c>
      <c r="G88" s="13">
        <v>88</v>
      </c>
    </row>
    <row r="89" spans="1:7" x14ac:dyDescent="0.2">
      <c r="A89" s="54">
        <v>45565</v>
      </c>
      <c r="B89" s="52" t="s">
        <v>12</v>
      </c>
      <c r="C89" s="53">
        <v>49744</v>
      </c>
      <c r="D89" s="61">
        <v>3.61</v>
      </c>
      <c r="E89" s="62"/>
      <c r="F89" s="61">
        <f t="shared" si="1"/>
        <v>-3.61</v>
      </c>
      <c r="G89" s="13">
        <v>89</v>
      </c>
    </row>
    <row r="90" spans="1:7" x14ac:dyDescent="0.2">
      <c r="A90" s="54">
        <v>45565</v>
      </c>
      <c r="B90" s="52" t="s">
        <v>12</v>
      </c>
      <c r="C90" s="53">
        <v>49744</v>
      </c>
      <c r="D90" s="61">
        <v>0.52</v>
      </c>
      <c r="E90" s="62"/>
      <c r="F90" s="61">
        <f t="shared" si="1"/>
        <v>-0.52</v>
      </c>
      <c r="G90" s="13">
        <v>90</v>
      </c>
    </row>
    <row r="91" spans="1:7" x14ac:dyDescent="0.2">
      <c r="A91" s="51">
        <v>45567</v>
      </c>
      <c r="B91" s="52" t="s">
        <v>11</v>
      </c>
      <c r="C91" s="53">
        <v>49754</v>
      </c>
      <c r="D91" s="61">
        <v>20000000</v>
      </c>
      <c r="E91" s="62"/>
      <c r="F91" s="61">
        <f t="shared" si="1"/>
        <v>-20000000</v>
      </c>
      <c r="G91" s="13">
        <v>2</v>
      </c>
    </row>
    <row r="92" spans="1:7" x14ac:dyDescent="0.2">
      <c r="A92" s="51">
        <v>45567</v>
      </c>
      <c r="B92" s="52" t="s">
        <v>11</v>
      </c>
      <c r="C92" s="53">
        <v>49755</v>
      </c>
      <c r="D92" s="61">
        <v>20000000</v>
      </c>
      <c r="E92" s="62"/>
      <c r="F92" s="61">
        <f t="shared" si="1"/>
        <v>-20000000</v>
      </c>
      <c r="G92" s="13">
        <v>3</v>
      </c>
    </row>
    <row r="93" spans="1:7" x14ac:dyDescent="0.2">
      <c r="A93" s="51">
        <v>45567</v>
      </c>
      <c r="B93" s="52" t="s">
        <v>11</v>
      </c>
      <c r="C93" s="53">
        <v>49758</v>
      </c>
      <c r="D93" s="61">
        <v>20000000</v>
      </c>
      <c r="E93" s="62"/>
      <c r="F93" s="61">
        <f t="shared" si="1"/>
        <v>-20000000</v>
      </c>
      <c r="G93" s="13">
        <v>4</v>
      </c>
    </row>
    <row r="94" spans="1:7" x14ac:dyDescent="0.2">
      <c r="A94" s="51">
        <v>45567</v>
      </c>
      <c r="B94" s="52" t="s">
        <v>11</v>
      </c>
      <c r="C94" s="53">
        <v>49761</v>
      </c>
      <c r="D94" s="61">
        <v>10000000</v>
      </c>
      <c r="E94" s="62"/>
      <c r="F94" s="61">
        <f t="shared" si="1"/>
        <v>-10000000</v>
      </c>
      <c r="G94" s="13">
        <v>5</v>
      </c>
    </row>
    <row r="95" spans="1:7" x14ac:dyDescent="0.2">
      <c r="A95" s="51">
        <v>45568</v>
      </c>
      <c r="B95" s="52" t="s">
        <v>9</v>
      </c>
      <c r="C95" s="53">
        <v>49763</v>
      </c>
      <c r="D95" s="61">
        <v>956</v>
      </c>
      <c r="E95" s="62"/>
      <c r="F95" s="61">
        <f t="shared" si="1"/>
        <v>-956</v>
      </c>
      <c r="G95" s="13">
        <v>6</v>
      </c>
    </row>
    <row r="96" spans="1:7" x14ac:dyDescent="0.2">
      <c r="A96" s="51">
        <v>45568</v>
      </c>
      <c r="B96" s="52" t="s">
        <v>9</v>
      </c>
      <c r="C96" s="53">
        <v>49764</v>
      </c>
      <c r="D96" s="61">
        <v>956</v>
      </c>
      <c r="E96" s="62"/>
      <c r="F96" s="61">
        <f t="shared" si="1"/>
        <v>-956</v>
      </c>
      <c r="G96" s="13">
        <v>7</v>
      </c>
    </row>
    <row r="97" spans="1:7" x14ac:dyDescent="0.2">
      <c r="A97" s="51">
        <v>45568</v>
      </c>
      <c r="B97" s="52" t="s">
        <v>9</v>
      </c>
      <c r="C97" s="53">
        <v>49765</v>
      </c>
      <c r="D97" s="61">
        <v>956</v>
      </c>
      <c r="E97" s="62"/>
      <c r="F97" s="61">
        <f t="shared" si="1"/>
        <v>-956</v>
      </c>
      <c r="G97" s="13">
        <v>8</v>
      </c>
    </row>
    <row r="98" spans="1:7" x14ac:dyDescent="0.2">
      <c r="A98" s="51">
        <v>45568</v>
      </c>
      <c r="B98" s="52" t="s">
        <v>9</v>
      </c>
      <c r="C98" s="53">
        <v>49766</v>
      </c>
      <c r="D98" s="61">
        <v>956</v>
      </c>
      <c r="E98" s="62"/>
      <c r="F98" s="61">
        <f t="shared" si="1"/>
        <v>-956</v>
      </c>
      <c r="G98" s="13">
        <v>9</v>
      </c>
    </row>
    <row r="99" spans="1:7" x14ac:dyDescent="0.2">
      <c r="A99" s="51">
        <v>45568</v>
      </c>
      <c r="B99" s="52" t="s">
        <v>15</v>
      </c>
      <c r="C99" s="53">
        <v>49767</v>
      </c>
      <c r="D99" s="61">
        <v>803.04</v>
      </c>
      <c r="E99" s="62"/>
      <c r="F99" s="61">
        <f t="shared" si="1"/>
        <v>-803.04</v>
      </c>
      <c r="G99" s="13">
        <v>10</v>
      </c>
    </row>
    <row r="100" spans="1:7" x14ac:dyDescent="0.2">
      <c r="A100" s="51">
        <v>45568</v>
      </c>
      <c r="B100" s="52" t="s">
        <v>18</v>
      </c>
      <c r="C100" s="53">
        <v>49767</v>
      </c>
      <c r="D100" s="61">
        <v>114.72</v>
      </c>
      <c r="E100" s="62"/>
      <c r="F100" s="61">
        <f t="shared" si="1"/>
        <v>-114.72</v>
      </c>
      <c r="G100" s="13">
        <v>11</v>
      </c>
    </row>
    <row r="101" spans="1:7" x14ac:dyDescent="0.2">
      <c r="A101" s="51">
        <v>45568</v>
      </c>
      <c r="B101" s="52" t="s">
        <v>12</v>
      </c>
      <c r="C101" s="53">
        <v>49763</v>
      </c>
      <c r="D101" s="61">
        <v>5.74</v>
      </c>
      <c r="E101" s="62"/>
      <c r="F101" s="61">
        <f t="shared" si="1"/>
        <v>-5.74</v>
      </c>
      <c r="G101" s="13">
        <v>12</v>
      </c>
    </row>
    <row r="102" spans="1:7" x14ac:dyDescent="0.2">
      <c r="A102" s="51">
        <v>45568</v>
      </c>
      <c r="B102" s="52" t="s">
        <v>12</v>
      </c>
      <c r="C102" s="53">
        <v>49764</v>
      </c>
      <c r="D102" s="61">
        <v>5.74</v>
      </c>
      <c r="E102" s="62"/>
      <c r="F102" s="61">
        <f t="shared" si="1"/>
        <v>-5.74</v>
      </c>
      <c r="G102" s="13">
        <v>13</v>
      </c>
    </row>
    <row r="103" spans="1:7" x14ac:dyDescent="0.2">
      <c r="A103" s="51">
        <v>45568</v>
      </c>
      <c r="B103" s="52" t="s">
        <v>12</v>
      </c>
      <c r="C103" s="53">
        <v>49765</v>
      </c>
      <c r="D103" s="61">
        <v>5.74</v>
      </c>
      <c r="E103" s="62"/>
      <c r="F103" s="61">
        <f t="shared" si="1"/>
        <v>-5.74</v>
      </c>
      <c r="G103" s="13">
        <v>14</v>
      </c>
    </row>
    <row r="104" spans="1:7" x14ac:dyDescent="0.2">
      <c r="A104" s="51">
        <v>45568</v>
      </c>
      <c r="B104" s="52" t="s">
        <v>12</v>
      </c>
      <c r="C104" s="53">
        <v>49766</v>
      </c>
      <c r="D104" s="61">
        <v>5.74</v>
      </c>
      <c r="E104" s="62"/>
      <c r="F104" s="61">
        <f t="shared" si="1"/>
        <v>-5.74</v>
      </c>
      <c r="G104" s="13">
        <v>15</v>
      </c>
    </row>
    <row r="105" spans="1:7" x14ac:dyDescent="0.2">
      <c r="A105" s="51">
        <v>45568</v>
      </c>
      <c r="B105" s="52" t="s">
        <v>12</v>
      </c>
      <c r="C105" s="53">
        <v>49767</v>
      </c>
      <c r="D105" s="61">
        <v>4.82</v>
      </c>
      <c r="E105" s="62"/>
      <c r="F105" s="61">
        <f t="shared" si="1"/>
        <v>-4.82</v>
      </c>
      <c r="G105" s="13">
        <v>16</v>
      </c>
    </row>
    <row r="106" spans="1:7" x14ac:dyDescent="0.2">
      <c r="A106" s="51">
        <v>45568</v>
      </c>
      <c r="B106" s="52" t="s">
        <v>12</v>
      </c>
      <c r="C106" s="53">
        <v>49767</v>
      </c>
      <c r="D106" s="61">
        <v>0.69</v>
      </c>
      <c r="E106" s="62"/>
      <c r="F106" s="61">
        <f t="shared" si="1"/>
        <v>-0.69</v>
      </c>
      <c r="G106" s="13">
        <v>17</v>
      </c>
    </row>
    <row r="107" spans="1:7" x14ac:dyDescent="0.2">
      <c r="A107" s="51">
        <v>45580</v>
      </c>
      <c r="B107" s="52" t="s">
        <v>7</v>
      </c>
      <c r="C107" s="53">
        <v>8783588</v>
      </c>
      <c r="D107" s="62"/>
      <c r="E107" s="61">
        <v>380732049.62</v>
      </c>
      <c r="F107" s="61">
        <f t="shared" si="1"/>
        <v>380732049.62</v>
      </c>
      <c r="G107" s="13">
        <v>18</v>
      </c>
    </row>
    <row r="108" spans="1:7" x14ac:dyDescent="0.2">
      <c r="A108" s="51">
        <v>45580</v>
      </c>
      <c r="B108" s="52" t="s">
        <v>14</v>
      </c>
      <c r="C108" s="53">
        <v>8783588</v>
      </c>
      <c r="D108" s="61">
        <v>2284392.2999999998</v>
      </c>
      <c r="E108" s="62"/>
      <c r="F108" s="61">
        <f t="shared" si="1"/>
        <v>-2284392.2999999998</v>
      </c>
      <c r="G108" s="13">
        <v>19</v>
      </c>
    </row>
    <row r="109" spans="1:7" x14ac:dyDescent="0.2">
      <c r="A109" s="51">
        <v>45580</v>
      </c>
      <c r="B109" s="52" t="s">
        <v>17</v>
      </c>
      <c r="C109" s="53">
        <v>8783588</v>
      </c>
      <c r="D109" s="61">
        <v>761464.1</v>
      </c>
      <c r="E109" s="62"/>
      <c r="F109" s="61">
        <f t="shared" si="1"/>
        <v>-761464.1</v>
      </c>
      <c r="G109" s="13">
        <v>20</v>
      </c>
    </row>
    <row r="110" spans="1:7" x14ac:dyDescent="0.2">
      <c r="A110" s="51">
        <v>45580</v>
      </c>
      <c r="B110" s="52" t="s">
        <v>12</v>
      </c>
      <c r="C110" s="53">
        <v>8783588</v>
      </c>
      <c r="D110" s="61">
        <v>4568.78</v>
      </c>
      <c r="E110" s="62"/>
      <c r="F110" s="61">
        <f t="shared" si="1"/>
        <v>-4568.78</v>
      </c>
      <c r="G110" s="13">
        <v>21</v>
      </c>
    </row>
    <row r="111" spans="1:7" x14ac:dyDescent="0.2">
      <c r="A111" s="51">
        <v>45581</v>
      </c>
      <c r="B111" s="52" t="s">
        <v>11</v>
      </c>
      <c r="C111" s="53">
        <v>49779</v>
      </c>
      <c r="D111" s="61">
        <v>20000000</v>
      </c>
      <c r="E111" s="62"/>
      <c r="F111" s="61">
        <f t="shared" si="1"/>
        <v>-20000000</v>
      </c>
      <c r="G111" s="13">
        <v>22</v>
      </c>
    </row>
    <row r="112" spans="1:7" x14ac:dyDescent="0.2">
      <c r="A112" s="51">
        <v>45581</v>
      </c>
      <c r="B112" s="52" t="s">
        <v>11</v>
      </c>
      <c r="C112" s="53">
        <v>49780</v>
      </c>
      <c r="D112" s="61">
        <v>20000000</v>
      </c>
      <c r="E112" s="62"/>
      <c r="F112" s="61">
        <f t="shared" si="1"/>
        <v>-20000000</v>
      </c>
      <c r="G112" s="13">
        <v>23</v>
      </c>
    </row>
    <row r="113" spans="1:7" x14ac:dyDescent="0.2">
      <c r="A113" s="51">
        <v>45581</v>
      </c>
      <c r="B113" s="52" t="s">
        <v>11</v>
      </c>
      <c r="C113" s="53">
        <v>49781</v>
      </c>
      <c r="D113" s="61">
        <v>20000000</v>
      </c>
      <c r="E113" s="62"/>
      <c r="F113" s="61">
        <f t="shared" si="1"/>
        <v>-20000000</v>
      </c>
      <c r="G113" s="13">
        <v>24</v>
      </c>
    </row>
    <row r="114" spans="1:7" x14ac:dyDescent="0.2">
      <c r="A114" s="51">
        <v>45581</v>
      </c>
      <c r="B114" s="52" t="s">
        <v>11</v>
      </c>
      <c r="C114" s="53">
        <v>49782</v>
      </c>
      <c r="D114" s="61">
        <v>20000000</v>
      </c>
      <c r="E114" s="62"/>
      <c r="F114" s="61">
        <f t="shared" si="1"/>
        <v>-20000000</v>
      </c>
      <c r="G114" s="13">
        <v>25</v>
      </c>
    </row>
    <row r="115" spans="1:7" x14ac:dyDescent="0.2">
      <c r="A115" s="51">
        <v>45581</v>
      </c>
      <c r="B115" s="52" t="s">
        <v>16</v>
      </c>
      <c r="C115" s="53">
        <v>465676</v>
      </c>
      <c r="D115" s="61">
        <v>2863544.13</v>
      </c>
      <c r="E115" s="62"/>
      <c r="F115" s="61">
        <f t="shared" si="1"/>
        <v>-2863544.13</v>
      </c>
      <c r="G115" s="13">
        <v>26</v>
      </c>
    </row>
    <row r="116" spans="1:7" x14ac:dyDescent="0.2">
      <c r="A116" s="51">
        <v>45581</v>
      </c>
      <c r="B116" s="52" t="s">
        <v>16</v>
      </c>
      <c r="C116" s="53">
        <v>465677</v>
      </c>
      <c r="D116" s="61">
        <v>5954192.2599999998</v>
      </c>
      <c r="E116" s="62"/>
      <c r="F116" s="61">
        <f t="shared" si="1"/>
        <v>-5954192.2599999998</v>
      </c>
      <c r="G116" s="13">
        <v>27</v>
      </c>
    </row>
    <row r="117" spans="1:7" x14ac:dyDescent="0.2">
      <c r="A117" s="51">
        <v>45581</v>
      </c>
      <c r="B117" s="52" t="s">
        <v>16</v>
      </c>
      <c r="C117" s="53">
        <v>220549</v>
      </c>
      <c r="D117" s="61">
        <v>17413.11</v>
      </c>
      <c r="E117" s="62"/>
      <c r="F117" s="61">
        <f t="shared" si="1"/>
        <v>-17413.11</v>
      </c>
      <c r="G117" s="13">
        <v>28</v>
      </c>
    </row>
    <row r="118" spans="1:7" x14ac:dyDescent="0.2">
      <c r="A118" s="51">
        <v>45581</v>
      </c>
      <c r="B118" s="52" t="s">
        <v>16</v>
      </c>
      <c r="C118" s="53">
        <v>220550</v>
      </c>
      <c r="D118" s="61">
        <v>3176236.24</v>
      </c>
      <c r="E118" s="62"/>
      <c r="F118" s="61">
        <f t="shared" si="1"/>
        <v>-3176236.24</v>
      </c>
      <c r="G118" s="13">
        <v>29</v>
      </c>
    </row>
    <row r="119" spans="1:7" x14ac:dyDescent="0.2">
      <c r="A119" s="51">
        <v>45581</v>
      </c>
      <c r="B119" s="52" t="s">
        <v>16</v>
      </c>
      <c r="C119" s="53">
        <v>33143</v>
      </c>
      <c r="D119" s="61">
        <v>1622674.99</v>
      </c>
      <c r="E119" s="62"/>
      <c r="F119" s="61">
        <f t="shared" si="1"/>
        <v>-1622674.99</v>
      </c>
      <c r="G119" s="13">
        <v>30</v>
      </c>
    </row>
    <row r="120" spans="1:7" x14ac:dyDescent="0.2">
      <c r="A120" s="51">
        <v>45581</v>
      </c>
      <c r="B120" s="52" t="s">
        <v>12</v>
      </c>
      <c r="C120" s="53">
        <v>465676</v>
      </c>
      <c r="D120" s="61">
        <v>17181.259999999998</v>
      </c>
      <c r="E120" s="62"/>
      <c r="F120" s="61">
        <f t="shared" si="1"/>
        <v>-17181.259999999998</v>
      </c>
      <c r="G120" s="13">
        <v>31</v>
      </c>
    </row>
    <row r="121" spans="1:7" x14ac:dyDescent="0.2">
      <c r="A121" s="51">
        <v>45581</v>
      </c>
      <c r="B121" s="52" t="s">
        <v>12</v>
      </c>
      <c r="C121" s="53">
        <v>465677</v>
      </c>
      <c r="D121" s="61">
        <v>35725.15</v>
      </c>
      <c r="E121" s="62"/>
      <c r="F121" s="61">
        <f t="shared" si="1"/>
        <v>-35725.15</v>
      </c>
      <c r="G121" s="13">
        <v>32</v>
      </c>
    </row>
    <row r="122" spans="1:7" x14ac:dyDescent="0.2">
      <c r="A122" s="51">
        <v>45581</v>
      </c>
      <c r="B122" s="52" t="s">
        <v>12</v>
      </c>
      <c r="C122" s="53">
        <v>220549</v>
      </c>
      <c r="D122" s="61">
        <v>104.48</v>
      </c>
      <c r="E122" s="62"/>
      <c r="F122" s="61">
        <f t="shared" si="1"/>
        <v>-104.48</v>
      </c>
      <c r="G122" s="13">
        <v>33</v>
      </c>
    </row>
    <row r="123" spans="1:7" x14ac:dyDescent="0.2">
      <c r="A123" s="51">
        <v>45581</v>
      </c>
      <c r="B123" s="52" t="s">
        <v>12</v>
      </c>
      <c r="C123" s="53">
        <v>220550</v>
      </c>
      <c r="D123" s="61">
        <v>19057.419999999998</v>
      </c>
      <c r="E123" s="62"/>
      <c r="F123" s="61">
        <f t="shared" si="1"/>
        <v>-19057.419999999998</v>
      </c>
      <c r="G123" s="13">
        <v>34</v>
      </c>
    </row>
    <row r="124" spans="1:7" x14ac:dyDescent="0.2">
      <c r="A124" s="51">
        <v>45581</v>
      </c>
      <c r="B124" s="52" t="s">
        <v>12</v>
      </c>
      <c r="C124" s="53">
        <v>33143</v>
      </c>
      <c r="D124" s="61">
        <v>9736.0499999999993</v>
      </c>
      <c r="E124" s="62"/>
      <c r="F124" s="61">
        <f t="shared" si="1"/>
        <v>-9736.0499999999993</v>
      </c>
      <c r="G124" s="13">
        <v>35</v>
      </c>
    </row>
    <row r="125" spans="1:7" x14ac:dyDescent="0.2">
      <c r="A125" s="51">
        <v>45582</v>
      </c>
      <c r="B125" s="52" t="s">
        <v>9</v>
      </c>
      <c r="C125" s="53">
        <v>49793</v>
      </c>
      <c r="D125" s="61">
        <v>956</v>
      </c>
      <c r="E125" s="62"/>
      <c r="F125" s="61">
        <f t="shared" si="1"/>
        <v>-956</v>
      </c>
      <c r="G125" s="13">
        <v>36</v>
      </c>
    </row>
    <row r="126" spans="1:7" x14ac:dyDescent="0.2">
      <c r="A126" s="51">
        <v>45582</v>
      </c>
      <c r="B126" s="52" t="s">
        <v>9</v>
      </c>
      <c r="C126" s="53">
        <v>49794</v>
      </c>
      <c r="D126" s="61">
        <v>956</v>
      </c>
      <c r="E126" s="62"/>
      <c r="F126" s="61">
        <f t="shared" si="1"/>
        <v>-956</v>
      </c>
      <c r="G126" s="13">
        <v>37</v>
      </c>
    </row>
    <row r="127" spans="1:7" x14ac:dyDescent="0.2">
      <c r="A127" s="51">
        <v>45582</v>
      </c>
      <c r="B127" s="52" t="s">
        <v>9</v>
      </c>
      <c r="C127" s="53">
        <v>49795</v>
      </c>
      <c r="D127" s="61">
        <v>956</v>
      </c>
      <c r="E127" s="62"/>
      <c r="F127" s="61">
        <f t="shared" si="1"/>
        <v>-956</v>
      </c>
      <c r="G127" s="13">
        <v>38</v>
      </c>
    </row>
    <row r="128" spans="1:7" x14ac:dyDescent="0.2">
      <c r="A128" s="51">
        <v>45582</v>
      </c>
      <c r="B128" s="52" t="s">
        <v>9</v>
      </c>
      <c r="C128" s="53">
        <v>49796</v>
      </c>
      <c r="D128" s="61">
        <v>956</v>
      </c>
      <c r="E128" s="62"/>
      <c r="F128" s="61">
        <f t="shared" si="1"/>
        <v>-956</v>
      </c>
      <c r="G128" s="13">
        <v>39</v>
      </c>
    </row>
    <row r="129" spans="1:7" x14ac:dyDescent="0.2">
      <c r="A129" s="51">
        <v>45582</v>
      </c>
      <c r="B129" s="52" t="s">
        <v>15</v>
      </c>
      <c r="C129" s="53">
        <v>49797</v>
      </c>
      <c r="D129" s="61">
        <v>803.04</v>
      </c>
      <c r="E129" s="62"/>
      <c r="F129" s="61">
        <f t="shared" si="1"/>
        <v>-803.04</v>
      </c>
      <c r="G129" s="13">
        <v>40</v>
      </c>
    </row>
    <row r="130" spans="1:7" x14ac:dyDescent="0.2">
      <c r="A130" s="51">
        <v>45582</v>
      </c>
      <c r="B130" s="52" t="s">
        <v>18</v>
      </c>
      <c r="C130" s="53">
        <v>49797</v>
      </c>
      <c r="D130" s="61">
        <v>114.72</v>
      </c>
      <c r="E130" s="62"/>
      <c r="F130" s="61">
        <f t="shared" si="1"/>
        <v>-114.72</v>
      </c>
      <c r="G130" s="13">
        <v>41</v>
      </c>
    </row>
    <row r="131" spans="1:7" x14ac:dyDescent="0.2">
      <c r="A131" s="51">
        <v>45582</v>
      </c>
      <c r="B131" s="52" t="s">
        <v>12</v>
      </c>
      <c r="C131" s="53">
        <v>49793</v>
      </c>
      <c r="D131" s="61">
        <v>5.74</v>
      </c>
      <c r="E131" s="62"/>
      <c r="F131" s="61">
        <f t="shared" ref="F131:F194" si="2">+E131-D131</f>
        <v>-5.74</v>
      </c>
      <c r="G131" s="13">
        <v>42</v>
      </c>
    </row>
    <row r="132" spans="1:7" x14ac:dyDescent="0.2">
      <c r="A132" s="51">
        <v>45582</v>
      </c>
      <c r="B132" s="52" t="s">
        <v>12</v>
      </c>
      <c r="C132" s="53">
        <v>49794</v>
      </c>
      <c r="D132" s="61">
        <v>5.74</v>
      </c>
      <c r="E132" s="62"/>
      <c r="F132" s="61">
        <f t="shared" si="2"/>
        <v>-5.74</v>
      </c>
      <c r="G132" s="13">
        <v>43</v>
      </c>
    </row>
    <row r="133" spans="1:7" x14ac:dyDescent="0.2">
      <c r="A133" s="51">
        <v>45582</v>
      </c>
      <c r="B133" s="52" t="s">
        <v>12</v>
      </c>
      <c r="C133" s="53">
        <v>49795</v>
      </c>
      <c r="D133" s="61">
        <v>5.74</v>
      </c>
      <c r="E133" s="62"/>
      <c r="F133" s="61">
        <f t="shared" si="2"/>
        <v>-5.74</v>
      </c>
      <c r="G133" s="13">
        <v>44</v>
      </c>
    </row>
    <row r="134" spans="1:7" x14ac:dyDescent="0.2">
      <c r="A134" s="51">
        <v>45582</v>
      </c>
      <c r="B134" s="52" t="s">
        <v>12</v>
      </c>
      <c r="C134" s="53">
        <v>49796</v>
      </c>
      <c r="D134" s="61">
        <v>5.74</v>
      </c>
      <c r="E134" s="62"/>
      <c r="F134" s="61">
        <f t="shared" si="2"/>
        <v>-5.74</v>
      </c>
      <c r="G134" s="13">
        <v>45</v>
      </c>
    </row>
    <row r="135" spans="1:7" x14ac:dyDescent="0.2">
      <c r="A135" s="51">
        <v>45582</v>
      </c>
      <c r="B135" s="52" t="s">
        <v>12</v>
      </c>
      <c r="C135" s="53">
        <v>49797</v>
      </c>
      <c r="D135" s="61">
        <v>4.82</v>
      </c>
      <c r="E135" s="62"/>
      <c r="F135" s="61">
        <f t="shared" si="2"/>
        <v>-4.82</v>
      </c>
      <c r="G135" s="13">
        <v>46</v>
      </c>
    </row>
    <row r="136" spans="1:7" x14ac:dyDescent="0.2">
      <c r="A136" s="51">
        <v>45582</v>
      </c>
      <c r="B136" s="52" t="s">
        <v>12</v>
      </c>
      <c r="C136" s="53">
        <v>49797</v>
      </c>
      <c r="D136" s="61">
        <v>0.69</v>
      </c>
      <c r="E136" s="62"/>
      <c r="F136" s="61">
        <f t="shared" si="2"/>
        <v>-0.69</v>
      </c>
      <c r="G136" s="13">
        <v>47</v>
      </c>
    </row>
    <row r="137" spans="1:7" x14ac:dyDescent="0.2">
      <c r="A137" s="51">
        <v>45590</v>
      </c>
      <c r="B137" s="52" t="s">
        <v>8</v>
      </c>
      <c r="C137" s="53">
        <v>49805</v>
      </c>
      <c r="D137" s="61">
        <v>23400</v>
      </c>
      <c r="E137" s="62"/>
      <c r="F137" s="61">
        <f t="shared" si="2"/>
        <v>-23400</v>
      </c>
      <c r="G137" s="13">
        <v>48</v>
      </c>
    </row>
    <row r="138" spans="1:7" x14ac:dyDescent="0.2">
      <c r="A138" s="51">
        <v>45590</v>
      </c>
      <c r="B138" s="52" t="s">
        <v>15</v>
      </c>
      <c r="C138" s="53">
        <v>49806</v>
      </c>
      <c r="D138" s="61">
        <v>4914</v>
      </c>
      <c r="E138" s="62"/>
      <c r="F138" s="61">
        <f t="shared" si="2"/>
        <v>-4914</v>
      </c>
      <c r="G138" s="13">
        <v>49</v>
      </c>
    </row>
    <row r="139" spans="1:7" x14ac:dyDescent="0.2">
      <c r="A139" s="51">
        <v>45590</v>
      </c>
      <c r="B139" s="52" t="s">
        <v>18</v>
      </c>
      <c r="C139" s="53">
        <v>49806</v>
      </c>
      <c r="D139" s="61">
        <v>702</v>
      </c>
      <c r="E139" s="62"/>
      <c r="F139" s="61">
        <f t="shared" si="2"/>
        <v>-702</v>
      </c>
      <c r="G139" s="13">
        <v>50</v>
      </c>
    </row>
    <row r="140" spans="1:7" x14ac:dyDescent="0.2">
      <c r="A140" s="51">
        <v>45590</v>
      </c>
      <c r="B140" s="52" t="s">
        <v>12</v>
      </c>
      <c r="C140" s="53">
        <v>49805</v>
      </c>
      <c r="D140" s="61">
        <v>140.4</v>
      </c>
      <c r="E140" s="62"/>
      <c r="F140" s="61">
        <f t="shared" si="2"/>
        <v>-140.4</v>
      </c>
      <c r="G140" s="13">
        <v>51</v>
      </c>
    </row>
    <row r="141" spans="1:7" x14ac:dyDescent="0.2">
      <c r="A141" s="51">
        <v>45590</v>
      </c>
      <c r="B141" s="52" t="s">
        <v>13</v>
      </c>
      <c r="C141" s="53">
        <v>49805</v>
      </c>
      <c r="D141" s="61">
        <v>351</v>
      </c>
      <c r="E141" s="62"/>
      <c r="F141" s="61">
        <f t="shared" si="2"/>
        <v>-351</v>
      </c>
      <c r="G141" s="13">
        <v>52</v>
      </c>
    </row>
    <row r="142" spans="1:7" x14ac:dyDescent="0.2">
      <c r="A142" s="51">
        <v>45590</v>
      </c>
      <c r="B142" s="52" t="s">
        <v>12</v>
      </c>
      <c r="C142" s="53">
        <v>49806</v>
      </c>
      <c r="D142" s="61">
        <v>29.48</v>
      </c>
      <c r="E142" s="62"/>
      <c r="F142" s="61">
        <f t="shared" si="2"/>
        <v>-29.48</v>
      </c>
      <c r="G142" s="13">
        <v>53</v>
      </c>
    </row>
    <row r="143" spans="1:7" x14ac:dyDescent="0.2">
      <c r="A143" s="51">
        <v>45590</v>
      </c>
      <c r="B143" s="52" t="s">
        <v>12</v>
      </c>
      <c r="C143" s="53">
        <v>49806</v>
      </c>
      <c r="D143" s="61">
        <v>4.21</v>
      </c>
      <c r="E143" s="62"/>
      <c r="F143" s="61">
        <f t="shared" si="2"/>
        <v>-4.21</v>
      </c>
      <c r="G143" s="13">
        <v>54</v>
      </c>
    </row>
    <row r="144" spans="1:7" x14ac:dyDescent="0.2">
      <c r="A144" s="51">
        <v>45590</v>
      </c>
      <c r="B144" s="52" t="s">
        <v>12</v>
      </c>
      <c r="C144" s="53">
        <v>49805</v>
      </c>
      <c r="D144" s="61">
        <v>2.11</v>
      </c>
      <c r="E144" s="62"/>
      <c r="F144" s="61">
        <f t="shared" si="2"/>
        <v>-2.11</v>
      </c>
      <c r="G144" s="13">
        <v>55</v>
      </c>
    </row>
    <row r="145" spans="1:7" x14ac:dyDescent="0.2">
      <c r="A145" s="51">
        <v>45593</v>
      </c>
      <c r="B145" s="52" t="s">
        <v>10</v>
      </c>
      <c r="C145" s="53">
        <v>49813</v>
      </c>
      <c r="D145" s="61">
        <v>3000000</v>
      </c>
      <c r="E145" s="62"/>
      <c r="F145" s="61">
        <f t="shared" si="2"/>
        <v>-3000000</v>
      </c>
      <c r="G145" s="13">
        <v>56</v>
      </c>
    </row>
    <row r="146" spans="1:7" x14ac:dyDescent="0.2">
      <c r="A146" s="51">
        <v>45593</v>
      </c>
      <c r="B146" s="52" t="s">
        <v>11</v>
      </c>
      <c r="C146" s="53">
        <v>49814</v>
      </c>
      <c r="D146" s="61">
        <v>20000000</v>
      </c>
      <c r="E146" s="62"/>
      <c r="F146" s="61">
        <f t="shared" si="2"/>
        <v>-20000000</v>
      </c>
      <c r="G146" s="13">
        <v>57</v>
      </c>
    </row>
    <row r="147" spans="1:7" x14ac:dyDescent="0.2">
      <c r="A147" s="51">
        <v>45593</v>
      </c>
      <c r="B147" s="52" t="s">
        <v>11</v>
      </c>
      <c r="C147" s="53">
        <v>49815</v>
      </c>
      <c r="D147" s="61">
        <v>20000000</v>
      </c>
      <c r="E147" s="62"/>
      <c r="F147" s="61">
        <f t="shared" si="2"/>
        <v>-20000000</v>
      </c>
      <c r="G147" s="13">
        <v>58</v>
      </c>
    </row>
    <row r="148" spans="1:7" x14ac:dyDescent="0.2">
      <c r="A148" s="51">
        <v>45593</v>
      </c>
      <c r="B148" s="52" t="s">
        <v>11</v>
      </c>
      <c r="C148" s="53">
        <v>49816</v>
      </c>
      <c r="D148" s="61">
        <v>20000000</v>
      </c>
      <c r="E148" s="62"/>
      <c r="F148" s="61">
        <f t="shared" si="2"/>
        <v>-20000000</v>
      </c>
      <c r="G148" s="13">
        <v>59</v>
      </c>
    </row>
    <row r="149" spans="1:7" x14ac:dyDescent="0.2">
      <c r="A149" s="51">
        <v>45593</v>
      </c>
      <c r="B149" s="52" t="s">
        <v>11</v>
      </c>
      <c r="C149" s="53">
        <v>49817</v>
      </c>
      <c r="D149" s="61">
        <v>20000000</v>
      </c>
      <c r="E149" s="62"/>
      <c r="F149" s="61">
        <f t="shared" si="2"/>
        <v>-20000000</v>
      </c>
      <c r="G149" s="13">
        <v>60</v>
      </c>
    </row>
    <row r="150" spans="1:7" x14ac:dyDescent="0.2">
      <c r="A150" s="51">
        <v>45593</v>
      </c>
      <c r="B150" s="52" t="s">
        <v>11</v>
      </c>
      <c r="C150" s="53">
        <v>49818</v>
      </c>
      <c r="D150" s="61">
        <v>20000000</v>
      </c>
      <c r="E150" s="62"/>
      <c r="F150" s="61">
        <f t="shared" si="2"/>
        <v>-20000000</v>
      </c>
      <c r="G150" s="13">
        <v>61</v>
      </c>
    </row>
    <row r="151" spans="1:7" x14ac:dyDescent="0.2">
      <c r="A151" s="51">
        <v>45593</v>
      </c>
      <c r="B151" s="52" t="s">
        <v>12</v>
      </c>
      <c r="C151" s="53">
        <v>49813</v>
      </c>
      <c r="D151" s="61">
        <v>18000</v>
      </c>
      <c r="E151" s="62"/>
      <c r="F151" s="61">
        <f t="shared" si="2"/>
        <v>-18000</v>
      </c>
      <c r="G151" s="13">
        <v>62</v>
      </c>
    </row>
    <row r="152" spans="1:7" x14ac:dyDescent="0.2">
      <c r="A152" s="51">
        <v>45594</v>
      </c>
      <c r="B152" s="52" t="s">
        <v>9</v>
      </c>
      <c r="C152" s="53">
        <v>49820</v>
      </c>
      <c r="D152" s="61">
        <v>956</v>
      </c>
      <c r="E152" s="62"/>
      <c r="F152" s="61">
        <f t="shared" si="2"/>
        <v>-956</v>
      </c>
      <c r="G152" s="13">
        <v>63</v>
      </c>
    </row>
    <row r="153" spans="1:7" x14ac:dyDescent="0.2">
      <c r="A153" s="51">
        <v>45594</v>
      </c>
      <c r="B153" s="52" t="s">
        <v>9</v>
      </c>
      <c r="C153" s="53">
        <v>49821</v>
      </c>
      <c r="D153" s="61">
        <v>956</v>
      </c>
      <c r="E153" s="62"/>
      <c r="F153" s="61">
        <f t="shared" si="2"/>
        <v>-956</v>
      </c>
      <c r="G153" s="13">
        <v>64</v>
      </c>
    </row>
    <row r="154" spans="1:7" x14ac:dyDescent="0.2">
      <c r="A154" s="51">
        <v>45594</v>
      </c>
      <c r="B154" s="52" t="s">
        <v>9</v>
      </c>
      <c r="C154" s="53">
        <v>49822</v>
      </c>
      <c r="D154" s="61">
        <v>956</v>
      </c>
      <c r="E154" s="62"/>
      <c r="F154" s="61">
        <f t="shared" si="2"/>
        <v>-956</v>
      </c>
      <c r="G154" s="13">
        <v>65</v>
      </c>
    </row>
    <row r="155" spans="1:7" x14ac:dyDescent="0.2">
      <c r="A155" s="51">
        <v>45594</v>
      </c>
      <c r="B155" s="52" t="s">
        <v>9</v>
      </c>
      <c r="C155" s="53">
        <v>49823</v>
      </c>
      <c r="D155" s="61">
        <v>956</v>
      </c>
      <c r="E155" s="62"/>
      <c r="F155" s="61">
        <f t="shared" si="2"/>
        <v>-956</v>
      </c>
      <c r="G155" s="13">
        <v>66</v>
      </c>
    </row>
    <row r="156" spans="1:7" x14ac:dyDescent="0.2">
      <c r="A156" s="51">
        <v>45594</v>
      </c>
      <c r="B156" s="52" t="s">
        <v>9</v>
      </c>
      <c r="C156" s="53">
        <v>49824</v>
      </c>
      <c r="D156" s="61">
        <v>956</v>
      </c>
      <c r="E156" s="62"/>
      <c r="F156" s="61">
        <f t="shared" si="2"/>
        <v>-956</v>
      </c>
      <c r="G156" s="13">
        <v>67</v>
      </c>
    </row>
    <row r="157" spans="1:7" x14ac:dyDescent="0.2">
      <c r="A157" s="51">
        <v>45594</v>
      </c>
      <c r="B157" s="52" t="s">
        <v>9</v>
      </c>
      <c r="C157" s="53">
        <v>49825</v>
      </c>
      <c r="D157" s="61">
        <v>956</v>
      </c>
      <c r="E157" s="62"/>
      <c r="F157" s="61">
        <f t="shared" si="2"/>
        <v>-956</v>
      </c>
      <c r="G157" s="13">
        <v>68</v>
      </c>
    </row>
    <row r="158" spans="1:7" x14ac:dyDescent="0.2">
      <c r="A158" s="51">
        <v>45594</v>
      </c>
      <c r="B158" s="52" t="s">
        <v>15</v>
      </c>
      <c r="C158" s="53">
        <v>49826</v>
      </c>
      <c r="D158" s="61">
        <v>1204.56</v>
      </c>
      <c r="E158" s="62"/>
      <c r="F158" s="61">
        <f t="shared" si="2"/>
        <v>-1204.56</v>
      </c>
      <c r="G158" s="13">
        <v>69</v>
      </c>
    </row>
    <row r="159" spans="1:7" x14ac:dyDescent="0.2">
      <c r="A159" s="51">
        <v>45594</v>
      </c>
      <c r="B159" s="52" t="s">
        <v>18</v>
      </c>
      <c r="C159" s="53">
        <v>49826</v>
      </c>
      <c r="D159" s="61">
        <v>172.08</v>
      </c>
      <c r="E159" s="62"/>
      <c r="F159" s="61">
        <f t="shared" si="2"/>
        <v>-172.08</v>
      </c>
      <c r="G159" s="13">
        <v>70</v>
      </c>
    </row>
    <row r="160" spans="1:7" x14ac:dyDescent="0.2">
      <c r="A160" s="51">
        <v>45594</v>
      </c>
      <c r="B160" s="52" t="s">
        <v>12</v>
      </c>
      <c r="C160" s="53">
        <v>49820</v>
      </c>
      <c r="D160" s="61">
        <v>5.74</v>
      </c>
      <c r="E160" s="62"/>
      <c r="F160" s="61">
        <f t="shared" si="2"/>
        <v>-5.74</v>
      </c>
      <c r="G160" s="13">
        <v>71</v>
      </c>
    </row>
    <row r="161" spans="1:7" x14ac:dyDescent="0.2">
      <c r="A161" s="51">
        <v>45594</v>
      </c>
      <c r="B161" s="52" t="s">
        <v>12</v>
      </c>
      <c r="C161" s="53">
        <v>49821</v>
      </c>
      <c r="D161" s="61">
        <v>5.74</v>
      </c>
      <c r="E161" s="62"/>
      <c r="F161" s="61">
        <f t="shared" si="2"/>
        <v>-5.74</v>
      </c>
      <c r="G161" s="13">
        <v>72</v>
      </c>
    </row>
    <row r="162" spans="1:7" x14ac:dyDescent="0.2">
      <c r="A162" s="51">
        <v>45594</v>
      </c>
      <c r="B162" s="52" t="s">
        <v>12</v>
      </c>
      <c r="C162" s="53">
        <v>49822</v>
      </c>
      <c r="D162" s="61">
        <v>5.74</v>
      </c>
      <c r="E162" s="62"/>
      <c r="F162" s="61">
        <f t="shared" si="2"/>
        <v>-5.74</v>
      </c>
      <c r="G162" s="13">
        <v>73</v>
      </c>
    </row>
    <row r="163" spans="1:7" x14ac:dyDescent="0.2">
      <c r="A163" s="51">
        <v>45594</v>
      </c>
      <c r="B163" s="52" t="s">
        <v>12</v>
      </c>
      <c r="C163" s="53">
        <v>49823</v>
      </c>
      <c r="D163" s="61">
        <v>5.74</v>
      </c>
      <c r="E163" s="62"/>
      <c r="F163" s="61">
        <f t="shared" si="2"/>
        <v>-5.74</v>
      </c>
      <c r="G163" s="13">
        <v>74</v>
      </c>
    </row>
    <row r="164" spans="1:7" x14ac:dyDescent="0.2">
      <c r="A164" s="51">
        <v>45594</v>
      </c>
      <c r="B164" s="52" t="s">
        <v>12</v>
      </c>
      <c r="C164" s="53">
        <v>49824</v>
      </c>
      <c r="D164" s="61">
        <v>5.74</v>
      </c>
      <c r="E164" s="62"/>
      <c r="F164" s="61">
        <f t="shared" si="2"/>
        <v>-5.74</v>
      </c>
      <c r="G164" s="13">
        <v>75</v>
      </c>
    </row>
    <row r="165" spans="1:7" x14ac:dyDescent="0.2">
      <c r="A165" s="51">
        <v>45594</v>
      </c>
      <c r="B165" s="52" t="s">
        <v>12</v>
      </c>
      <c r="C165" s="53">
        <v>49825</v>
      </c>
      <c r="D165" s="61">
        <v>5.74</v>
      </c>
      <c r="E165" s="62"/>
      <c r="F165" s="61">
        <f t="shared" si="2"/>
        <v>-5.74</v>
      </c>
      <c r="G165" s="13">
        <v>76</v>
      </c>
    </row>
    <row r="166" spans="1:7" x14ac:dyDescent="0.2">
      <c r="A166" s="51">
        <v>45594</v>
      </c>
      <c r="B166" s="52" t="s">
        <v>12</v>
      </c>
      <c r="C166" s="53">
        <v>49826</v>
      </c>
      <c r="D166" s="61">
        <v>7.23</v>
      </c>
      <c r="E166" s="62"/>
      <c r="F166" s="61">
        <f t="shared" si="2"/>
        <v>-7.23</v>
      </c>
      <c r="G166" s="13">
        <v>77</v>
      </c>
    </row>
    <row r="167" spans="1:7" x14ac:dyDescent="0.2">
      <c r="A167" s="51">
        <v>45594</v>
      </c>
      <c r="B167" s="52" t="s">
        <v>12</v>
      </c>
      <c r="C167" s="53">
        <v>49826</v>
      </c>
      <c r="D167" s="61">
        <v>1.03</v>
      </c>
      <c r="E167" s="62"/>
      <c r="F167" s="61">
        <f t="shared" si="2"/>
        <v>-1.03</v>
      </c>
      <c r="G167" s="13">
        <v>78</v>
      </c>
    </row>
    <row r="168" spans="1:7" x14ac:dyDescent="0.2">
      <c r="A168" s="51">
        <v>45595</v>
      </c>
      <c r="B168" s="52" t="s">
        <v>11</v>
      </c>
      <c r="C168" s="53">
        <v>49836</v>
      </c>
      <c r="D168" s="61">
        <v>20000000</v>
      </c>
      <c r="E168" s="62"/>
      <c r="F168" s="61">
        <f t="shared" si="2"/>
        <v>-20000000</v>
      </c>
      <c r="G168" s="13">
        <v>79</v>
      </c>
    </row>
    <row r="169" spans="1:7" x14ac:dyDescent="0.2">
      <c r="A169" s="51">
        <v>45595</v>
      </c>
      <c r="B169" s="52" t="s">
        <v>11</v>
      </c>
      <c r="C169" s="53">
        <v>49837</v>
      </c>
      <c r="D169" s="61">
        <v>20000000</v>
      </c>
      <c r="E169" s="62"/>
      <c r="F169" s="61">
        <f t="shared" si="2"/>
        <v>-20000000</v>
      </c>
      <c r="G169" s="13">
        <v>80</v>
      </c>
    </row>
    <row r="170" spans="1:7" x14ac:dyDescent="0.2">
      <c r="A170" s="51">
        <v>45595</v>
      </c>
      <c r="B170" s="52" t="s">
        <v>11</v>
      </c>
      <c r="C170" s="53">
        <v>49838</v>
      </c>
      <c r="D170" s="61">
        <v>20000000</v>
      </c>
      <c r="E170" s="62"/>
      <c r="F170" s="61">
        <f t="shared" si="2"/>
        <v>-20000000</v>
      </c>
      <c r="G170" s="13">
        <v>81</v>
      </c>
    </row>
    <row r="171" spans="1:7" x14ac:dyDescent="0.2">
      <c r="A171" s="51">
        <v>45595</v>
      </c>
      <c r="B171" s="52" t="s">
        <v>11</v>
      </c>
      <c r="C171" s="53">
        <v>49839</v>
      </c>
      <c r="D171" s="61">
        <v>20000000</v>
      </c>
      <c r="E171" s="62"/>
      <c r="F171" s="61">
        <f t="shared" si="2"/>
        <v>-20000000</v>
      </c>
      <c r="G171" s="13">
        <v>82</v>
      </c>
    </row>
    <row r="172" spans="1:7" x14ac:dyDescent="0.2">
      <c r="A172" s="51">
        <v>45595</v>
      </c>
      <c r="B172" s="52" t="s">
        <v>11</v>
      </c>
      <c r="C172" s="53">
        <v>49841</v>
      </c>
      <c r="D172" s="61">
        <v>20000000</v>
      </c>
      <c r="E172" s="62"/>
      <c r="F172" s="61">
        <f t="shared" si="2"/>
        <v>-20000000</v>
      </c>
      <c r="G172" s="13">
        <v>83</v>
      </c>
    </row>
    <row r="173" spans="1:7" x14ac:dyDescent="0.2">
      <c r="A173" s="51">
        <v>45596</v>
      </c>
      <c r="B173" s="52" t="s">
        <v>9</v>
      </c>
      <c r="C173" s="53">
        <v>49843</v>
      </c>
      <c r="D173" s="61">
        <v>956</v>
      </c>
      <c r="E173" s="62"/>
      <c r="F173" s="61">
        <f t="shared" si="2"/>
        <v>-956</v>
      </c>
      <c r="G173" s="13">
        <v>84</v>
      </c>
    </row>
    <row r="174" spans="1:7" x14ac:dyDescent="0.2">
      <c r="A174" s="51">
        <v>45596</v>
      </c>
      <c r="B174" s="52" t="s">
        <v>9</v>
      </c>
      <c r="C174" s="53">
        <v>49844</v>
      </c>
      <c r="D174" s="61">
        <v>956</v>
      </c>
      <c r="E174" s="62"/>
      <c r="F174" s="61">
        <f t="shared" si="2"/>
        <v>-956</v>
      </c>
      <c r="G174" s="13">
        <v>85</v>
      </c>
    </row>
    <row r="175" spans="1:7" x14ac:dyDescent="0.2">
      <c r="A175" s="51">
        <v>45596</v>
      </c>
      <c r="B175" s="52" t="s">
        <v>9</v>
      </c>
      <c r="C175" s="53">
        <v>49845</v>
      </c>
      <c r="D175" s="61">
        <v>956</v>
      </c>
      <c r="E175" s="62"/>
      <c r="F175" s="61">
        <f t="shared" si="2"/>
        <v>-956</v>
      </c>
      <c r="G175" s="13">
        <v>86</v>
      </c>
    </row>
    <row r="176" spans="1:7" x14ac:dyDescent="0.2">
      <c r="A176" s="51">
        <v>45596</v>
      </c>
      <c r="B176" s="52" t="s">
        <v>9</v>
      </c>
      <c r="C176" s="53">
        <v>49846</v>
      </c>
      <c r="D176" s="61">
        <v>956</v>
      </c>
      <c r="E176" s="62"/>
      <c r="F176" s="61">
        <f t="shared" si="2"/>
        <v>-956</v>
      </c>
      <c r="G176" s="13">
        <v>87</v>
      </c>
    </row>
    <row r="177" spans="1:7" x14ac:dyDescent="0.2">
      <c r="A177" s="51">
        <v>45596</v>
      </c>
      <c r="B177" s="52" t="s">
        <v>9</v>
      </c>
      <c r="C177" s="53">
        <v>49847</v>
      </c>
      <c r="D177" s="61">
        <v>956</v>
      </c>
      <c r="E177" s="62"/>
      <c r="F177" s="61">
        <f t="shared" si="2"/>
        <v>-956</v>
      </c>
      <c r="G177" s="13">
        <v>88</v>
      </c>
    </row>
    <row r="178" spans="1:7" x14ac:dyDescent="0.2">
      <c r="A178" s="51">
        <v>45596</v>
      </c>
      <c r="B178" s="52" t="s">
        <v>15</v>
      </c>
      <c r="C178" s="53">
        <v>49848</v>
      </c>
      <c r="D178" s="61">
        <v>1003.8</v>
      </c>
      <c r="E178" s="62"/>
      <c r="F178" s="61">
        <f t="shared" si="2"/>
        <v>-1003.8</v>
      </c>
      <c r="G178" s="13">
        <v>89</v>
      </c>
    </row>
    <row r="179" spans="1:7" x14ac:dyDescent="0.2">
      <c r="A179" s="51">
        <v>45596</v>
      </c>
      <c r="B179" s="52" t="s">
        <v>18</v>
      </c>
      <c r="C179" s="53">
        <v>49848</v>
      </c>
      <c r="D179" s="61">
        <v>143.4</v>
      </c>
      <c r="E179" s="62"/>
      <c r="F179" s="61">
        <f t="shared" si="2"/>
        <v>-143.4</v>
      </c>
      <c r="G179" s="13">
        <v>90</v>
      </c>
    </row>
    <row r="180" spans="1:7" x14ac:dyDescent="0.2">
      <c r="A180" s="51">
        <v>45596</v>
      </c>
      <c r="B180" s="52" t="s">
        <v>12</v>
      </c>
      <c r="C180" s="53">
        <v>49843</v>
      </c>
      <c r="D180" s="61">
        <v>5.74</v>
      </c>
      <c r="E180" s="62"/>
      <c r="F180" s="61">
        <f t="shared" si="2"/>
        <v>-5.74</v>
      </c>
      <c r="G180" s="13">
        <v>91</v>
      </c>
    </row>
    <row r="181" spans="1:7" x14ac:dyDescent="0.2">
      <c r="A181" s="51">
        <v>45596</v>
      </c>
      <c r="B181" s="52" t="s">
        <v>12</v>
      </c>
      <c r="C181" s="53">
        <v>49844</v>
      </c>
      <c r="D181" s="61">
        <v>5.74</v>
      </c>
      <c r="E181" s="62"/>
      <c r="F181" s="61">
        <f t="shared" si="2"/>
        <v>-5.74</v>
      </c>
      <c r="G181" s="13">
        <v>92</v>
      </c>
    </row>
    <row r="182" spans="1:7" x14ac:dyDescent="0.2">
      <c r="A182" s="51">
        <v>45596</v>
      </c>
      <c r="B182" s="52" t="s">
        <v>12</v>
      </c>
      <c r="C182" s="53">
        <v>49845</v>
      </c>
      <c r="D182" s="61">
        <v>5.74</v>
      </c>
      <c r="E182" s="62"/>
      <c r="F182" s="61">
        <f t="shared" si="2"/>
        <v>-5.74</v>
      </c>
      <c r="G182" s="13">
        <v>93</v>
      </c>
    </row>
    <row r="183" spans="1:7" x14ac:dyDescent="0.2">
      <c r="A183" s="51">
        <v>45596</v>
      </c>
      <c r="B183" s="55" t="s">
        <v>12</v>
      </c>
      <c r="C183" s="56">
        <v>49846</v>
      </c>
      <c r="D183" s="63">
        <v>5.74</v>
      </c>
      <c r="E183" s="61"/>
      <c r="F183" s="61">
        <f t="shared" si="2"/>
        <v>-5.74</v>
      </c>
      <c r="G183" s="13">
        <v>94</v>
      </c>
    </row>
    <row r="184" spans="1:7" x14ac:dyDescent="0.2">
      <c r="A184" s="51">
        <v>45596</v>
      </c>
      <c r="B184" s="55" t="s">
        <v>12</v>
      </c>
      <c r="C184" s="56">
        <v>49847</v>
      </c>
      <c r="D184" s="63">
        <v>5.74</v>
      </c>
      <c r="E184" s="61"/>
      <c r="F184" s="61">
        <f t="shared" si="2"/>
        <v>-5.74</v>
      </c>
      <c r="G184" s="13">
        <v>95</v>
      </c>
    </row>
    <row r="185" spans="1:7" x14ac:dyDescent="0.2">
      <c r="A185" s="51">
        <v>45596</v>
      </c>
      <c r="B185" s="55" t="s">
        <v>12</v>
      </c>
      <c r="C185" s="56">
        <v>49848</v>
      </c>
      <c r="D185" s="63">
        <v>6.02</v>
      </c>
      <c r="E185" s="61"/>
      <c r="F185" s="61">
        <f t="shared" si="2"/>
        <v>-6.02</v>
      </c>
      <c r="G185" s="13">
        <v>96</v>
      </c>
    </row>
    <row r="186" spans="1:7" x14ac:dyDescent="0.2">
      <c r="A186" s="51">
        <v>45596</v>
      </c>
      <c r="B186" s="55" t="s">
        <v>12</v>
      </c>
      <c r="C186" s="56">
        <v>49848</v>
      </c>
      <c r="D186" s="63">
        <v>0.86</v>
      </c>
      <c r="E186" s="61"/>
      <c r="F186" s="61">
        <f t="shared" si="2"/>
        <v>-0.86</v>
      </c>
      <c r="G186" s="13">
        <v>97</v>
      </c>
    </row>
    <row r="187" spans="1:7" x14ac:dyDescent="0.2">
      <c r="A187" s="51">
        <v>45600</v>
      </c>
      <c r="B187" s="52" t="s">
        <v>11</v>
      </c>
      <c r="C187" s="53">
        <v>49857</v>
      </c>
      <c r="D187" s="61">
        <v>20000000</v>
      </c>
      <c r="E187" s="62"/>
      <c r="F187" s="61">
        <f t="shared" si="2"/>
        <v>-20000000</v>
      </c>
      <c r="G187" s="15">
        <v>2</v>
      </c>
    </row>
    <row r="188" spans="1:7" x14ac:dyDescent="0.2">
      <c r="A188" s="51">
        <v>45600</v>
      </c>
      <c r="B188" s="52" t="s">
        <v>11</v>
      </c>
      <c r="C188" s="53">
        <v>49859</v>
      </c>
      <c r="D188" s="61">
        <v>20000000</v>
      </c>
      <c r="E188" s="62"/>
      <c r="F188" s="61">
        <f t="shared" si="2"/>
        <v>-20000000</v>
      </c>
      <c r="G188" s="15">
        <v>3</v>
      </c>
    </row>
    <row r="189" spans="1:7" x14ac:dyDescent="0.2">
      <c r="A189" s="51">
        <v>45600</v>
      </c>
      <c r="B189" s="52" t="s">
        <v>11</v>
      </c>
      <c r="C189" s="53">
        <v>49860</v>
      </c>
      <c r="D189" s="61">
        <v>20000000</v>
      </c>
      <c r="E189" s="62"/>
      <c r="F189" s="61">
        <f t="shared" si="2"/>
        <v>-20000000</v>
      </c>
      <c r="G189" s="15">
        <v>4</v>
      </c>
    </row>
    <row r="190" spans="1:7" x14ac:dyDescent="0.2">
      <c r="A190" s="51">
        <v>45600</v>
      </c>
      <c r="B190" s="52" t="s">
        <v>11</v>
      </c>
      <c r="C190" s="53">
        <v>49863</v>
      </c>
      <c r="D190" s="61">
        <v>20000000</v>
      </c>
      <c r="E190" s="62"/>
      <c r="F190" s="61">
        <f t="shared" si="2"/>
        <v>-20000000</v>
      </c>
      <c r="G190" s="15">
        <v>5</v>
      </c>
    </row>
    <row r="191" spans="1:7" x14ac:dyDescent="0.2">
      <c r="A191" s="51">
        <v>45600</v>
      </c>
      <c r="B191" s="52" t="s">
        <v>11</v>
      </c>
      <c r="C191" s="53">
        <v>49864</v>
      </c>
      <c r="D191" s="61">
        <v>3000000</v>
      </c>
      <c r="E191" s="62"/>
      <c r="F191" s="61">
        <f t="shared" si="2"/>
        <v>-3000000</v>
      </c>
      <c r="G191" s="15">
        <v>6</v>
      </c>
    </row>
    <row r="192" spans="1:7" x14ac:dyDescent="0.2">
      <c r="A192" s="51">
        <v>45601</v>
      </c>
      <c r="B192" s="52" t="s">
        <v>9</v>
      </c>
      <c r="C192" s="53">
        <v>49865</v>
      </c>
      <c r="D192" s="61">
        <v>956</v>
      </c>
      <c r="E192" s="62"/>
      <c r="F192" s="61">
        <f t="shared" si="2"/>
        <v>-956</v>
      </c>
      <c r="G192" s="15">
        <v>7</v>
      </c>
    </row>
    <row r="193" spans="1:7" x14ac:dyDescent="0.2">
      <c r="A193" s="51">
        <v>45601</v>
      </c>
      <c r="B193" s="52" t="s">
        <v>9</v>
      </c>
      <c r="C193" s="53">
        <v>49866</v>
      </c>
      <c r="D193" s="61">
        <v>956</v>
      </c>
      <c r="E193" s="62"/>
      <c r="F193" s="61">
        <f t="shared" si="2"/>
        <v>-956</v>
      </c>
      <c r="G193" s="15">
        <v>8</v>
      </c>
    </row>
    <row r="194" spans="1:7" x14ac:dyDescent="0.2">
      <c r="A194" s="51">
        <v>45601</v>
      </c>
      <c r="B194" s="52" t="s">
        <v>9</v>
      </c>
      <c r="C194" s="53">
        <v>49867</v>
      </c>
      <c r="D194" s="61">
        <v>956</v>
      </c>
      <c r="E194" s="62"/>
      <c r="F194" s="61">
        <f t="shared" si="2"/>
        <v>-956</v>
      </c>
      <c r="G194" s="15">
        <v>9</v>
      </c>
    </row>
    <row r="195" spans="1:7" x14ac:dyDescent="0.2">
      <c r="A195" s="51">
        <v>45601</v>
      </c>
      <c r="B195" s="52" t="s">
        <v>9</v>
      </c>
      <c r="C195" s="53">
        <v>49868</v>
      </c>
      <c r="D195" s="61">
        <v>956</v>
      </c>
      <c r="E195" s="62"/>
      <c r="F195" s="61">
        <f t="shared" ref="F195:F258" si="3">+E195-D195</f>
        <v>-956</v>
      </c>
      <c r="G195" s="15">
        <v>10</v>
      </c>
    </row>
    <row r="196" spans="1:7" x14ac:dyDescent="0.2">
      <c r="A196" s="51">
        <v>45601</v>
      </c>
      <c r="B196" s="52" t="s">
        <v>9</v>
      </c>
      <c r="C196" s="53">
        <v>49869</v>
      </c>
      <c r="D196" s="61">
        <v>956</v>
      </c>
      <c r="E196" s="62"/>
      <c r="F196" s="61">
        <f t="shared" si="3"/>
        <v>-956</v>
      </c>
      <c r="G196" s="15">
        <v>11</v>
      </c>
    </row>
    <row r="197" spans="1:7" x14ac:dyDescent="0.2">
      <c r="A197" s="51">
        <v>45601</v>
      </c>
      <c r="B197" s="52" t="s">
        <v>15</v>
      </c>
      <c r="C197" s="53">
        <v>49870</v>
      </c>
      <c r="D197" s="61">
        <v>1003.8</v>
      </c>
      <c r="E197" s="62"/>
      <c r="F197" s="61">
        <f t="shared" si="3"/>
        <v>-1003.8</v>
      </c>
      <c r="G197" s="15">
        <v>12</v>
      </c>
    </row>
    <row r="198" spans="1:7" x14ac:dyDescent="0.2">
      <c r="A198" s="51">
        <v>45601</v>
      </c>
      <c r="B198" s="52" t="s">
        <v>18</v>
      </c>
      <c r="C198" s="53">
        <v>49870</v>
      </c>
      <c r="D198" s="61">
        <v>143.4</v>
      </c>
      <c r="E198" s="62"/>
      <c r="F198" s="61">
        <f t="shared" si="3"/>
        <v>-143.4</v>
      </c>
      <c r="G198" s="15">
        <v>13</v>
      </c>
    </row>
    <row r="199" spans="1:7" x14ac:dyDescent="0.2">
      <c r="A199" s="51">
        <v>45601</v>
      </c>
      <c r="B199" s="52" t="s">
        <v>12</v>
      </c>
      <c r="C199" s="53">
        <v>49865</v>
      </c>
      <c r="D199" s="61">
        <v>5.74</v>
      </c>
      <c r="E199" s="62"/>
      <c r="F199" s="61">
        <f t="shared" si="3"/>
        <v>-5.74</v>
      </c>
      <c r="G199" s="15">
        <v>14</v>
      </c>
    </row>
    <row r="200" spans="1:7" x14ac:dyDescent="0.2">
      <c r="A200" s="51">
        <v>45601</v>
      </c>
      <c r="B200" s="52" t="s">
        <v>12</v>
      </c>
      <c r="C200" s="53">
        <v>49866</v>
      </c>
      <c r="D200" s="61">
        <v>5.74</v>
      </c>
      <c r="E200" s="62"/>
      <c r="F200" s="61">
        <f t="shared" si="3"/>
        <v>-5.74</v>
      </c>
      <c r="G200" s="15">
        <v>15</v>
      </c>
    </row>
    <row r="201" spans="1:7" x14ac:dyDescent="0.2">
      <c r="A201" s="51">
        <v>45601</v>
      </c>
      <c r="B201" s="52" t="s">
        <v>12</v>
      </c>
      <c r="C201" s="53">
        <v>49867</v>
      </c>
      <c r="D201" s="61">
        <v>5.74</v>
      </c>
      <c r="E201" s="62"/>
      <c r="F201" s="61">
        <f t="shared" si="3"/>
        <v>-5.74</v>
      </c>
      <c r="G201" s="15">
        <v>16</v>
      </c>
    </row>
    <row r="202" spans="1:7" x14ac:dyDescent="0.2">
      <c r="A202" s="51">
        <v>45601</v>
      </c>
      <c r="B202" s="52" t="s">
        <v>12</v>
      </c>
      <c r="C202" s="53">
        <v>49868</v>
      </c>
      <c r="D202" s="61">
        <v>5.74</v>
      </c>
      <c r="E202" s="62"/>
      <c r="F202" s="61">
        <f t="shared" si="3"/>
        <v>-5.74</v>
      </c>
      <c r="G202" s="15">
        <v>17</v>
      </c>
    </row>
    <row r="203" spans="1:7" x14ac:dyDescent="0.2">
      <c r="A203" s="51">
        <v>45601</v>
      </c>
      <c r="B203" s="52" t="s">
        <v>12</v>
      </c>
      <c r="C203" s="53">
        <v>49869</v>
      </c>
      <c r="D203" s="61">
        <v>5.74</v>
      </c>
      <c r="E203" s="62"/>
      <c r="F203" s="61">
        <f t="shared" si="3"/>
        <v>-5.74</v>
      </c>
      <c r="G203" s="15">
        <v>18</v>
      </c>
    </row>
    <row r="204" spans="1:7" x14ac:dyDescent="0.2">
      <c r="A204" s="51">
        <v>45601</v>
      </c>
      <c r="B204" s="52" t="s">
        <v>12</v>
      </c>
      <c r="C204" s="53">
        <v>49870</v>
      </c>
      <c r="D204" s="61">
        <v>6.02</v>
      </c>
      <c r="E204" s="62"/>
      <c r="F204" s="61">
        <f t="shared" si="3"/>
        <v>-6.02</v>
      </c>
      <c r="G204" s="15">
        <v>19</v>
      </c>
    </row>
    <row r="205" spans="1:7" x14ac:dyDescent="0.2">
      <c r="A205" s="51">
        <v>45601</v>
      </c>
      <c r="B205" s="52" t="s">
        <v>12</v>
      </c>
      <c r="C205" s="53">
        <v>49870</v>
      </c>
      <c r="D205" s="61">
        <v>0.86</v>
      </c>
      <c r="E205" s="62"/>
      <c r="F205" s="61">
        <f t="shared" si="3"/>
        <v>-0.86</v>
      </c>
      <c r="G205" s="15">
        <v>20</v>
      </c>
    </row>
    <row r="206" spans="1:7" x14ac:dyDescent="0.2">
      <c r="A206" s="51">
        <v>45610</v>
      </c>
      <c r="B206" s="52" t="s">
        <v>7</v>
      </c>
      <c r="C206" s="53">
        <v>8323406</v>
      </c>
      <c r="D206" s="62"/>
      <c r="E206" s="61">
        <v>406622013.93000001</v>
      </c>
      <c r="F206" s="61">
        <f t="shared" si="3"/>
        <v>406622013.93000001</v>
      </c>
      <c r="G206" s="15">
        <v>21</v>
      </c>
    </row>
    <row r="207" spans="1:7" x14ac:dyDescent="0.2">
      <c r="A207" s="51">
        <v>45610</v>
      </c>
      <c r="B207" s="52" t="s">
        <v>14</v>
      </c>
      <c r="C207" s="53">
        <v>8323406</v>
      </c>
      <c r="D207" s="61">
        <v>2439732.08</v>
      </c>
      <c r="E207" s="62"/>
      <c r="F207" s="61">
        <f t="shared" si="3"/>
        <v>-2439732.08</v>
      </c>
      <c r="G207" s="15">
        <v>22</v>
      </c>
    </row>
    <row r="208" spans="1:7" x14ac:dyDescent="0.2">
      <c r="A208" s="51">
        <v>45611</v>
      </c>
      <c r="B208" s="52" t="s">
        <v>11</v>
      </c>
      <c r="C208" s="53">
        <v>49881</v>
      </c>
      <c r="D208" s="61">
        <v>20000000</v>
      </c>
      <c r="E208" s="62"/>
      <c r="F208" s="61">
        <f t="shared" si="3"/>
        <v>-20000000</v>
      </c>
      <c r="G208" s="15">
        <v>23</v>
      </c>
    </row>
    <row r="209" spans="1:7" x14ac:dyDescent="0.2">
      <c r="A209" s="51">
        <v>45611</v>
      </c>
      <c r="B209" s="52" t="s">
        <v>11</v>
      </c>
      <c r="C209" s="53">
        <v>49882</v>
      </c>
      <c r="D209" s="61">
        <v>20000000</v>
      </c>
      <c r="E209" s="62"/>
      <c r="F209" s="61">
        <f t="shared" si="3"/>
        <v>-20000000</v>
      </c>
      <c r="G209" s="15">
        <v>24</v>
      </c>
    </row>
    <row r="210" spans="1:7" x14ac:dyDescent="0.2">
      <c r="A210" s="51">
        <v>45611</v>
      </c>
      <c r="B210" s="52" t="s">
        <v>11</v>
      </c>
      <c r="C210" s="53">
        <v>49883</v>
      </c>
      <c r="D210" s="61">
        <v>20000000</v>
      </c>
      <c r="E210" s="62"/>
      <c r="F210" s="61">
        <f t="shared" si="3"/>
        <v>-20000000</v>
      </c>
      <c r="G210" s="15">
        <v>25</v>
      </c>
    </row>
    <row r="211" spans="1:7" x14ac:dyDescent="0.2">
      <c r="A211" s="51">
        <v>45611</v>
      </c>
      <c r="B211" s="52" t="s">
        <v>11</v>
      </c>
      <c r="C211" s="53">
        <v>49884</v>
      </c>
      <c r="D211" s="61">
        <v>20000000</v>
      </c>
      <c r="E211" s="62"/>
      <c r="F211" s="61">
        <f t="shared" si="3"/>
        <v>-20000000</v>
      </c>
      <c r="G211" s="15">
        <v>26</v>
      </c>
    </row>
    <row r="212" spans="1:7" x14ac:dyDescent="0.2">
      <c r="A212" s="51">
        <v>45611</v>
      </c>
      <c r="B212" s="52" t="s">
        <v>11</v>
      </c>
      <c r="C212" s="53">
        <v>49885</v>
      </c>
      <c r="D212" s="61">
        <v>20000000</v>
      </c>
      <c r="E212" s="62"/>
      <c r="F212" s="61">
        <f t="shared" si="3"/>
        <v>-20000000</v>
      </c>
      <c r="G212" s="15">
        <v>27</v>
      </c>
    </row>
    <row r="213" spans="1:7" x14ac:dyDescent="0.2">
      <c r="A213" s="51">
        <v>45611</v>
      </c>
      <c r="B213" s="52" t="s">
        <v>11</v>
      </c>
      <c r="C213" s="53">
        <v>49888</v>
      </c>
      <c r="D213" s="61">
        <v>20000000</v>
      </c>
      <c r="E213" s="62"/>
      <c r="F213" s="61">
        <f t="shared" si="3"/>
        <v>-20000000</v>
      </c>
      <c r="G213" s="15">
        <v>28</v>
      </c>
    </row>
    <row r="214" spans="1:7" x14ac:dyDescent="0.2">
      <c r="A214" s="51">
        <v>45615</v>
      </c>
      <c r="B214" s="52" t="s">
        <v>16</v>
      </c>
      <c r="C214" s="53">
        <v>404854</v>
      </c>
      <c r="D214" s="61">
        <v>6377663.3899999997</v>
      </c>
      <c r="E214" s="62"/>
      <c r="F214" s="61">
        <f t="shared" si="3"/>
        <v>-6377663.3899999997</v>
      </c>
      <c r="G214" s="15">
        <v>29</v>
      </c>
    </row>
    <row r="215" spans="1:7" x14ac:dyDescent="0.2">
      <c r="A215" s="51">
        <v>45615</v>
      </c>
      <c r="B215" s="52" t="s">
        <v>16</v>
      </c>
      <c r="C215" s="53">
        <v>337557</v>
      </c>
      <c r="D215" s="61">
        <v>3070068.87</v>
      </c>
      <c r="E215" s="62"/>
      <c r="F215" s="61">
        <f t="shared" si="3"/>
        <v>-3070068.87</v>
      </c>
      <c r="G215" s="15">
        <v>30</v>
      </c>
    </row>
    <row r="216" spans="1:7" x14ac:dyDescent="0.2">
      <c r="A216" s="51">
        <v>45615</v>
      </c>
      <c r="B216" s="52" t="s">
        <v>16</v>
      </c>
      <c r="C216" s="53">
        <v>337558</v>
      </c>
      <c r="D216" s="61">
        <v>16885.439999999999</v>
      </c>
      <c r="E216" s="62"/>
      <c r="F216" s="61">
        <f t="shared" si="3"/>
        <v>-16885.439999999999</v>
      </c>
      <c r="G216" s="15">
        <v>31</v>
      </c>
    </row>
    <row r="217" spans="1:7" x14ac:dyDescent="0.2">
      <c r="A217" s="51">
        <v>45615</v>
      </c>
      <c r="B217" s="52" t="s">
        <v>16</v>
      </c>
      <c r="C217" s="53">
        <v>580568</v>
      </c>
      <c r="D217" s="61">
        <v>1739705.66</v>
      </c>
      <c r="E217" s="62"/>
      <c r="F217" s="61">
        <f t="shared" si="3"/>
        <v>-1739705.66</v>
      </c>
      <c r="G217" s="15">
        <v>32</v>
      </c>
    </row>
    <row r="218" spans="1:7" x14ac:dyDescent="0.2">
      <c r="A218" s="51">
        <v>45615</v>
      </c>
      <c r="B218" s="52" t="s">
        <v>16</v>
      </c>
      <c r="C218" s="53">
        <v>580569</v>
      </c>
      <c r="D218" s="61">
        <v>5790326.6399999997</v>
      </c>
      <c r="E218" s="62"/>
      <c r="F218" s="61">
        <f t="shared" si="3"/>
        <v>-5790326.6399999997</v>
      </c>
      <c r="G218" s="15">
        <v>33</v>
      </c>
    </row>
    <row r="219" spans="1:7" x14ac:dyDescent="0.2">
      <c r="A219" s="51">
        <v>45615</v>
      </c>
      <c r="B219" s="52" t="s">
        <v>9</v>
      </c>
      <c r="C219" s="53">
        <v>49894</v>
      </c>
      <c r="D219" s="61">
        <v>956</v>
      </c>
      <c r="E219" s="62"/>
      <c r="F219" s="61">
        <f t="shared" si="3"/>
        <v>-956</v>
      </c>
      <c r="G219" s="15">
        <v>34</v>
      </c>
    </row>
    <row r="220" spans="1:7" x14ac:dyDescent="0.2">
      <c r="A220" s="51">
        <v>45615</v>
      </c>
      <c r="B220" s="52" t="s">
        <v>9</v>
      </c>
      <c r="C220" s="53">
        <v>49895</v>
      </c>
      <c r="D220" s="61">
        <v>956</v>
      </c>
      <c r="E220" s="62"/>
      <c r="F220" s="61">
        <f t="shared" si="3"/>
        <v>-956</v>
      </c>
      <c r="G220" s="15">
        <v>35</v>
      </c>
    </row>
    <row r="221" spans="1:7" x14ac:dyDescent="0.2">
      <c r="A221" s="51">
        <v>45615</v>
      </c>
      <c r="B221" s="52" t="s">
        <v>9</v>
      </c>
      <c r="C221" s="53">
        <v>49896</v>
      </c>
      <c r="D221" s="61">
        <v>956</v>
      </c>
      <c r="E221" s="62"/>
      <c r="F221" s="61">
        <f t="shared" si="3"/>
        <v>-956</v>
      </c>
      <c r="G221" s="15">
        <v>36</v>
      </c>
    </row>
    <row r="222" spans="1:7" x14ac:dyDescent="0.2">
      <c r="A222" s="51">
        <v>45615</v>
      </c>
      <c r="B222" s="52" t="s">
        <v>9</v>
      </c>
      <c r="C222" s="53">
        <v>49897</v>
      </c>
      <c r="D222" s="61">
        <v>956</v>
      </c>
      <c r="E222" s="62"/>
      <c r="F222" s="61">
        <f t="shared" si="3"/>
        <v>-956</v>
      </c>
      <c r="G222" s="15">
        <v>37</v>
      </c>
    </row>
    <row r="223" spans="1:7" x14ac:dyDescent="0.2">
      <c r="A223" s="51">
        <v>45615</v>
      </c>
      <c r="B223" s="52" t="s">
        <v>9</v>
      </c>
      <c r="C223" s="53">
        <v>49898</v>
      </c>
      <c r="D223" s="61">
        <v>956</v>
      </c>
      <c r="E223" s="62"/>
      <c r="F223" s="61">
        <f t="shared" si="3"/>
        <v>-956</v>
      </c>
      <c r="G223" s="15">
        <v>38</v>
      </c>
    </row>
    <row r="224" spans="1:7" x14ac:dyDescent="0.2">
      <c r="A224" s="51">
        <v>45615</v>
      </c>
      <c r="B224" s="52" t="s">
        <v>9</v>
      </c>
      <c r="C224" s="53">
        <v>49899</v>
      </c>
      <c r="D224" s="61">
        <v>956</v>
      </c>
      <c r="E224" s="62"/>
      <c r="F224" s="61">
        <f t="shared" si="3"/>
        <v>-956</v>
      </c>
      <c r="G224" s="15">
        <v>39</v>
      </c>
    </row>
    <row r="225" spans="1:7" x14ac:dyDescent="0.2">
      <c r="A225" s="51">
        <v>45615</v>
      </c>
      <c r="B225" s="52" t="s">
        <v>15</v>
      </c>
      <c r="C225" s="53">
        <v>49900</v>
      </c>
      <c r="D225" s="61">
        <v>1204.56</v>
      </c>
      <c r="E225" s="62"/>
      <c r="F225" s="61">
        <f t="shared" si="3"/>
        <v>-1204.56</v>
      </c>
      <c r="G225" s="15">
        <v>40</v>
      </c>
    </row>
    <row r="226" spans="1:7" x14ac:dyDescent="0.2">
      <c r="A226" s="51">
        <v>45615</v>
      </c>
      <c r="B226" s="52" t="s">
        <v>18</v>
      </c>
      <c r="C226" s="53">
        <v>49900</v>
      </c>
      <c r="D226" s="61">
        <v>172.08</v>
      </c>
      <c r="E226" s="62"/>
      <c r="F226" s="61">
        <f t="shared" si="3"/>
        <v>-172.08</v>
      </c>
      <c r="G226" s="15">
        <v>41</v>
      </c>
    </row>
    <row r="227" spans="1:7" x14ac:dyDescent="0.2">
      <c r="A227" s="54">
        <v>45615</v>
      </c>
      <c r="B227" s="52" t="s">
        <v>12</v>
      </c>
      <c r="C227" s="53">
        <v>404854</v>
      </c>
      <c r="D227" s="61">
        <v>38265.980000000003</v>
      </c>
      <c r="E227" s="61"/>
      <c r="F227" s="61">
        <f t="shared" si="3"/>
        <v>-38265.980000000003</v>
      </c>
      <c r="G227" s="15">
        <v>42</v>
      </c>
    </row>
    <row r="228" spans="1:7" x14ac:dyDescent="0.2">
      <c r="A228" s="54">
        <v>45615</v>
      </c>
      <c r="B228" s="52" t="s">
        <v>12</v>
      </c>
      <c r="C228" s="53">
        <v>337557</v>
      </c>
      <c r="D228" s="61">
        <v>18420.41</v>
      </c>
      <c r="E228" s="61"/>
      <c r="F228" s="61">
        <f t="shared" si="3"/>
        <v>-18420.41</v>
      </c>
      <c r="G228" s="15">
        <v>43</v>
      </c>
    </row>
    <row r="229" spans="1:7" x14ac:dyDescent="0.2">
      <c r="A229" s="54">
        <v>45615</v>
      </c>
      <c r="B229" s="52" t="s">
        <v>12</v>
      </c>
      <c r="C229" s="53">
        <v>337558</v>
      </c>
      <c r="D229" s="61">
        <v>101.31</v>
      </c>
      <c r="E229" s="61"/>
      <c r="F229" s="61">
        <f t="shared" si="3"/>
        <v>-101.31</v>
      </c>
      <c r="G229" s="15">
        <v>44</v>
      </c>
    </row>
    <row r="230" spans="1:7" x14ac:dyDescent="0.2">
      <c r="A230" s="54">
        <v>45615</v>
      </c>
      <c r="B230" s="52" t="s">
        <v>12</v>
      </c>
      <c r="C230" s="53">
        <v>580568</v>
      </c>
      <c r="D230" s="61">
        <v>10438.23</v>
      </c>
      <c r="E230" s="61"/>
      <c r="F230" s="61">
        <f t="shared" si="3"/>
        <v>-10438.23</v>
      </c>
      <c r="G230" s="15">
        <v>45</v>
      </c>
    </row>
    <row r="231" spans="1:7" x14ac:dyDescent="0.2">
      <c r="A231" s="54">
        <v>45615</v>
      </c>
      <c r="B231" s="52" t="s">
        <v>12</v>
      </c>
      <c r="C231" s="53">
        <v>580569</v>
      </c>
      <c r="D231" s="61">
        <v>34741.96</v>
      </c>
      <c r="E231" s="61"/>
      <c r="F231" s="61">
        <f t="shared" si="3"/>
        <v>-34741.96</v>
      </c>
      <c r="G231" s="15">
        <v>46</v>
      </c>
    </row>
    <row r="232" spans="1:7" x14ac:dyDescent="0.2">
      <c r="A232" s="54">
        <v>45615</v>
      </c>
      <c r="B232" s="52" t="s">
        <v>12</v>
      </c>
      <c r="C232" s="53">
        <v>49894</v>
      </c>
      <c r="D232" s="61">
        <v>5.74</v>
      </c>
      <c r="E232" s="61"/>
      <c r="F232" s="61">
        <f t="shared" si="3"/>
        <v>-5.74</v>
      </c>
      <c r="G232" s="15">
        <v>47</v>
      </c>
    </row>
    <row r="233" spans="1:7" x14ac:dyDescent="0.2">
      <c r="A233" s="54">
        <v>45615</v>
      </c>
      <c r="B233" s="52" t="s">
        <v>12</v>
      </c>
      <c r="C233" s="53">
        <v>49895</v>
      </c>
      <c r="D233" s="61">
        <v>5.74</v>
      </c>
      <c r="E233" s="61"/>
      <c r="F233" s="61">
        <f t="shared" si="3"/>
        <v>-5.74</v>
      </c>
      <c r="G233" s="15">
        <v>48</v>
      </c>
    </row>
    <row r="234" spans="1:7" x14ac:dyDescent="0.2">
      <c r="A234" s="54">
        <v>45615</v>
      </c>
      <c r="B234" s="52" t="s">
        <v>12</v>
      </c>
      <c r="C234" s="53">
        <v>49896</v>
      </c>
      <c r="D234" s="61">
        <v>5.74</v>
      </c>
      <c r="E234" s="61"/>
      <c r="F234" s="61">
        <f t="shared" si="3"/>
        <v>-5.74</v>
      </c>
      <c r="G234" s="15">
        <v>49</v>
      </c>
    </row>
    <row r="235" spans="1:7" x14ac:dyDescent="0.2">
      <c r="A235" s="54">
        <v>45615</v>
      </c>
      <c r="B235" s="52" t="s">
        <v>12</v>
      </c>
      <c r="C235" s="53">
        <v>49897</v>
      </c>
      <c r="D235" s="61">
        <v>5.74</v>
      </c>
      <c r="E235" s="61"/>
      <c r="F235" s="61">
        <f t="shared" si="3"/>
        <v>-5.74</v>
      </c>
      <c r="G235" s="15">
        <v>50</v>
      </c>
    </row>
    <row r="236" spans="1:7" x14ac:dyDescent="0.2">
      <c r="A236" s="54">
        <v>45615</v>
      </c>
      <c r="B236" s="52" t="s">
        <v>12</v>
      </c>
      <c r="C236" s="53">
        <v>49898</v>
      </c>
      <c r="D236" s="61">
        <v>5.74</v>
      </c>
      <c r="E236" s="61"/>
      <c r="F236" s="61">
        <f t="shared" si="3"/>
        <v>-5.74</v>
      </c>
      <c r="G236" s="15">
        <v>51</v>
      </c>
    </row>
    <row r="237" spans="1:7" x14ac:dyDescent="0.2">
      <c r="A237" s="54">
        <v>45615</v>
      </c>
      <c r="B237" s="52" t="s">
        <v>12</v>
      </c>
      <c r="C237" s="53">
        <v>49899</v>
      </c>
      <c r="D237" s="61">
        <v>5.74</v>
      </c>
      <c r="E237" s="61"/>
      <c r="F237" s="61">
        <f t="shared" si="3"/>
        <v>-5.74</v>
      </c>
      <c r="G237" s="15">
        <v>52</v>
      </c>
    </row>
    <row r="238" spans="1:7" x14ac:dyDescent="0.2">
      <c r="A238" s="54">
        <v>45615</v>
      </c>
      <c r="B238" s="52" t="s">
        <v>12</v>
      </c>
      <c r="C238" s="53">
        <v>49900</v>
      </c>
      <c r="D238" s="61">
        <v>7.23</v>
      </c>
      <c r="E238" s="61"/>
      <c r="F238" s="61">
        <f t="shared" si="3"/>
        <v>-7.23</v>
      </c>
      <c r="G238" s="15">
        <v>53</v>
      </c>
    </row>
    <row r="239" spans="1:7" x14ac:dyDescent="0.2">
      <c r="A239" s="54">
        <v>45615</v>
      </c>
      <c r="B239" s="52" t="s">
        <v>12</v>
      </c>
      <c r="C239" s="53">
        <v>49900</v>
      </c>
      <c r="D239" s="61">
        <v>1.03</v>
      </c>
      <c r="E239" s="61"/>
      <c r="F239" s="61">
        <f t="shared" si="3"/>
        <v>-1.03</v>
      </c>
      <c r="G239" s="15">
        <v>54</v>
      </c>
    </row>
    <row r="240" spans="1:7" x14ac:dyDescent="0.2">
      <c r="A240" s="54">
        <v>45616</v>
      </c>
      <c r="B240" s="52" t="s">
        <v>16</v>
      </c>
      <c r="C240" s="53">
        <v>407889</v>
      </c>
      <c r="D240" s="61">
        <v>3961796.93</v>
      </c>
      <c r="E240" s="61"/>
      <c r="F240" s="61">
        <f t="shared" si="3"/>
        <v>-3961796.93</v>
      </c>
      <c r="G240" s="15">
        <v>55</v>
      </c>
    </row>
    <row r="241" spans="1:7" x14ac:dyDescent="0.2">
      <c r="A241" s="54">
        <v>45616</v>
      </c>
      <c r="B241" s="52" t="s">
        <v>12</v>
      </c>
      <c r="C241" s="53">
        <v>407889</v>
      </c>
      <c r="D241" s="61">
        <v>23770.78</v>
      </c>
      <c r="E241" s="61"/>
      <c r="F241" s="61">
        <f t="shared" si="3"/>
        <v>-23770.78</v>
      </c>
      <c r="G241" s="15">
        <v>56</v>
      </c>
    </row>
    <row r="242" spans="1:7" x14ac:dyDescent="0.2">
      <c r="A242" s="54">
        <v>45618</v>
      </c>
      <c r="B242" s="52" t="s">
        <v>11</v>
      </c>
      <c r="C242" s="53">
        <v>49954</v>
      </c>
      <c r="D242" s="61">
        <v>5000</v>
      </c>
      <c r="E242" s="61"/>
      <c r="F242" s="61">
        <f t="shared" si="3"/>
        <v>-5000</v>
      </c>
      <c r="G242" s="15">
        <v>57</v>
      </c>
    </row>
    <row r="243" spans="1:7" x14ac:dyDescent="0.2">
      <c r="A243" s="54">
        <v>45622</v>
      </c>
      <c r="B243" s="52" t="s">
        <v>11</v>
      </c>
      <c r="C243" s="53">
        <v>49960</v>
      </c>
      <c r="D243" s="61">
        <v>20000000</v>
      </c>
      <c r="E243" s="61"/>
      <c r="F243" s="61">
        <f t="shared" si="3"/>
        <v>-20000000</v>
      </c>
      <c r="G243" s="15">
        <v>58</v>
      </c>
    </row>
    <row r="244" spans="1:7" x14ac:dyDescent="0.2">
      <c r="A244" s="54">
        <v>45622</v>
      </c>
      <c r="B244" s="52" t="s">
        <v>11</v>
      </c>
      <c r="C244" s="53">
        <v>49961</v>
      </c>
      <c r="D244" s="61">
        <v>20000000</v>
      </c>
      <c r="E244" s="61"/>
      <c r="F244" s="61">
        <f t="shared" si="3"/>
        <v>-20000000</v>
      </c>
      <c r="G244" s="15">
        <v>59</v>
      </c>
    </row>
    <row r="245" spans="1:7" x14ac:dyDescent="0.2">
      <c r="A245" s="54">
        <v>45622</v>
      </c>
      <c r="B245" s="52" t="s">
        <v>11</v>
      </c>
      <c r="C245" s="53">
        <v>49962</v>
      </c>
      <c r="D245" s="61">
        <v>20000000</v>
      </c>
      <c r="E245" s="61"/>
      <c r="F245" s="61">
        <f t="shared" si="3"/>
        <v>-20000000</v>
      </c>
      <c r="G245" s="15">
        <v>60</v>
      </c>
    </row>
    <row r="246" spans="1:7" x14ac:dyDescent="0.2">
      <c r="A246" s="54">
        <v>45622</v>
      </c>
      <c r="B246" s="52" t="s">
        <v>11</v>
      </c>
      <c r="C246" s="53">
        <v>49963</v>
      </c>
      <c r="D246" s="61">
        <v>20000000</v>
      </c>
      <c r="E246" s="61"/>
      <c r="F246" s="61">
        <f t="shared" si="3"/>
        <v>-20000000</v>
      </c>
      <c r="G246" s="15">
        <v>61</v>
      </c>
    </row>
    <row r="247" spans="1:7" x14ac:dyDescent="0.2">
      <c r="A247" s="54">
        <v>45622</v>
      </c>
      <c r="B247" s="52" t="s">
        <v>11</v>
      </c>
      <c r="C247" s="53">
        <v>49964</v>
      </c>
      <c r="D247" s="61">
        <v>20000000</v>
      </c>
      <c r="E247" s="61"/>
      <c r="F247" s="61">
        <f t="shared" si="3"/>
        <v>-20000000</v>
      </c>
      <c r="G247" s="15">
        <v>62</v>
      </c>
    </row>
    <row r="248" spans="1:7" x14ac:dyDescent="0.2">
      <c r="A248" s="54">
        <v>45623</v>
      </c>
      <c r="B248" s="52" t="s">
        <v>9</v>
      </c>
      <c r="C248" s="53">
        <v>49965</v>
      </c>
      <c r="D248" s="61">
        <v>956</v>
      </c>
      <c r="E248" s="61"/>
      <c r="F248" s="61">
        <f t="shared" si="3"/>
        <v>-956</v>
      </c>
      <c r="G248" s="15">
        <v>63</v>
      </c>
    </row>
    <row r="249" spans="1:7" x14ac:dyDescent="0.2">
      <c r="A249" s="54">
        <v>45623</v>
      </c>
      <c r="B249" s="52" t="s">
        <v>9</v>
      </c>
      <c r="C249" s="53">
        <v>49966</v>
      </c>
      <c r="D249" s="61">
        <v>956</v>
      </c>
      <c r="E249" s="61"/>
      <c r="F249" s="61">
        <f t="shared" si="3"/>
        <v>-956</v>
      </c>
      <c r="G249" s="15">
        <v>64</v>
      </c>
    </row>
    <row r="250" spans="1:7" x14ac:dyDescent="0.2">
      <c r="A250" s="54">
        <v>45623</v>
      </c>
      <c r="B250" s="52" t="s">
        <v>9</v>
      </c>
      <c r="C250" s="53">
        <v>49967</v>
      </c>
      <c r="D250" s="61">
        <v>956</v>
      </c>
      <c r="E250" s="61"/>
      <c r="F250" s="61">
        <f t="shared" si="3"/>
        <v>-956</v>
      </c>
      <c r="G250" s="15">
        <v>65</v>
      </c>
    </row>
    <row r="251" spans="1:7" x14ac:dyDescent="0.2">
      <c r="A251" s="54">
        <v>45623</v>
      </c>
      <c r="B251" s="52" t="s">
        <v>9</v>
      </c>
      <c r="C251" s="53">
        <v>49968</v>
      </c>
      <c r="D251" s="61">
        <v>956</v>
      </c>
      <c r="E251" s="61"/>
      <c r="F251" s="61">
        <f t="shared" si="3"/>
        <v>-956</v>
      </c>
      <c r="G251" s="15">
        <v>66</v>
      </c>
    </row>
    <row r="252" spans="1:7" x14ac:dyDescent="0.2">
      <c r="A252" s="54">
        <v>45623</v>
      </c>
      <c r="B252" s="52" t="s">
        <v>9</v>
      </c>
      <c r="C252" s="53">
        <v>49969</v>
      </c>
      <c r="D252" s="61">
        <v>956</v>
      </c>
      <c r="E252" s="61"/>
      <c r="F252" s="61">
        <f t="shared" si="3"/>
        <v>-956</v>
      </c>
      <c r="G252" s="15">
        <v>67</v>
      </c>
    </row>
    <row r="253" spans="1:7" x14ac:dyDescent="0.2">
      <c r="A253" s="54">
        <v>45623</v>
      </c>
      <c r="B253" s="52" t="s">
        <v>15</v>
      </c>
      <c r="C253" s="53">
        <v>49970</v>
      </c>
      <c r="D253" s="61">
        <v>1003.8</v>
      </c>
      <c r="E253" s="61"/>
      <c r="F253" s="61">
        <f t="shared" si="3"/>
        <v>-1003.8</v>
      </c>
      <c r="G253" s="15">
        <v>68</v>
      </c>
    </row>
    <row r="254" spans="1:7" x14ac:dyDescent="0.2">
      <c r="A254" s="54">
        <v>45623</v>
      </c>
      <c r="B254" s="52" t="s">
        <v>18</v>
      </c>
      <c r="C254" s="53">
        <v>49970</v>
      </c>
      <c r="D254" s="61">
        <v>143.4</v>
      </c>
      <c r="E254" s="61"/>
      <c r="F254" s="61">
        <f t="shared" si="3"/>
        <v>-143.4</v>
      </c>
      <c r="G254" s="15">
        <v>69</v>
      </c>
    </row>
    <row r="255" spans="1:7" x14ac:dyDescent="0.2">
      <c r="A255" s="54">
        <v>45623</v>
      </c>
      <c r="B255" s="52" t="s">
        <v>12</v>
      </c>
      <c r="C255" s="53">
        <v>49965</v>
      </c>
      <c r="D255" s="61">
        <v>5.74</v>
      </c>
      <c r="E255" s="61"/>
      <c r="F255" s="61">
        <f t="shared" si="3"/>
        <v>-5.74</v>
      </c>
      <c r="G255" s="15">
        <v>70</v>
      </c>
    </row>
    <row r="256" spans="1:7" x14ac:dyDescent="0.2">
      <c r="A256" s="54">
        <v>45623</v>
      </c>
      <c r="B256" s="52" t="s">
        <v>12</v>
      </c>
      <c r="C256" s="53">
        <v>49966</v>
      </c>
      <c r="D256" s="61">
        <v>5.74</v>
      </c>
      <c r="E256" s="61"/>
      <c r="F256" s="61">
        <f t="shared" si="3"/>
        <v>-5.74</v>
      </c>
      <c r="G256" s="15">
        <v>71</v>
      </c>
    </row>
    <row r="257" spans="1:7" x14ac:dyDescent="0.2">
      <c r="A257" s="54">
        <v>45623</v>
      </c>
      <c r="B257" s="52" t="s">
        <v>12</v>
      </c>
      <c r="C257" s="53">
        <v>49967</v>
      </c>
      <c r="D257" s="61">
        <v>5.74</v>
      </c>
      <c r="E257" s="61"/>
      <c r="F257" s="61">
        <f t="shared" si="3"/>
        <v>-5.74</v>
      </c>
      <c r="G257" s="15">
        <v>72</v>
      </c>
    </row>
    <row r="258" spans="1:7" x14ac:dyDescent="0.2">
      <c r="A258" s="54">
        <v>45623</v>
      </c>
      <c r="B258" s="52" t="s">
        <v>12</v>
      </c>
      <c r="C258" s="53">
        <v>49968</v>
      </c>
      <c r="D258" s="61">
        <v>5.74</v>
      </c>
      <c r="E258" s="61"/>
      <c r="F258" s="61">
        <f t="shared" si="3"/>
        <v>-5.74</v>
      </c>
      <c r="G258" s="15">
        <v>73</v>
      </c>
    </row>
    <row r="259" spans="1:7" x14ac:dyDescent="0.2">
      <c r="A259" s="54">
        <v>45623</v>
      </c>
      <c r="B259" s="52" t="s">
        <v>12</v>
      </c>
      <c r="C259" s="53">
        <v>49969</v>
      </c>
      <c r="D259" s="61">
        <v>5.74</v>
      </c>
      <c r="E259" s="61"/>
      <c r="F259" s="61">
        <f t="shared" ref="F259:F322" si="4">+E259-D259</f>
        <v>-5.74</v>
      </c>
      <c r="G259" s="15">
        <v>74</v>
      </c>
    </row>
    <row r="260" spans="1:7" x14ac:dyDescent="0.2">
      <c r="A260" s="54">
        <v>45623</v>
      </c>
      <c r="B260" s="52" t="s">
        <v>12</v>
      </c>
      <c r="C260" s="53">
        <v>49970</v>
      </c>
      <c r="D260" s="61">
        <v>6.02</v>
      </c>
      <c r="E260" s="61"/>
      <c r="F260" s="61">
        <f t="shared" si="4"/>
        <v>-6.02</v>
      </c>
      <c r="G260" s="15">
        <v>75</v>
      </c>
    </row>
    <row r="261" spans="1:7" x14ac:dyDescent="0.2">
      <c r="A261" s="54">
        <v>45623</v>
      </c>
      <c r="B261" s="52" t="s">
        <v>12</v>
      </c>
      <c r="C261" s="53">
        <v>49970</v>
      </c>
      <c r="D261" s="61">
        <v>0.86</v>
      </c>
      <c r="E261" s="61"/>
      <c r="F261" s="61">
        <f t="shared" si="4"/>
        <v>-0.86</v>
      </c>
      <c r="G261" s="15">
        <v>76</v>
      </c>
    </row>
    <row r="262" spans="1:7" x14ac:dyDescent="0.2">
      <c r="A262" s="54">
        <v>45625</v>
      </c>
      <c r="B262" s="52" t="s">
        <v>11</v>
      </c>
      <c r="C262" s="53">
        <v>49987</v>
      </c>
      <c r="D262" s="61">
        <v>20000000</v>
      </c>
      <c r="E262" s="61"/>
      <c r="F262" s="61">
        <f t="shared" si="4"/>
        <v>-20000000</v>
      </c>
      <c r="G262" s="15">
        <v>77</v>
      </c>
    </row>
    <row r="263" spans="1:7" x14ac:dyDescent="0.2">
      <c r="A263" s="54">
        <v>45625</v>
      </c>
      <c r="B263" s="52" t="s">
        <v>11</v>
      </c>
      <c r="C263" s="53">
        <v>49988</v>
      </c>
      <c r="D263" s="61">
        <v>20000000</v>
      </c>
      <c r="E263" s="61"/>
      <c r="F263" s="61">
        <f t="shared" si="4"/>
        <v>-20000000</v>
      </c>
      <c r="G263" s="15">
        <v>78</v>
      </c>
    </row>
    <row r="264" spans="1:7" x14ac:dyDescent="0.2">
      <c r="A264" s="54">
        <v>45625</v>
      </c>
      <c r="B264" s="52" t="s">
        <v>11</v>
      </c>
      <c r="C264" s="53">
        <v>49990</v>
      </c>
      <c r="D264" s="61">
        <v>20000000</v>
      </c>
      <c r="E264" s="61"/>
      <c r="F264" s="61">
        <f t="shared" si="4"/>
        <v>-20000000</v>
      </c>
      <c r="G264" s="15">
        <v>79</v>
      </c>
    </row>
    <row r="265" spans="1:7" x14ac:dyDescent="0.2">
      <c r="A265" s="54">
        <v>45625</v>
      </c>
      <c r="B265" s="52" t="s">
        <v>10</v>
      </c>
      <c r="C265" s="53">
        <v>49991</v>
      </c>
      <c r="D265" s="61">
        <v>3000000</v>
      </c>
      <c r="E265" s="61"/>
      <c r="F265" s="61">
        <f t="shared" si="4"/>
        <v>-3000000</v>
      </c>
      <c r="G265" s="15">
        <v>80</v>
      </c>
    </row>
    <row r="266" spans="1:7" x14ac:dyDescent="0.2">
      <c r="A266" s="54">
        <v>45625</v>
      </c>
      <c r="B266" s="52" t="s">
        <v>8</v>
      </c>
      <c r="C266" s="53">
        <v>49992</v>
      </c>
      <c r="D266" s="61">
        <v>23400</v>
      </c>
      <c r="E266" s="61"/>
      <c r="F266" s="61">
        <f t="shared" si="4"/>
        <v>-23400</v>
      </c>
      <c r="G266" s="15">
        <v>81</v>
      </c>
    </row>
    <row r="267" spans="1:7" x14ac:dyDescent="0.2">
      <c r="A267" s="54">
        <v>45625</v>
      </c>
      <c r="B267" s="52" t="s">
        <v>15</v>
      </c>
      <c r="C267" s="53">
        <v>49993</v>
      </c>
      <c r="D267" s="61">
        <v>4914</v>
      </c>
      <c r="E267" s="61"/>
      <c r="F267" s="61">
        <f t="shared" si="4"/>
        <v>-4914</v>
      </c>
      <c r="G267" s="15">
        <v>82</v>
      </c>
    </row>
    <row r="268" spans="1:7" x14ac:dyDescent="0.2">
      <c r="A268" s="54">
        <v>45625</v>
      </c>
      <c r="B268" s="52" t="s">
        <v>18</v>
      </c>
      <c r="C268" s="53">
        <v>49993</v>
      </c>
      <c r="D268" s="61">
        <v>702</v>
      </c>
      <c r="E268" s="61"/>
      <c r="F268" s="61">
        <f t="shared" si="4"/>
        <v>-702</v>
      </c>
      <c r="G268" s="15">
        <v>83</v>
      </c>
    </row>
    <row r="269" spans="1:7" x14ac:dyDescent="0.2">
      <c r="A269" s="54">
        <v>45625</v>
      </c>
      <c r="B269" s="52" t="s">
        <v>12</v>
      </c>
      <c r="C269" s="53">
        <v>49991</v>
      </c>
      <c r="D269" s="61">
        <v>18000</v>
      </c>
      <c r="E269" s="61"/>
      <c r="F269" s="61">
        <f t="shared" si="4"/>
        <v>-18000</v>
      </c>
      <c r="G269" s="15">
        <v>84</v>
      </c>
    </row>
    <row r="270" spans="1:7" x14ac:dyDescent="0.2">
      <c r="A270" s="54">
        <v>45625</v>
      </c>
      <c r="B270" s="52" t="s">
        <v>12</v>
      </c>
      <c r="C270" s="53">
        <v>49992</v>
      </c>
      <c r="D270" s="61">
        <v>140.4</v>
      </c>
      <c r="E270" s="61"/>
      <c r="F270" s="61">
        <f t="shared" si="4"/>
        <v>-140.4</v>
      </c>
      <c r="G270" s="15">
        <v>85</v>
      </c>
    </row>
    <row r="271" spans="1:7" x14ac:dyDescent="0.2">
      <c r="A271" s="54">
        <v>45625</v>
      </c>
      <c r="B271" s="52" t="s">
        <v>13</v>
      </c>
      <c r="C271" s="53">
        <v>49992</v>
      </c>
      <c r="D271" s="61">
        <v>351</v>
      </c>
      <c r="E271" s="61"/>
      <c r="F271" s="61">
        <f t="shared" si="4"/>
        <v>-351</v>
      </c>
      <c r="G271" s="15">
        <v>86</v>
      </c>
    </row>
    <row r="272" spans="1:7" x14ac:dyDescent="0.2">
      <c r="A272" s="54">
        <v>45625</v>
      </c>
      <c r="B272" s="52" t="s">
        <v>12</v>
      </c>
      <c r="C272" s="53">
        <v>49993</v>
      </c>
      <c r="D272" s="61">
        <v>29.48</v>
      </c>
      <c r="E272" s="61"/>
      <c r="F272" s="61">
        <f t="shared" si="4"/>
        <v>-29.48</v>
      </c>
      <c r="G272" s="15">
        <v>87</v>
      </c>
    </row>
    <row r="273" spans="1:7" x14ac:dyDescent="0.2">
      <c r="A273" s="54">
        <v>45625</v>
      </c>
      <c r="B273" s="52" t="s">
        <v>12</v>
      </c>
      <c r="C273" s="53">
        <v>49993</v>
      </c>
      <c r="D273" s="61">
        <v>4.21</v>
      </c>
      <c r="E273" s="61"/>
      <c r="F273" s="61">
        <f t="shared" si="4"/>
        <v>-4.21</v>
      </c>
      <c r="G273" s="15">
        <v>88</v>
      </c>
    </row>
    <row r="274" spans="1:7" x14ac:dyDescent="0.2">
      <c r="A274" s="54">
        <v>45625</v>
      </c>
      <c r="B274" s="52" t="s">
        <v>12</v>
      </c>
      <c r="C274" s="53">
        <v>49992</v>
      </c>
      <c r="D274" s="61">
        <v>2.11</v>
      </c>
      <c r="E274" s="61"/>
      <c r="F274" s="61">
        <f t="shared" si="4"/>
        <v>-2.11</v>
      </c>
      <c r="G274" s="15">
        <v>89</v>
      </c>
    </row>
    <row r="275" spans="1:7" x14ac:dyDescent="0.2">
      <c r="A275" s="51">
        <v>45628</v>
      </c>
      <c r="B275" s="57" t="s">
        <v>9</v>
      </c>
      <c r="C275" s="53">
        <v>50004</v>
      </c>
      <c r="D275" s="61">
        <v>956</v>
      </c>
      <c r="E275" s="62"/>
      <c r="F275" s="61">
        <f t="shared" si="4"/>
        <v>-956</v>
      </c>
      <c r="G275" s="13">
        <v>2</v>
      </c>
    </row>
    <row r="276" spans="1:7" x14ac:dyDescent="0.2">
      <c r="A276" s="51">
        <v>45628</v>
      </c>
      <c r="B276" s="57" t="s">
        <v>9</v>
      </c>
      <c r="C276" s="53">
        <v>50005</v>
      </c>
      <c r="D276" s="61">
        <v>956</v>
      </c>
      <c r="E276" s="62"/>
      <c r="F276" s="61">
        <f t="shared" si="4"/>
        <v>-956</v>
      </c>
      <c r="G276" s="13">
        <v>3</v>
      </c>
    </row>
    <row r="277" spans="1:7" x14ac:dyDescent="0.2">
      <c r="A277" s="51">
        <v>45628</v>
      </c>
      <c r="B277" s="57" t="s">
        <v>9</v>
      </c>
      <c r="C277" s="53">
        <v>50006</v>
      </c>
      <c r="D277" s="61">
        <v>956</v>
      </c>
      <c r="E277" s="62"/>
      <c r="F277" s="61">
        <f t="shared" si="4"/>
        <v>-956</v>
      </c>
      <c r="G277" s="13">
        <v>4</v>
      </c>
    </row>
    <row r="278" spans="1:7" x14ac:dyDescent="0.2">
      <c r="A278" s="51">
        <v>45628</v>
      </c>
      <c r="B278" s="57" t="s">
        <v>9</v>
      </c>
      <c r="C278" s="53">
        <v>50007</v>
      </c>
      <c r="D278" s="61">
        <v>956</v>
      </c>
      <c r="E278" s="62"/>
      <c r="F278" s="61">
        <f t="shared" si="4"/>
        <v>-956</v>
      </c>
      <c r="G278" s="13">
        <v>5</v>
      </c>
    </row>
    <row r="279" spans="1:7" x14ac:dyDescent="0.2">
      <c r="A279" s="51">
        <v>45628</v>
      </c>
      <c r="B279" s="57" t="s">
        <v>15</v>
      </c>
      <c r="C279" s="53">
        <v>50008</v>
      </c>
      <c r="D279" s="61">
        <v>803.04</v>
      </c>
      <c r="E279" s="62"/>
      <c r="F279" s="61">
        <f t="shared" si="4"/>
        <v>-803.04</v>
      </c>
      <c r="G279" s="13">
        <v>6</v>
      </c>
    </row>
    <row r="280" spans="1:7" x14ac:dyDescent="0.2">
      <c r="A280" s="51">
        <v>45628</v>
      </c>
      <c r="B280" s="57" t="s">
        <v>18</v>
      </c>
      <c r="C280" s="53">
        <v>50008</v>
      </c>
      <c r="D280" s="61">
        <v>114.72</v>
      </c>
      <c r="E280" s="62"/>
      <c r="F280" s="61">
        <f t="shared" si="4"/>
        <v>-114.72</v>
      </c>
      <c r="G280" s="13">
        <v>7</v>
      </c>
    </row>
    <row r="281" spans="1:7" x14ac:dyDescent="0.2">
      <c r="A281" s="51">
        <v>45628</v>
      </c>
      <c r="B281" s="57" t="s">
        <v>12</v>
      </c>
      <c r="C281" s="53">
        <v>50004</v>
      </c>
      <c r="D281" s="61">
        <v>5.74</v>
      </c>
      <c r="E281" s="62"/>
      <c r="F281" s="61">
        <f t="shared" si="4"/>
        <v>-5.74</v>
      </c>
      <c r="G281" s="13">
        <v>8</v>
      </c>
    </row>
    <row r="282" spans="1:7" x14ac:dyDescent="0.2">
      <c r="A282" s="51">
        <v>45628</v>
      </c>
      <c r="B282" s="57" t="s">
        <v>12</v>
      </c>
      <c r="C282" s="53">
        <v>50005</v>
      </c>
      <c r="D282" s="61">
        <v>5.74</v>
      </c>
      <c r="E282" s="62"/>
      <c r="F282" s="61">
        <f t="shared" si="4"/>
        <v>-5.74</v>
      </c>
      <c r="G282" s="13">
        <v>9</v>
      </c>
    </row>
    <row r="283" spans="1:7" x14ac:dyDescent="0.2">
      <c r="A283" s="51">
        <v>45628</v>
      </c>
      <c r="B283" s="57" t="s">
        <v>12</v>
      </c>
      <c r="C283" s="53">
        <v>50006</v>
      </c>
      <c r="D283" s="61">
        <v>5.74</v>
      </c>
      <c r="E283" s="62"/>
      <c r="F283" s="61">
        <f t="shared" si="4"/>
        <v>-5.74</v>
      </c>
      <c r="G283" s="13">
        <v>10</v>
      </c>
    </row>
    <row r="284" spans="1:7" x14ac:dyDescent="0.2">
      <c r="A284" s="51">
        <v>45628</v>
      </c>
      <c r="B284" s="57" t="s">
        <v>12</v>
      </c>
      <c r="C284" s="53">
        <v>50007</v>
      </c>
      <c r="D284" s="61">
        <v>5.74</v>
      </c>
      <c r="E284" s="62"/>
      <c r="F284" s="61">
        <f t="shared" si="4"/>
        <v>-5.74</v>
      </c>
      <c r="G284" s="13">
        <v>11</v>
      </c>
    </row>
    <row r="285" spans="1:7" x14ac:dyDescent="0.2">
      <c r="A285" s="51">
        <v>45628</v>
      </c>
      <c r="B285" s="57" t="s">
        <v>12</v>
      </c>
      <c r="C285" s="53">
        <v>50008</v>
      </c>
      <c r="D285" s="61">
        <v>4.82</v>
      </c>
      <c r="E285" s="62"/>
      <c r="F285" s="61">
        <f t="shared" si="4"/>
        <v>-4.82</v>
      </c>
      <c r="G285" s="13">
        <v>12</v>
      </c>
    </row>
    <row r="286" spans="1:7" x14ac:dyDescent="0.2">
      <c r="A286" s="51">
        <v>45628</v>
      </c>
      <c r="B286" s="57" t="s">
        <v>12</v>
      </c>
      <c r="C286" s="53">
        <v>50008</v>
      </c>
      <c r="D286" s="61">
        <v>0.69</v>
      </c>
      <c r="E286" s="62"/>
      <c r="F286" s="61">
        <f t="shared" si="4"/>
        <v>-0.69</v>
      </c>
      <c r="G286" s="13">
        <v>13</v>
      </c>
    </row>
    <row r="287" spans="1:7" x14ac:dyDescent="0.2">
      <c r="A287" s="51">
        <v>45629</v>
      </c>
      <c r="B287" s="57" t="s">
        <v>11</v>
      </c>
      <c r="C287" s="53">
        <v>50019</v>
      </c>
      <c r="D287" s="61">
        <v>20000000</v>
      </c>
      <c r="E287" s="62"/>
      <c r="F287" s="61">
        <f t="shared" si="4"/>
        <v>-20000000</v>
      </c>
      <c r="G287" s="13">
        <v>14</v>
      </c>
    </row>
    <row r="288" spans="1:7" x14ac:dyDescent="0.2">
      <c r="A288" s="51">
        <v>45629</v>
      </c>
      <c r="B288" s="57" t="s">
        <v>11</v>
      </c>
      <c r="C288" s="53">
        <v>50020</v>
      </c>
      <c r="D288" s="61">
        <v>20000000</v>
      </c>
      <c r="E288" s="62"/>
      <c r="F288" s="61">
        <f t="shared" si="4"/>
        <v>-20000000</v>
      </c>
      <c r="G288" s="13">
        <v>15</v>
      </c>
    </row>
    <row r="289" spans="1:7" x14ac:dyDescent="0.2">
      <c r="A289" s="51">
        <v>45629</v>
      </c>
      <c r="B289" s="57" t="s">
        <v>11</v>
      </c>
      <c r="C289" s="53">
        <v>50021</v>
      </c>
      <c r="D289" s="61">
        <v>20000000</v>
      </c>
      <c r="E289" s="62"/>
      <c r="F289" s="61">
        <f t="shared" si="4"/>
        <v>-20000000</v>
      </c>
      <c r="G289" s="13">
        <v>16</v>
      </c>
    </row>
    <row r="290" spans="1:7" x14ac:dyDescent="0.2">
      <c r="A290" s="51">
        <v>45629</v>
      </c>
      <c r="B290" s="57" t="s">
        <v>11</v>
      </c>
      <c r="C290" s="53">
        <v>50022</v>
      </c>
      <c r="D290" s="61">
        <v>20000000</v>
      </c>
      <c r="E290" s="62"/>
      <c r="F290" s="61">
        <f t="shared" si="4"/>
        <v>-20000000</v>
      </c>
      <c r="G290" s="13">
        <v>17</v>
      </c>
    </row>
    <row r="291" spans="1:7" x14ac:dyDescent="0.2">
      <c r="A291" s="51">
        <v>45629</v>
      </c>
      <c r="B291" s="57" t="s">
        <v>11</v>
      </c>
      <c r="C291" s="53">
        <v>50023</v>
      </c>
      <c r="D291" s="61">
        <v>20000000</v>
      </c>
      <c r="E291" s="62"/>
      <c r="F291" s="61">
        <f t="shared" si="4"/>
        <v>-20000000</v>
      </c>
      <c r="G291" s="13">
        <v>18</v>
      </c>
    </row>
    <row r="292" spans="1:7" x14ac:dyDescent="0.2">
      <c r="A292" s="51">
        <v>45630</v>
      </c>
      <c r="B292" s="57" t="s">
        <v>9</v>
      </c>
      <c r="C292" s="53">
        <v>50046</v>
      </c>
      <c r="D292" s="61">
        <v>956</v>
      </c>
      <c r="E292" s="62"/>
      <c r="F292" s="61">
        <f t="shared" si="4"/>
        <v>-956</v>
      </c>
      <c r="G292" s="13">
        <v>19</v>
      </c>
    </row>
    <row r="293" spans="1:7" x14ac:dyDescent="0.2">
      <c r="A293" s="51">
        <v>45630</v>
      </c>
      <c r="B293" s="57" t="s">
        <v>9</v>
      </c>
      <c r="C293" s="53">
        <v>50047</v>
      </c>
      <c r="D293" s="61">
        <v>956</v>
      </c>
      <c r="E293" s="62"/>
      <c r="F293" s="61">
        <f t="shared" si="4"/>
        <v>-956</v>
      </c>
      <c r="G293" s="13">
        <v>20</v>
      </c>
    </row>
    <row r="294" spans="1:7" x14ac:dyDescent="0.2">
      <c r="A294" s="51">
        <v>45630</v>
      </c>
      <c r="B294" s="57" t="s">
        <v>9</v>
      </c>
      <c r="C294" s="53">
        <v>50048</v>
      </c>
      <c r="D294" s="61">
        <v>956</v>
      </c>
      <c r="E294" s="62"/>
      <c r="F294" s="61">
        <f t="shared" si="4"/>
        <v>-956</v>
      </c>
      <c r="G294" s="13">
        <v>21</v>
      </c>
    </row>
    <row r="295" spans="1:7" x14ac:dyDescent="0.2">
      <c r="A295" s="51">
        <v>45630</v>
      </c>
      <c r="B295" s="57" t="s">
        <v>9</v>
      </c>
      <c r="C295" s="53">
        <v>50049</v>
      </c>
      <c r="D295" s="61">
        <v>956</v>
      </c>
      <c r="E295" s="62"/>
      <c r="F295" s="61">
        <f t="shared" si="4"/>
        <v>-956</v>
      </c>
      <c r="G295" s="13">
        <v>22</v>
      </c>
    </row>
    <row r="296" spans="1:7" x14ac:dyDescent="0.2">
      <c r="A296" s="51">
        <v>45630</v>
      </c>
      <c r="B296" s="57" t="s">
        <v>9</v>
      </c>
      <c r="C296" s="53">
        <v>50050</v>
      </c>
      <c r="D296" s="61">
        <v>956</v>
      </c>
      <c r="E296" s="62"/>
      <c r="F296" s="61">
        <f t="shared" si="4"/>
        <v>-956</v>
      </c>
      <c r="G296" s="13">
        <v>23</v>
      </c>
    </row>
    <row r="297" spans="1:7" x14ac:dyDescent="0.2">
      <c r="A297" s="51">
        <v>45630</v>
      </c>
      <c r="B297" s="57" t="s">
        <v>15</v>
      </c>
      <c r="C297" s="53">
        <v>50051</v>
      </c>
      <c r="D297" s="61">
        <v>1003.8</v>
      </c>
      <c r="E297" s="62"/>
      <c r="F297" s="61">
        <f t="shared" si="4"/>
        <v>-1003.8</v>
      </c>
      <c r="G297" s="13">
        <v>24</v>
      </c>
    </row>
    <row r="298" spans="1:7" x14ac:dyDescent="0.2">
      <c r="A298" s="51">
        <v>45630</v>
      </c>
      <c r="B298" s="57" t="s">
        <v>18</v>
      </c>
      <c r="C298" s="53">
        <v>50051</v>
      </c>
      <c r="D298" s="61">
        <v>143.4</v>
      </c>
      <c r="E298" s="62"/>
      <c r="F298" s="61">
        <f t="shared" si="4"/>
        <v>-143.4</v>
      </c>
      <c r="G298" s="13">
        <v>25</v>
      </c>
    </row>
    <row r="299" spans="1:7" x14ac:dyDescent="0.2">
      <c r="A299" s="51">
        <v>45630</v>
      </c>
      <c r="B299" s="57" t="s">
        <v>12</v>
      </c>
      <c r="C299" s="53">
        <v>50046</v>
      </c>
      <c r="D299" s="61">
        <v>5.74</v>
      </c>
      <c r="E299" s="62"/>
      <c r="F299" s="61">
        <f t="shared" si="4"/>
        <v>-5.74</v>
      </c>
      <c r="G299" s="13">
        <v>26</v>
      </c>
    </row>
    <row r="300" spans="1:7" x14ac:dyDescent="0.2">
      <c r="A300" s="51">
        <v>45630</v>
      </c>
      <c r="B300" s="57" t="s">
        <v>12</v>
      </c>
      <c r="C300" s="53">
        <v>50047</v>
      </c>
      <c r="D300" s="61">
        <v>5.74</v>
      </c>
      <c r="E300" s="62"/>
      <c r="F300" s="61">
        <f t="shared" si="4"/>
        <v>-5.74</v>
      </c>
      <c r="G300" s="13">
        <v>27</v>
      </c>
    </row>
    <row r="301" spans="1:7" x14ac:dyDescent="0.2">
      <c r="A301" s="51">
        <v>45630</v>
      </c>
      <c r="B301" s="57" t="s">
        <v>12</v>
      </c>
      <c r="C301" s="53">
        <v>50048</v>
      </c>
      <c r="D301" s="61">
        <v>5.74</v>
      </c>
      <c r="E301" s="62"/>
      <c r="F301" s="61">
        <f t="shared" si="4"/>
        <v>-5.74</v>
      </c>
      <c r="G301" s="13">
        <v>28</v>
      </c>
    </row>
    <row r="302" spans="1:7" x14ac:dyDescent="0.2">
      <c r="A302" s="51">
        <v>45630</v>
      </c>
      <c r="B302" s="57" t="s">
        <v>12</v>
      </c>
      <c r="C302" s="53">
        <v>50049</v>
      </c>
      <c r="D302" s="61">
        <v>5.74</v>
      </c>
      <c r="E302" s="62"/>
      <c r="F302" s="61">
        <f t="shared" si="4"/>
        <v>-5.74</v>
      </c>
      <c r="G302" s="13">
        <v>29</v>
      </c>
    </row>
    <row r="303" spans="1:7" x14ac:dyDescent="0.2">
      <c r="A303" s="51">
        <v>45630</v>
      </c>
      <c r="B303" s="57" t="s">
        <v>12</v>
      </c>
      <c r="C303" s="53">
        <v>50050</v>
      </c>
      <c r="D303" s="61">
        <v>5.74</v>
      </c>
      <c r="E303" s="62"/>
      <c r="F303" s="61">
        <f t="shared" si="4"/>
        <v>-5.74</v>
      </c>
      <c r="G303" s="13">
        <v>30</v>
      </c>
    </row>
    <row r="304" spans="1:7" x14ac:dyDescent="0.2">
      <c r="A304" s="51">
        <v>45630</v>
      </c>
      <c r="B304" s="57" t="s">
        <v>12</v>
      </c>
      <c r="C304" s="53">
        <v>50051</v>
      </c>
      <c r="D304" s="61">
        <v>6.02</v>
      </c>
      <c r="E304" s="62"/>
      <c r="F304" s="61">
        <f t="shared" si="4"/>
        <v>-6.02</v>
      </c>
      <c r="G304" s="13">
        <v>31</v>
      </c>
    </row>
    <row r="305" spans="1:7" x14ac:dyDescent="0.2">
      <c r="A305" s="51">
        <v>45630</v>
      </c>
      <c r="B305" s="57" t="s">
        <v>12</v>
      </c>
      <c r="C305" s="53">
        <v>50051</v>
      </c>
      <c r="D305" s="61">
        <v>0.86</v>
      </c>
      <c r="E305" s="62"/>
      <c r="F305" s="61">
        <f t="shared" si="4"/>
        <v>-0.86</v>
      </c>
      <c r="G305" s="13">
        <v>32</v>
      </c>
    </row>
    <row r="306" spans="1:7" x14ac:dyDescent="0.2">
      <c r="A306" s="51">
        <v>45638</v>
      </c>
      <c r="B306" s="57" t="s">
        <v>7</v>
      </c>
      <c r="C306" s="53">
        <v>7687244</v>
      </c>
      <c r="D306" s="62"/>
      <c r="E306" s="61">
        <v>387442610.29000002</v>
      </c>
      <c r="F306" s="61">
        <f t="shared" si="4"/>
        <v>387442610.29000002</v>
      </c>
      <c r="G306" s="13">
        <v>33</v>
      </c>
    </row>
    <row r="307" spans="1:7" x14ac:dyDescent="0.2">
      <c r="A307" s="51">
        <v>45638</v>
      </c>
      <c r="B307" s="57" t="s">
        <v>14</v>
      </c>
      <c r="C307" s="53">
        <v>7687244</v>
      </c>
      <c r="D307" s="61">
        <v>2324655.66</v>
      </c>
      <c r="E307" s="62"/>
      <c r="F307" s="61">
        <f t="shared" si="4"/>
        <v>-2324655.66</v>
      </c>
      <c r="G307" s="13">
        <v>34</v>
      </c>
    </row>
    <row r="308" spans="1:7" x14ac:dyDescent="0.2">
      <c r="A308" s="51">
        <v>45639</v>
      </c>
      <c r="B308" s="57" t="s">
        <v>11</v>
      </c>
      <c r="C308" s="53">
        <v>50068</v>
      </c>
      <c r="D308" s="61">
        <v>20000000</v>
      </c>
      <c r="E308" s="62"/>
      <c r="F308" s="61">
        <f t="shared" si="4"/>
        <v>-20000000</v>
      </c>
      <c r="G308" s="13">
        <v>35</v>
      </c>
    </row>
    <row r="309" spans="1:7" x14ac:dyDescent="0.2">
      <c r="A309" s="51">
        <v>45639</v>
      </c>
      <c r="B309" s="57" t="s">
        <v>11</v>
      </c>
      <c r="C309" s="53">
        <v>50069</v>
      </c>
      <c r="D309" s="61">
        <v>20000000</v>
      </c>
      <c r="E309" s="62"/>
      <c r="F309" s="61">
        <f t="shared" si="4"/>
        <v>-20000000</v>
      </c>
      <c r="G309" s="13">
        <v>36</v>
      </c>
    </row>
    <row r="310" spans="1:7" x14ac:dyDescent="0.2">
      <c r="A310" s="51">
        <v>45639</v>
      </c>
      <c r="B310" s="57" t="s">
        <v>11</v>
      </c>
      <c r="C310" s="53">
        <v>50070</v>
      </c>
      <c r="D310" s="61">
        <v>20000000</v>
      </c>
      <c r="E310" s="62"/>
      <c r="F310" s="61">
        <f t="shared" si="4"/>
        <v>-20000000</v>
      </c>
      <c r="G310" s="13">
        <v>37</v>
      </c>
    </row>
    <row r="311" spans="1:7" x14ac:dyDescent="0.2">
      <c r="A311" s="51">
        <v>45639</v>
      </c>
      <c r="B311" s="57" t="s">
        <v>11</v>
      </c>
      <c r="C311" s="53">
        <v>50071</v>
      </c>
      <c r="D311" s="61">
        <v>20000000</v>
      </c>
      <c r="E311" s="62"/>
      <c r="F311" s="61">
        <f t="shared" si="4"/>
        <v>-20000000</v>
      </c>
      <c r="G311" s="13">
        <v>38</v>
      </c>
    </row>
    <row r="312" spans="1:7" x14ac:dyDescent="0.2">
      <c r="A312" s="51">
        <v>45642</v>
      </c>
      <c r="B312" s="57" t="s">
        <v>9</v>
      </c>
      <c r="C312" s="53">
        <v>50072</v>
      </c>
      <c r="D312" s="61">
        <v>956</v>
      </c>
      <c r="E312" s="62"/>
      <c r="F312" s="61">
        <f t="shared" si="4"/>
        <v>-956</v>
      </c>
      <c r="G312" s="13">
        <v>39</v>
      </c>
    </row>
    <row r="313" spans="1:7" x14ac:dyDescent="0.2">
      <c r="A313" s="51">
        <v>45642</v>
      </c>
      <c r="B313" s="57" t="s">
        <v>9</v>
      </c>
      <c r="C313" s="53">
        <v>50073</v>
      </c>
      <c r="D313" s="61">
        <v>956</v>
      </c>
      <c r="E313" s="62"/>
      <c r="F313" s="61">
        <f t="shared" si="4"/>
        <v>-956</v>
      </c>
      <c r="G313" s="13">
        <v>40</v>
      </c>
    </row>
    <row r="314" spans="1:7" x14ac:dyDescent="0.2">
      <c r="A314" s="51">
        <v>45642</v>
      </c>
      <c r="B314" s="57" t="s">
        <v>9</v>
      </c>
      <c r="C314" s="53">
        <v>50074</v>
      </c>
      <c r="D314" s="61">
        <v>956</v>
      </c>
      <c r="E314" s="62"/>
      <c r="F314" s="61">
        <f t="shared" si="4"/>
        <v>-956</v>
      </c>
      <c r="G314" s="13">
        <v>41</v>
      </c>
    </row>
    <row r="315" spans="1:7" x14ac:dyDescent="0.2">
      <c r="A315" s="54">
        <v>45642</v>
      </c>
      <c r="B315" s="57" t="s">
        <v>9</v>
      </c>
      <c r="C315" s="53">
        <v>50075</v>
      </c>
      <c r="D315" s="61">
        <v>956</v>
      </c>
      <c r="E315" s="62"/>
      <c r="F315" s="61">
        <f t="shared" si="4"/>
        <v>-956</v>
      </c>
      <c r="G315" s="13">
        <v>42</v>
      </c>
    </row>
    <row r="316" spans="1:7" x14ac:dyDescent="0.2">
      <c r="A316" s="54">
        <v>45642</v>
      </c>
      <c r="B316" s="57" t="s">
        <v>15</v>
      </c>
      <c r="C316" s="53">
        <v>50076</v>
      </c>
      <c r="D316" s="61">
        <v>803.04</v>
      </c>
      <c r="E316" s="62"/>
      <c r="F316" s="61">
        <f t="shared" si="4"/>
        <v>-803.04</v>
      </c>
      <c r="G316" s="13">
        <v>43</v>
      </c>
    </row>
    <row r="317" spans="1:7" x14ac:dyDescent="0.2">
      <c r="A317" s="54">
        <v>45642</v>
      </c>
      <c r="B317" s="57" t="s">
        <v>18</v>
      </c>
      <c r="C317" s="53">
        <v>50076</v>
      </c>
      <c r="D317" s="61">
        <v>114.72</v>
      </c>
      <c r="E317" s="62"/>
      <c r="F317" s="61">
        <f t="shared" si="4"/>
        <v>-114.72</v>
      </c>
      <c r="G317" s="13">
        <v>44</v>
      </c>
    </row>
    <row r="318" spans="1:7" x14ac:dyDescent="0.2">
      <c r="A318" s="54">
        <v>45642</v>
      </c>
      <c r="B318" s="57" t="s">
        <v>12</v>
      </c>
      <c r="C318" s="53">
        <v>50072</v>
      </c>
      <c r="D318" s="61">
        <v>5.74</v>
      </c>
      <c r="E318" s="62"/>
      <c r="F318" s="61">
        <f t="shared" si="4"/>
        <v>-5.74</v>
      </c>
      <c r="G318" s="13">
        <v>45</v>
      </c>
    </row>
    <row r="319" spans="1:7" x14ac:dyDescent="0.2">
      <c r="A319" s="54">
        <v>45642</v>
      </c>
      <c r="B319" s="57" t="s">
        <v>12</v>
      </c>
      <c r="C319" s="53">
        <v>50073</v>
      </c>
      <c r="D319" s="61">
        <v>5.74</v>
      </c>
      <c r="E319" s="62"/>
      <c r="F319" s="61">
        <f t="shared" si="4"/>
        <v>-5.74</v>
      </c>
      <c r="G319" s="13">
        <v>46</v>
      </c>
    </row>
    <row r="320" spans="1:7" x14ac:dyDescent="0.2">
      <c r="A320" s="54">
        <v>45642</v>
      </c>
      <c r="B320" s="57" t="s">
        <v>12</v>
      </c>
      <c r="C320" s="53">
        <v>50074</v>
      </c>
      <c r="D320" s="61">
        <v>5.74</v>
      </c>
      <c r="E320" s="62"/>
      <c r="F320" s="61">
        <f t="shared" si="4"/>
        <v>-5.74</v>
      </c>
      <c r="G320" s="13">
        <v>47</v>
      </c>
    </row>
    <row r="321" spans="1:7" x14ac:dyDescent="0.2">
      <c r="A321" s="54">
        <v>45642</v>
      </c>
      <c r="B321" s="57" t="s">
        <v>12</v>
      </c>
      <c r="C321" s="53">
        <v>50075</v>
      </c>
      <c r="D321" s="61">
        <v>5.74</v>
      </c>
      <c r="E321" s="62"/>
      <c r="F321" s="61">
        <f t="shared" si="4"/>
        <v>-5.74</v>
      </c>
      <c r="G321" s="13">
        <v>48</v>
      </c>
    </row>
    <row r="322" spans="1:7" x14ac:dyDescent="0.2">
      <c r="A322" s="54">
        <v>45642</v>
      </c>
      <c r="B322" s="57" t="s">
        <v>12</v>
      </c>
      <c r="C322" s="53">
        <v>50076</v>
      </c>
      <c r="D322" s="61">
        <v>4.82</v>
      </c>
      <c r="E322" s="62"/>
      <c r="F322" s="61">
        <f t="shared" si="4"/>
        <v>-4.82</v>
      </c>
      <c r="G322" s="13">
        <v>49</v>
      </c>
    </row>
    <row r="323" spans="1:7" x14ac:dyDescent="0.2">
      <c r="A323" s="54">
        <v>45642</v>
      </c>
      <c r="B323" s="57" t="s">
        <v>12</v>
      </c>
      <c r="C323" s="53">
        <v>50076</v>
      </c>
      <c r="D323" s="61">
        <v>0.69</v>
      </c>
      <c r="E323" s="62"/>
      <c r="F323" s="61">
        <f t="shared" ref="F323:F386" si="5">+E323-D323</f>
        <v>-0.69</v>
      </c>
      <c r="G323" s="13">
        <v>50</v>
      </c>
    </row>
    <row r="324" spans="1:7" x14ac:dyDescent="0.2">
      <c r="A324" s="54">
        <v>45645</v>
      </c>
      <c r="B324" s="57" t="s">
        <v>11</v>
      </c>
      <c r="C324" s="53">
        <v>50139</v>
      </c>
      <c r="D324" s="61">
        <v>50000000</v>
      </c>
      <c r="E324" s="62"/>
      <c r="F324" s="61">
        <f t="shared" si="5"/>
        <v>-50000000</v>
      </c>
      <c r="G324" s="13">
        <v>51</v>
      </c>
    </row>
    <row r="325" spans="1:7" x14ac:dyDescent="0.2">
      <c r="A325" s="54">
        <v>45646</v>
      </c>
      <c r="B325" s="57" t="s">
        <v>16</v>
      </c>
      <c r="C325" s="53">
        <v>112947000</v>
      </c>
      <c r="D325" s="61">
        <v>1759481.13</v>
      </c>
      <c r="E325" s="61"/>
      <c r="F325" s="61">
        <f t="shared" si="5"/>
        <v>-1759481.13</v>
      </c>
      <c r="G325" s="13">
        <v>52</v>
      </c>
    </row>
    <row r="326" spans="1:7" x14ac:dyDescent="0.2">
      <c r="A326" s="54">
        <v>45646</v>
      </c>
      <c r="B326" s="57" t="s">
        <v>16</v>
      </c>
      <c r="C326" s="53">
        <v>112947000</v>
      </c>
      <c r="D326" s="61">
        <v>3104966.67</v>
      </c>
      <c r="E326" s="61"/>
      <c r="F326" s="61">
        <f t="shared" si="5"/>
        <v>-3104966.67</v>
      </c>
      <c r="G326" s="13">
        <v>53</v>
      </c>
    </row>
    <row r="327" spans="1:7" x14ac:dyDescent="0.2">
      <c r="A327" s="54">
        <v>45646</v>
      </c>
      <c r="B327" s="57" t="s">
        <v>16</v>
      </c>
      <c r="C327" s="53">
        <v>112947000</v>
      </c>
      <c r="D327" s="61">
        <v>6458958.4500000002</v>
      </c>
      <c r="E327" s="61"/>
      <c r="F327" s="61">
        <f t="shared" si="5"/>
        <v>-6458958.4500000002</v>
      </c>
      <c r="G327" s="13">
        <v>54</v>
      </c>
    </row>
    <row r="328" spans="1:7" x14ac:dyDescent="0.2">
      <c r="A328" s="54">
        <v>45646</v>
      </c>
      <c r="B328" s="57" t="s">
        <v>16</v>
      </c>
      <c r="C328" s="53">
        <v>112947000</v>
      </c>
      <c r="D328" s="61">
        <v>4018294.28</v>
      </c>
      <c r="E328" s="61"/>
      <c r="F328" s="61">
        <f t="shared" si="5"/>
        <v>-4018294.28</v>
      </c>
      <c r="G328" s="13">
        <v>55</v>
      </c>
    </row>
    <row r="329" spans="1:7" x14ac:dyDescent="0.2">
      <c r="A329" s="54">
        <v>45646</v>
      </c>
      <c r="B329" s="57" t="s">
        <v>16</v>
      </c>
      <c r="C329" s="53">
        <v>112947000</v>
      </c>
      <c r="D329" s="61">
        <v>16709.55</v>
      </c>
      <c r="E329" s="61"/>
      <c r="F329" s="61">
        <f t="shared" si="5"/>
        <v>-16709.55</v>
      </c>
      <c r="G329" s="13">
        <v>56</v>
      </c>
    </row>
    <row r="330" spans="1:7" x14ac:dyDescent="0.2">
      <c r="A330" s="54">
        <v>45646</v>
      </c>
      <c r="B330" s="57" t="s">
        <v>16</v>
      </c>
      <c r="C330" s="53">
        <v>112947000</v>
      </c>
      <c r="D330" s="61">
        <v>8025511.04</v>
      </c>
      <c r="E330" s="61"/>
      <c r="F330" s="61">
        <f t="shared" si="5"/>
        <v>-8025511.04</v>
      </c>
      <c r="G330" s="13">
        <v>57</v>
      </c>
    </row>
    <row r="331" spans="1:7" x14ac:dyDescent="0.2">
      <c r="A331" s="54">
        <v>45646</v>
      </c>
      <c r="B331" s="57" t="s">
        <v>12</v>
      </c>
      <c r="C331" s="53">
        <v>112947000</v>
      </c>
      <c r="D331" s="61">
        <v>10556.89</v>
      </c>
      <c r="E331" s="61"/>
      <c r="F331" s="61">
        <f t="shared" si="5"/>
        <v>-10556.89</v>
      </c>
      <c r="G331" s="13">
        <v>58</v>
      </c>
    </row>
    <row r="332" spans="1:7" x14ac:dyDescent="0.2">
      <c r="A332" s="54">
        <v>45646</v>
      </c>
      <c r="B332" s="57" t="s">
        <v>12</v>
      </c>
      <c r="C332" s="53">
        <v>112947000</v>
      </c>
      <c r="D332" s="61">
        <v>18629.8</v>
      </c>
      <c r="E332" s="61"/>
      <c r="F332" s="61">
        <f t="shared" si="5"/>
        <v>-18629.8</v>
      </c>
      <c r="G332" s="13">
        <v>59</v>
      </c>
    </row>
    <row r="333" spans="1:7" x14ac:dyDescent="0.2">
      <c r="A333" s="54">
        <v>45646</v>
      </c>
      <c r="B333" s="57" t="s">
        <v>12</v>
      </c>
      <c r="C333" s="53">
        <v>112947000</v>
      </c>
      <c r="D333" s="61">
        <v>38753.75</v>
      </c>
      <c r="E333" s="61"/>
      <c r="F333" s="61">
        <f t="shared" si="5"/>
        <v>-38753.75</v>
      </c>
      <c r="G333" s="13">
        <v>60</v>
      </c>
    </row>
    <row r="334" spans="1:7" x14ac:dyDescent="0.2">
      <c r="A334" s="54">
        <v>45646</v>
      </c>
      <c r="B334" s="57" t="s">
        <v>12</v>
      </c>
      <c r="C334" s="53">
        <v>112947000</v>
      </c>
      <c r="D334" s="61">
        <v>24109.77</v>
      </c>
      <c r="E334" s="61"/>
      <c r="F334" s="61">
        <f t="shared" si="5"/>
        <v>-24109.77</v>
      </c>
      <c r="G334" s="13">
        <v>61</v>
      </c>
    </row>
    <row r="335" spans="1:7" x14ac:dyDescent="0.2">
      <c r="A335" s="54">
        <v>45646</v>
      </c>
      <c r="B335" s="57" t="s">
        <v>12</v>
      </c>
      <c r="C335" s="53">
        <v>112947000</v>
      </c>
      <c r="D335" s="61">
        <v>100.26</v>
      </c>
      <c r="E335" s="61"/>
      <c r="F335" s="61">
        <f t="shared" si="5"/>
        <v>-100.26</v>
      </c>
      <c r="G335" s="13">
        <v>62</v>
      </c>
    </row>
    <row r="336" spans="1:7" x14ac:dyDescent="0.2">
      <c r="A336" s="54">
        <v>45646</v>
      </c>
      <c r="B336" s="57" t="s">
        <v>12</v>
      </c>
      <c r="C336" s="53">
        <v>112947000</v>
      </c>
      <c r="D336" s="61">
        <v>48153.07</v>
      </c>
      <c r="E336" s="61"/>
      <c r="F336" s="61">
        <f t="shared" si="5"/>
        <v>-48153.07</v>
      </c>
      <c r="G336" s="13">
        <v>63</v>
      </c>
    </row>
    <row r="337" spans="1:7" x14ac:dyDescent="0.2">
      <c r="A337" s="54">
        <v>45649</v>
      </c>
      <c r="B337" s="57" t="s">
        <v>11</v>
      </c>
      <c r="C337" s="53">
        <v>50169</v>
      </c>
      <c r="D337" s="61">
        <v>80000000</v>
      </c>
      <c r="E337" s="62"/>
      <c r="F337" s="61">
        <f t="shared" si="5"/>
        <v>-80000000</v>
      </c>
      <c r="G337" s="13">
        <v>64</v>
      </c>
    </row>
    <row r="338" spans="1:7" x14ac:dyDescent="0.2">
      <c r="A338" s="54">
        <v>45653</v>
      </c>
      <c r="B338" s="57" t="s">
        <v>10</v>
      </c>
      <c r="C338" s="53">
        <v>50176</v>
      </c>
      <c r="D338" s="61">
        <v>2500000</v>
      </c>
      <c r="E338" s="62"/>
      <c r="F338" s="61">
        <f t="shared" si="5"/>
        <v>-2500000</v>
      </c>
      <c r="G338" s="13">
        <v>65</v>
      </c>
    </row>
    <row r="339" spans="1:7" x14ac:dyDescent="0.2">
      <c r="A339" s="54">
        <v>45653</v>
      </c>
      <c r="B339" s="57" t="s">
        <v>8</v>
      </c>
      <c r="C339" s="53">
        <v>50179</v>
      </c>
      <c r="D339" s="61">
        <v>23400</v>
      </c>
      <c r="E339" s="62"/>
      <c r="F339" s="61">
        <f t="shared" si="5"/>
        <v>-23400</v>
      </c>
      <c r="G339" s="13">
        <v>66</v>
      </c>
    </row>
    <row r="340" spans="1:7" x14ac:dyDescent="0.2">
      <c r="A340" s="54">
        <v>45653</v>
      </c>
      <c r="B340" s="57" t="s">
        <v>15</v>
      </c>
      <c r="C340" s="53">
        <v>50180</v>
      </c>
      <c r="D340" s="61">
        <v>4914</v>
      </c>
      <c r="E340" s="62"/>
      <c r="F340" s="61">
        <f t="shared" si="5"/>
        <v>-4914</v>
      </c>
      <c r="G340" s="13">
        <v>67</v>
      </c>
    </row>
    <row r="341" spans="1:7" x14ac:dyDescent="0.2">
      <c r="A341" s="54">
        <v>45653</v>
      </c>
      <c r="B341" s="57" t="s">
        <v>18</v>
      </c>
      <c r="C341" s="53">
        <v>50180</v>
      </c>
      <c r="D341" s="61">
        <v>702</v>
      </c>
      <c r="E341" s="62"/>
      <c r="F341" s="61">
        <f t="shared" si="5"/>
        <v>-702</v>
      </c>
      <c r="G341" s="13">
        <v>68</v>
      </c>
    </row>
    <row r="342" spans="1:7" x14ac:dyDescent="0.2">
      <c r="A342" s="54">
        <v>45653</v>
      </c>
      <c r="B342" s="57" t="s">
        <v>12</v>
      </c>
      <c r="C342" s="53">
        <v>50176</v>
      </c>
      <c r="D342" s="61">
        <v>15000</v>
      </c>
      <c r="E342" s="62"/>
      <c r="F342" s="61">
        <f t="shared" si="5"/>
        <v>-15000</v>
      </c>
      <c r="G342" s="13">
        <v>69</v>
      </c>
    </row>
    <row r="343" spans="1:7" x14ac:dyDescent="0.2">
      <c r="A343" s="54">
        <v>45653</v>
      </c>
      <c r="B343" s="57" t="s">
        <v>12</v>
      </c>
      <c r="C343" s="53">
        <v>50179</v>
      </c>
      <c r="D343" s="61">
        <v>140.4</v>
      </c>
      <c r="E343" s="62"/>
      <c r="F343" s="61">
        <f t="shared" si="5"/>
        <v>-140.4</v>
      </c>
      <c r="G343" s="13">
        <v>70</v>
      </c>
    </row>
    <row r="344" spans="1:7" x14ac:dyDescent="0.2">
      <c r="A344" s="54">
        <v>45653</v>
      </c>
      <c r="B344" s="57" t="s">
        <v>13</v>
      </c>
      <c r="C344" s="53">
        <v>50179</v>
      </c>
      <c r="D344" s="61">
        <v>351</v>
      </c>
      <c r="E344" s="62"/>
      <c r="F344" s="61">
        <f t="shared" si="5"/>
        <v>-351</v>
      </c>
      <c r="G344" s="13">
        <v>71</v>
      </c>
    </row>
    <row r="345" spans="1:7" x14ac:dyDescent="0.2">
      <c r="A345" s="54">
        <v>45653</v>
      </c>
      <c r="B345" s="57" t="s">
        <v>12</v>
      </c>
      <c r="C345" s="53">
        <v>50180</v>
      </c>
      <c r="D345" s="61">
        <v>29.48</v>
      </c>
      <c r="E345" s="62"/>
      <c r="F345" s="61">
        <f t="shared" si="5"/>
        <v>-29.48</v>
      </c>
      <c r="G345" s="13">
        <v>72</v>
      </c>
    </row>
    <row r="346" spans="1:7" x14ac:dyDescent="0.2">
      <c r="A346" s="54">
        <v>45653</v>
      </c>
      <c r="B346" s="57" t="s">
        <v>12</v>
      </c>
      <c r="C346" s="53">
        <v>50180</v>
      </c>
      <c r="D346" s="61">
        <v>4.21</v>
      </c>
      <c r="E346" s="62"/>
      <c r="F346" s="61">
        <f t="shared" si="5"/>
        <v>-4.21</v>
      </c>
      <c r="G346" s="13">
        <v>73</v>
      </c>
    </row>
    <row r="347" spans="1:7" x14ac:dyDescent="0.2">
      <c r="A347" s="54">
        <v>45653</v>
      </c>
      <c r="B347" s="57" t="s">
        <v>12</v>
      </c>
      <c r="C347" s="53">
        <v>50179</v>
      </c>
      <c r="D347" s="61">
        <v>2.11</v>
      </c>
      <c r="E347" s="62"/>
      <c r="F347" s="61">
        <f t="shared" si="5"/>
        <v>-2.11</v>
      </c>
      <c r="G347" s="13">
        <v>74</v>
      </c>
    </row>
    <row r="348" spans="1:7" x14ac:dyDescent="0.2">
      <c r="A348" s="51">
        <v>45659</v>
      </c>
      <c r="B348" s="52" t="s">
        <v>11</v>
      </c>
      <c r="C348" s="53">
        <v>50203</v>
      </c>
      <c r="D348" s="61">
        <v>100000000</v>
      </c>
      <c r="E348" s="62"/>
      <c r="F348" s="61">
        <f t="shared" si="5"/>
        <v>-100000000</v>
      </c>
      <c r="G348" s="15">
        <v>2</v>
      </c>
    </row>
    <row r="349" spans="1:7" x14ac:dyDescent="0.2">
      <c r="A349" s="51">
        <v>45660</v>
      </c>
      <c r="B349" s="52" t="s">
        <v>9</v>
      </c>
      <c r="C349" s="53">
        <v>50213</v>
      </c>
      <c r="D349" s="61">
        <v>956</v>
      </c>
      <c r="E349" s="62"/>
      <c r="F349" s="61">
        <f t="shared" si="5"/>
        <v>-956</v>
      </c>
      <c r="G349" s="15">
        <v>3</v>
      </c>
    </row>
    <row r="350" spans="1:7" x14ac:dyDescent="0.2">
      <c r="A350" s="51">
        <v>45660</v>
      </c>
      <c r="B350" s="52" t="s">
        <v>15</v>
      </c>
      <c r="C350" s="53">
        <v>50214</v>
      </c>
      <c r="D350" s="61">
        <v>200.76</v>
      </c>
      <c r="E350" s="62"/>
      <c r="F350" s="61">
        <f t="shared" si="5"/>
        <v>-200.76</v>
      </c>
      <c r="G350" s="15">
        <v>4</v>
      </c>
    </row>
    <row r="351" spans="1:7" x14ac:dyDescent="0.2">
      <c r="A351" s="51">
        <v>45660</v>
      </c>
      <c r="B351" s="52" t="s">
        <v>12</v>
      </c>
      <c r="C351" s="53">
        <v>50213</v>
      </c>
      <c r="D351" s="61">
        <v>5.74</v>
      </c>
      <c r="E351" s="62"/>
      <c r="F351" s="61">
        <f t="shared" si="5"/>
        <v>-5.74</v>
      </c>
      <c r="G351" s="15">
        <v>5</v>
      </c>
    </row>
    <row r="352" spans="1:7" x14ac:dyDescent="0.2">
      <c r="A352" s="51">
        <v>45660</v>
      </c>
      <c r="B352" s="52" t="s">
        <v>12</v>
      </c>
      <c r="C352" s="53">
        <v>50214</v>
      </c>
      <c r="D352" s="61">
        <v>1.2</v>
      </c>
      <c r="E352" s="62"/>
      <c r="F352" s="61">
        <f t="shared" si="5"/>
        <v>-1.2</v>
      </c>
      <c r="G352" s="15">
        <v>6</v>
      </c>
    </row>
    <row r="353" spans="1:7" x14ac:dyDescent="0.2">
      <c r="A353" s="51">
        <v>45663</v>
      </c>
      <c r="B353" s="52" t="s">
        <v>11</v>
      </c>
      <c r="C353" s="53">
        <v>50219</v>
      </c>
      <c r="D353" s="61">
        <v>10000000</v>
      </c>
      <c r="E353" s="62"/>
      <c r="F353" s="61">
        <f t="shared" si="5"/>
        <v>-10000000</v>
      </c>
      <c r="G353" s="15">
        <v>7</v>
      </c>
    </row>
    <row r="354" spans="1:7" x14ac:dyDescent="0.2">
      <c r="A354" s="51">
        <v>45663</v>
      </c>
      <c r="B354" s="52" t="s">
        <v>11</v>
      </c>
      <c r="C354" s="53">
        <v>50224</v>
      </c>
      <c r="D354" s="61">
        <v>30000000</v>
      </c>
      <c r="E354" s="62"/>
      <c r="F354" s="61">
        <f t="shared" si="5"/>
        <v>-30000000</v>
      </c>
      <c r="G354" s="15">
        <v>8</v>
      </c>
    </row>
    <row r="355" spans="1:7" x14ac:dyDescent="0.2">
      <c r="A355" s="51">
        <v>45663</v>
      </c>
      <c r="B355" s="52" t="s">
        <v>9</v>
      </c>
      <c r="C355" s="53">
        <v>50230</v>
      </c>
      <c r="D355" s="61">
        <v>956</v>
      </c>
      <c r="E355" s="62"/>
      <c r="F355" s="61">
        <f t="shared" si="5"/>
        <v>-956</v>
      </c>
      <c r="G355" s="15">
        <v>9</v>
      </c>
    </row>
    <row r="356" spans="1:7" x14ac:dyDescent="0.2">
      <c r="A356" s="51">
        <v>45663</v>
      </c>
      <c r="B356" s="52" t="s">
        <v>15</v>
      </c>
      <c r="C356" s="53">
        <v>50231</v>
      </c>
      <c r="D356" s="61">
        <v>200.76</v>
      </c>
      <c r="E356" s="62"/>
      <c r="F356" s="61">
        <f t="shared" si="5"/>
        <v>-200.76</v>
      </c>
      <c r="G356" s="15">
        <v>10</v>
      </c>
    </row>
    <row r="357" spans="1:7" x14ac:dyDescent="0.2">
      <c r="A357" s="51">
        <v>45663</v>
      </c>
      <c r="B357" s="52" t="s">
        <v>12</v>
      </c>
      <c r="C357" s="53">
        <v>50230</v>
      </c>
      <c r="D357" s="61">
        <v>5.74</v>
      </c>
      <c r="E357" s="62"/>
      <c r="F357" s="61">
        <f t="shared" si="5"/>
        <v>-5.74</v>
      </c>
      <c r="G357" s="15">
        <v>11</v>
      </c>
    </row>
    <row r="358" spans="1:7" x14ac:dyDescent="0.2">
      <c r="A358" s="51">
        <v>45663</v>
      </c>
      <c r="B358" s="52" t="s">
        <v>12</v>
      </c>
      <c r="C358" s="53">
        <v>50231</v>
      </c>
      <c r="D358" s="61">
        <v>1.2</v>
      </c>
      <c r="E358" s="62"/>
      <c r="F358" s="61">
        <f t="shared" si="5"/>
        <v>-1.2</v>
      </c>
      <c r="G358" s="15">
        <v>12</v>
      </c>
    </row>
    <row r="359" spans="1:7" x14ac:dyDescent="0.2">
      <c r="A359" s="51">
        <v>45664</v>
      </c>
      <c r="B359" s="52" t="s">
        <v>9</v>
      </c>
      <c r="C359" s="53">
        <v>50234</v>
      </c>
      <c r="D359" s="61">
        <v>956</v>
      </c>
      <c r="E359" s="62"/>
      <c r="F359" s="61">
        <f t="shared" si="5"/>
        <v>-956</v>
      </c>
      <c r="G359" s="15">
        <v>13</v>
      </c>
    </row>
    <row r="360" spans="1:7" x14ac:dyDescent="0.2">
      <c r="A360" s="51">
        <v>45664</v>
      </c>
      <c r="B360" s="52" t="s">
        <v>15</v>
      </c>
      <c r="C360" s="53">
        <v>50235</v>
      </c>
      <c r="D360" s="61">
        <v>200.76</v>
      </c>
      <c r="E360" s="62"/>
      <c r="F360" s="61">
        <f t="shared" si="5"/>
        <v>-200.76</v>
      </c>
      <c r="G360" s="15">
        <v>14</v>
      </c>
    </row>
    <row r="361" spans="1:7" x14ac:dyDescent="0.2">
      <c r="A361" s="51">
        <v>45664</v>
      </c>
      <c r="B361" s="52" t="s">
        <v>12</v>
      </c>
      <c r="C361" s="53">
        <v>50234</v>
      </c>
      <c r="D361" s="61">
        <v>5.74</v>
      </c>
      <c r="E361" s="62"/>
      <c r="F361" s="61">
        <f t="shared" si="5"/>
        <v>-5.74</v>
      </c>
      <c r="G361" s="15">
        <v>15</v>
      </c>
    </row>
    <row r="362" spans="1:7" x14ac:dyDescent="0.2">
      <c r="A362" s="51">
        <v>45664</v>
      </c>
      <c r="B362" s="52" t="s">
        <v>12</v>
      </c>
      <c r="C362" s="53">
        <v>50235</v>
      </c>
      <c r="D362" s="61">
        <v>1.2</v>
      </c>
      <c r="E362" s="62"/>
      <c r="F362" s="61">
        <f t="shared" si="5"/>
        <v>-1.2</v>
      </c>
      <c r="G362" s="15">
        <v>16</v>
      </c>
    </row>
    <row r="363" spans="1:7" x14ac:dyDescent="0.2">
      <c r="A363" s="51">
        <v>45672</v>
      </c>
      <c r="B363" s="52" t="s">
        <v>7</v>
      </c>
      <c r="C363" s="53">
        <v>7883564</v>
      </c>
      <c r="D363" s="62"/>
      <c r="E363" s="61">
        <v>284337745.61000001</v>
      </c>
      <c r="F363" s="61">
        <f t="shared" si="5"/>
        <v>284337745.61000001</v>
      </c>
      <c r="G363" s="15">
        <v>17</v>
      </c>
    </row>
    <row r="364" spans="1:7" x14ac:dyDescent="0.2">
      <c r="A364" s="51">
        <v>45672</v>
      </c>
      <c r="B364" s="52" t="s">
        <v>14</v>
      </c>
      <c r="C364" s="53">
        <v>7883564</v>
      </c>
      <c r="D364" s="61">
        <v>1706026.47</v>
      </c>
      <c r="E364" s="62"/>
      <c r="F364" s="61">
        <f t="shared" si="5"/>
        <v>-1706026.47</v>
      </c>
      <c r="G364" s="15">
        <v>18</v>
      </c>
    </row>
    <row r="365" spans="1:7" x14ac:dyDescent="0.2">
      <c r="A365" s="51">
        <v>45672</v>
      </c>
      <c r="B365" s="52" t="s">
        <v>17</v>
      </c>
      <c r="C365" s="53">
        <v>7883564</v>
      </c>
      <c r="D365" s="61">
        <v>284337.75</v>
      </c>
      <c r="E365" s="62"/>
      <c r="F365" s="61">
        <f t="shared" si="5"/>
        <v>-284337.75</v>
      </c>
      <c r="G365" s="15">
        <v>19</v>
      </c>
    </row>
    <row r="366" spans="1:7" x14ac:dyDescent="0.2">
      <c r="A366" s="51">
        <v>45672</v>
      </c>
      <c r="B366" s="52" t="s">
        <v>12</v>
      </c>
      <c r="C366" s="53">
        <v>7883564</v>
      </c>
      <c r="D366" s="61">
        <v>1706.03</v>
      </c>
      <c r="E366" s="62"/>
      <c r="F366" s="61">
        <f t="shared" si="5"/>
        <v>-1706.03</v>
      </c>
      <c r="G366" s="15">
        <v>20</v>
      </c>
    </row>
    <row r="367" spans="1:7" x14ac:dyDescent="0.2">
      <c r="A367" s="51">
        <v>45673</v>
      </c>
      <c r="B367" s="52" t="s">
        <v>11</v>
      </c>
      <c r="C367" s="53">
        <v>50248</v>
      </c>
      <c r="D367" s="61">
        <v>40000000</v>
      </c>
      <c r="E367" s="62"/>
      <c r="F367" s="61">
        <f t="shared" si="5"/>
        <v>-40000000</v>
      </c>
      <c r="G367" s="15">
        <v>21</v>
      </c>
    </row>
    <row r="368" spans="1:7" x14ac:dyDescent="0.2">
      <c r="A368" s="51">
        <v>45673</v>
      </c>
      <c r="B368" s="52" t="s">
        <v>16</v>
      </c>
      <c r="C368" s="53">
        <v>112947000</v>
      </c>
      <c r="D368" s="61">
        <v>10025612.449999999</v>
      </c>
      <c r="E368" s="62"/>
      <c r="F368" s="61">
        <f t="shared" si="5"/>
        <v>-10025612.449999999</v>
      </c>
      <c r="G368" s="15">
        <v>22</v>
      </c>
    </row>
    <row r="369" spans="1:7" x14ac:dyDescent="0.2">
      <c r="A369" s="51">
        <v>45673</v>
      </c>
      <c r="B369" s="52" t="s">
        <v>16</v>
      </c>
      <c r="C369" s="53">
        <v>112947000</v>
      </c>
      <c r="D369" s="61">
        <v>6073378.1600000001</v>
      </c>
      <c r="E369" s="62"/>
      <c r="F369" s="61">
        <f t="shared" si="5"/>
        <v>-6073378.1600000001</v>
      </c>
      <c r="G369" s="15">
        <v>23</v>
      </c>
    </row>
    <row r="370" spans="1:7" x14ac:dyDescent="0.2">
      <c r="A370" s="51">
        <v>45673</v>
      </c>
      <c r="B370" s="52" t="s">
        <v>16</v>
      </c>
      <c r="C370" s="53">
        <v>112947000</v>
      </c>
      <c r="D370" s="61">
        <v>4787122.2699999996</v>
      </c>
      <c r="E370" s="62"/>
      <c r="F370" s="61">
        <f t="shared" si="5"/>
        <v>-4787122.2699999996</v>
      </c>
      <c r="G370" s="15">
        <v>24</v>
      </c>
    </row>
    <row r="371" spans="1:7" x14ac:dyDescent="0.2">
      <c r="A371" s="51">
        <v>45673</v>
      </c>
      <c r="B371" s="52" t="s">
        <v>16</v>
      </c>
      <c r="C371" s="53">
        <v>112947000</v>
      </c>
      <c r="D371" s="61">
        <v>16885.439999999999</v>
      </c>
      <c r="E371" s="62"/>
      <c r="F371" s="61">
        <f t="shared" si="5"/>
        <v>-16885.439999999999</v>
      </c>
      <c r="G371" s="15">
        <v>25</v>
      </c>
    </row>
    <row r="372" spans="1:7" x14ac:dyDescent="0.2">
      <c r="A372" s="51">
        <v>45673</v>
      </c>
      <c r="B372" s="52" t="s">
        <v>16</v>
      </c>
      <c r="C372" s="53">
        <v>112947000</v>
      </c>
      <c r="D372" s="61">
        <v>4905809.25</v>
      </c>
      <c r="E372" s="62"/>
      <c r="F372" s="61">
        <f t="shared" si="5"/>
        <v>-4905809.25</v>
      </c>
      <c r="G372" s="15">
        <v>26</v>
      </c>
    </row>
    <row r="373" spans="1:7" x14ac:dyDescent="0.2">
      <c r="A373" s="51">
        <v>45673</v>
      </c>
      <c r="B373" s="52" t="s">
        <v>16</v>
      </c>
      <c r="C373" s="53">
        <v>112947000</v>
      </c>
      <c r="D373" s="61">
        <v>2712702.6</v>
      </c>
      <c r="E373" s="62"/>
      <c r="F373" s="61">
        <f t="shared" si="5"/>
        <v>-2712702.6</v>
      </c>
      <c r="G373" s="15">
        <v>27</v>
      </c>
    </row>
    <row r="374" spans="1:7" x14ac:dyDescent="0.2">
      <c r="A374" s="51">
        <v>45673</v>
      </c>
      <c r="B374" s="52" t="s">
        <v>12</v>
      </c>
      <c r="C374" s="53">
        <v>112947000</v>
      </c>
      <c r="D374" s="61">
        <v>60153.67</v>
      </c>
      <c r="E374" s="62"/>
      <c r="F374" s="61">
        <f t="shared" si="5"/>
        <v>-60153.67</v>
      </c>
      <c r="G374" s="15">
        <v>28</v>
      </c>
    </row>
    <row r="375" spans="1:7" x14ac:dyDescent="0.2">
      <c r="A375" s="51">
        <v>45673</v>
      </c>
      <c r="B375" s="52" t="s">
        <v>12</v>
      </c>
      <c r="C375" s="53">
        <v>112947000</v>
      </c>
      <c r="D375" s="61">
        <v>36440.269999999997</v>
      </c>
      <c r="E375" s="62"/>
      <c r="F375" s="61">
        <f t="shared" si="5"/>
        <v>-36440.269999999997</v>
      </c>
      <c r="G375" s="15">
        <v>29</v>
      </c>
    </row>
    <row r="376" spans="1:7" x14ac:dyDescent="0.2">
      <c r="A376" s="51">
        <v>45673</v>
      </c>
      <c r="B376" s="52" t="s">
        <v>12</v>
      </c>
      <c r="C376" s="53">
        <v>112947000</v>
      </c>
      <c r="D376" s="61">
        <v>28722.73</v>
      </c>
      <c r="E376" s="62"/>
      <c r="F376" s="61">
        <f t="shared" si="5"/>
        <v>-28722.73</v>
      </c>
      <c r="G376" s="15">
        <v>30</v>
      </c>
    </row>
    <row r="377" spans="1:7" x14ac:dyDescent="0.2">
      <c r="A377" s="51">
        <v>45673</v>
      </c>
      <c r="B377" s="52" t="s">
        <v>12</v>
      </c>
      <c r="C377" s="53">
        <v>112947000</v>
      </c>
      <c r="D377" s="61">
        <v>101.31</v>
      </c>
      <c r="E377" s="62"/>
      <c r="F377" s="61">
        <f t="shared" si="5"/>
        <v>-101.31</v>
      </c>
      <c r="G377" s="15">
        <v>31</v>
      </c>
    </row>
    <row r="378" spans="1:7" x14ac:dyDescent="0.2">
      <c r="A378" s="51">
        <v>45673</v>
      </c>
      <c r="B378" s="52" t="s">
        <v>12</v>
      </c>
      <c r="C378" s="53">
        <v>112947000</v>
      </c>
      <c r="D378" s="61">
        <v>29434.86</v>
      </c>
      <c r="E378" s="62"/>
      <c r="F378" s="61">
        <f t="shared" si="5"/>
        <v>-29434.86</v>
      </c>
      <c r="G378" s="15">
        <v>32</v>
      </c>
    </row>
    <row r="379" spans="1:7" x14ac:dyDescent="0.2">
      <c r="A379" s="51">
        <v>45673</v>
      </c>
      <c r="B379" s="52" t="s">
        <v>12</v>
      </c>
      <c r="C379" s="53">
        <v>112947000</v>
      </c>
      <c r="D379" s="61">
        <v>16276.22</v>
      </c>
      <c r="E379" s="62"/>
      <c r="F379" s="61">
        <f t="shared" si="5"/>
        <v>-16276.22</v>
      </c>
      <c r="G379" s="15">
        <v>33</v>
      </c>
    </row>
    <row r="380" spans="1:7" x14ac:dyDescent="0.2">
      <c r="A380" s="51">
        <v>45674</v>
      </c>
      <c r="B380" s="52" t="s">
        <v>9</v>
      </c>
      <c r="C380" s="53">
        <v>50271</v>
      </c>
      <c r="D380" s="61">
        <v>956</v>
      </c>
      <c r="E380" s="62"/>
      <c r="F380" s="61">
        <f t="shared" si="5"/>
        <v>-956</v>
      </c>
      <c r="G380" s="15">
        <v>34</v>
      </c>
    </row>
    <row r="381" spans="1:7" x14ac:dyDescent="0.2">
      <c r="A381" s="51">
        <v>45674</v>
      </c>
      <c r="B381" s="52" t="s">
        <v>15</v>
      </c>
      <c r="C381" s="53">
        <v>50272</v>
      </c>
      <c r="D381" s="61">
        <v>200.76</v>
      </c>
      <c r="E381" s="62"/>
      <c r="F381" s="61">
        <f t="shared" si="5"/>
        <v>-200.76</v>
      </c>
      <c r="G381" s="15">
        <v>35</v>
      </c>
    </row>
    <row r="382" spans="1:7" x14ac:dyDescent="0.2">
      <c r="A382" s="51">
        <v>45674</v>
      </c>
      <c r="B382" s="52" t="s">
        <v>12</v>
      </c>
      <c r="C382" s="53">
        <v>50271</v>
      </c>
      <c r="D382" s="61">
        <v>5.74</v>
      </c>
      <c r="E382" s="62"/>
      <c r="F382" s="61">
        <f t="shared" si="5"/>
        <v>-5.74</v>
      </c>
      <c r="G382" s="15">
        <v>36</v>
      </c>
    </row>
    <row r="383" spans="1:7" x14ac:dyDescent="0.2">
      <c r="A383" s="51">
        <v>45674</v>
      </c>
      <c r="B383" s="52" t="s">
        <v>12</v>
      </c>
      <c r="C383" s="53">
        <v>50272</v>
      </c>
      <c r="D383" s="61">
        <v>1.2</v>
      </c>
      <c r="E383" s="62"/>
      <c r="F383" s="61">
        <f t="shared" si="5"/>
        <v>-1.2</v>
      </c>
      <c r="G383" s="15">
        <v>37</v>
      </c>
    </row>
    <row r="384" spans="1:7" x14ac:dyDescent="0.2">
      <c r="A384" s="51">
        <v>45677</v>
      </c>
      <c r="B384" s="52" t="s">
        <v>11</v>
      </c>
      <c r="C384" s="53">
        <v>50277</v>
      </c>
      <c r="D384" s="61">
        <v>100000000</v>
      </c>
      <c r="E384" s="62"/>
      <c r="F384" s="61">
        <f t="shared" si="5"/>
        <v>-100000000</v>
      </c>
      <c r="G384" s="15">
        <v>38</v>
      </c>
    </row>
    <row r="385" spans="1:7" x14ac:dyDescent="0.2">
      <c r="A385" s="51">
        <v>45678</v>
      </c>
      <c r="B385" s="52" t="s">
        <v>9</v>
      </c>
      <c r="C385" s="53">
        <v>50280</v>
      </c>
      <c r="D385" s="61">
        <v>956</v>
      </c>
      <c r="E385" s="62"/>
      <c r="F385" s="61">
        <f t="shared" si="5"/>
        <v>-956</v>
      </c>
      <c r="G385" s="15">
        <v>39</v>
      </c>
    </row>
    <row r="386" spans="1:7" x14ac:dyDescent="0.2">
      <c r="A386" s="51">
        <v>45678</v>
      </c>
      <c r="B386" s="52" t="s">
        <v>15</v>
      </c>
      <c r="C386" s="53">
        <v>50281</v>
      </c>
      <c r="D386" s="61">
        <v>200.76</v>
      </c>
      <c r="E386" s="62"/>
      <c r="F386" s="61">
        <f t="shared" si="5"/>
        <v>-200.76</v>
      </c>
      <c r="G386" s="15">
        <v>40</v>
      </c>
    </row>
    <row r="387" spans="1:7" x14ac:dyDescent="0.2">
      <c r="A387" s="51">
        <v>45678</v>
      </c>
      <c r="B387" s="52" t="s">
        <v>12</v>
      </c>
      <c r="C387" s="53">
        <v>50280</v>
      </c>
      <c r="D387" s="61">
        <v>5.74</v>
      </c>
      <c r="E387" s="62"/>
      <c r="F387" s="61">
        <f t="shared" ref="F387:F450" si="6">+E387-D387</f>
        <v>-5.74</v>
      </c>
      <c r="G387" s="15">
        <v>41</v>
      </c>
    </row>
    <row r="388" spans="1:7" x14ac:dyDescent="0.2">
      <c r="A388" s="54">
        <v>45678</v>
      </c>
      <c r="B388" s="52" t="s">
        <v>12</v>
      </c>
      <c r="C388" s="53">
        <v>50281</v>
      </c>
      <c r="D388" s="61">
        <v>1.2</v>
      </c>
      <c r="E388" s="62"/>
      <c r="F388" s="61">
        <f t="shared" si="6"/>
        <v>-1.2</v>
      </c>
      <c r="G388" s="15">
        <v>42</v>
      </c>
    </row>
    <row r="389" spans="1:7" x14ac:dyDescent="0.2">
      <c r="A389" s="54">
        <v>45681</v>
      </c>
      <c r="B389" s="52" t="s">
        <v>11</v>
      </c>
      <c r="C389" s="53">
        <v>50287</v>
      </c>
      <c r="D389" s="61">
        <v>100000000</v>
      </c>
      <c r="E389" s="62"/>
      <c r="F389" s="61">
        <f t="shared" si="6"/>
        <v>-100000000</v>
      </c>
      <c r="G389" s="15">
        <v>43</v>
      </c>
    </row>
    <row r="390" spans="1:7" x14ac:dyDescent="0.2">
      <c r="A390" s="54">
        <v>45684</v>
      </c>
      <c r="B390" s="52" t="s">
        <v>10</v>
      </c>
      <c r="C390" s="53">
        <v>50293</v>
      </c>
      <c r="D390" s="61">
        <v>2500000</v>
      </c>
      <c r="E390" s="62"/>
      <c r="F390" s="61">
        <f t="shared" si="6"/>
        <v>-2500000</v>
      </c>
      <c r="G390" s="15">
        <v>44</v>
      </c>
    </row>
    <row r="391" spans="1:7" x14ac:dyDescent="0.2">
      <c r="A391" s="54">
        <v>45684</v>
      </c>
      <c r="B391" s="52" t="s">
        <v>9</v>
      </c>
      <c r="C391" s="53">
        <v>50296</v>
      </c>
      <c r="D391" s="61">
        <v>956</v>
      </c>
      <c r="E391" s="62"/>
      <c r="F391" s="61">
        <f t="shared" si="6"/>
        <v>-956</v>
      </c>
      <c r="G391" s="15">
        <v>45</v>
      </c>
    </row>
    <row r="392" spans="1:7" x14ac:dyDescent="0.2">
      <c r="A392" s="54">
        <v>45684</v>
      </c>
      <c r="B392" s="52" t="s">
        <v>15</v>
      </c>
      <c r="C392" s="53">
        <v>50297</v>
      </c>
      <c r="D392" s="61">
        <v>200.76</v>
      </c>
      <c r="E392" s="62"/>
      <c r="F392" s="61">
        <f t="shared" si="6"/>
        <v>-200.76</v>
      </c>
      <c r="G392" s="15">
        <v>46</v>
      </c>
    </row>
    <row r="393" spans="1:7" x14ac:dyDescent="0.2">
      <c r="A393" s="54">
        <v>45684</v>
      </c>
      <c r="B393" s="52" t="s">
        <v>12</v>
      </c>
      <c r="C393" s="53">
        <v>50293</v>
      </c>
      <c r="D393" s="61">
        <v>15000</v>
      </c>
      <c r="E393" s="62"/>
      <c r="F393" s="61">
        <f t="shared" si="6"/>
        <v>-15000</v>
      </c>
      <c r="G393" s="15">
        <v>47</v>
      </c>
    </row>
    <row r="394" spans="1:7" x14ac:dyDescent="0.2">
      <c r="A394" s="54">
        <v>45684</v>
      </c>
      <c r="B394" s="52" t="s">
        <v>12</v>
      </c>
      <c r="C394" s="53">
        <v>50296</v>
      </c>
      <c r="D394" s="61">
        <v>5.74</v>
      </c>
      <c r="E394" s="62"/>
      <c r="F394" s="61">
        <f t="shared" si="6"/>
        <v>-5.74</v>
      </c>
      <c r="G394" s="15">
        <v>48</v>
      </c>
    </row>
    <row r="395" spans="1:7" x14ac:dyDescent="0.2">
      <c r="A395" s="54">
        <v>45684</v>
      </c>
      <c r="B395" s="52" t="s">
        <v>12</v>
      </c>
      <c r="C395" s="53">
        <v>50297</v>
      </c>
      <c r="D395" s="61">
        <v>1.2</v>
      </c>
      <c r="E395" s="62"/>
      <c r="F395" s="61">
        <f t="shared" si="6"/>
        <v>-1.2</v>
      </c>
      <c r="G395" s="15">
        <v>49</v>
      </c>
    </row>
    <row r="396" spans="1:7" x14ac:dyDescent="0.2">
      <c r="A396" s="54">
        <v>45685</v>
      </c>
      <c r="B396" s="52" t="s">
        <v>9</v>
      </c>
      <c r="C396" s="53">
        <v>50301</v>
      </c>
      <c r="D396" s="61">
        <v>956</v>
      </c>
      <c r="E396" s="62"/>
      <c r="F396" s="61">
        <f t="shared" si="6"/>
        <v>-956</v>
      </c>
      <c r="G396" s="15">
        <v>50</v>
      </c>
    </row>
    <row r="397" spans="1:7" x14ac:dyDescent="0.2">
      <c r="A397" s="54">
        <v>45685</v>
      </c>
      <c r="B397" s="52" t="s">
        <v>15</v>
      </c>
      <c r="C397" s="53">
        <v>50302</v>
      </c>
      <c r="D397" s="61">
        <v>200.76</v>
      </c>
      <c r="E397" s="62"/>
      <c r="F397" s="61">
        <f t="shared" si="6"/>
        <v>-200.76</v>
      </c>
      <c r="G397" s="15">
        <v>51</v>
      </c>
    </row>
    <row r="398" spans="1:7" x14ac:dyDescent="0.2">
      <c r="A398" s="54">
        <v>45685</v>
      </c>
      <c r="B398" s="52" t="s">
        <v>12</v>
      </c>
      <c r="C398" s="53">
        <v>50301</v>
      </c>
      <c r="D398" s="61">
        <v>5.74</v>
      </c>
      <c r="E398" s="62"/>
      <c r="F398" s="61">
        <f t="shared" si="6"/>
        <v>-5.74</v>
      </c>
      <c r="G398" s="15">
        <v>52</v>
      </c>
    </row>
    <row r="399" spans="1:7" x14ac:dyDescent="0.2">
      <c r="A399" s="54">
        <v>45685</v>
      </c>
      <c r="B399" s="52" t="s">
        <v>12</v>
      </c>
      <c r="C399" s="53">
        <v>50302</v>
      </c>
      <c r="D399" s="61">
        <v>1.2</v>
      </c>
      <c r="E399" s="62"/>
      <c r="F399" s="61">
        <f t="shared" si="6"/>
        <v>-1.2</v>
      </c>
      <c r="G399" s="15">
        <v>53</v>
      </c>
    </row>
    <row r="400" spans="1:7" x14ac:dyDescent="0.2">
      <c r="A400" s="54">
        <v>45686</v>
      </c>
      <c r="B400" s="52" t="s">
        <v>11</v>
      </c>
      <c r="C400" s="53">
        <v>50306</v>
      </c>
      <c r="D400" s="61">
        <v>20000000</v>
      </c>
      <c r="E400" s="62"/>
      <c r="F400" s="61">
        <f t="shared" si="6"/>
        <v>-20000000</v>
      </c>
      <c r="G400" s="15">
        <v>54</v>
      </c>
    </row>
    <row r="401" spans="1:7" x14ac:dyDescent="0.2">
      <c r="A401" s="54">
        <v>45687</v>
      </c>
      <c r="B401" s="52" t="s">
        <v>9</v>
      </c>
      <c r="C401" s="53">
        <v>50314</v>
      </c>
      <c r="D401" s="61">
        <v>956</v>
      </c>
      <c r="E401" s="62"/>
      <c r="F401" s="61">
        <f t="shared" si="6"/>
        <v>-956</v>
      </c>
      <c r="G401" s="15">
        <v>55</v>
      </c>
    </row>
    <row r="402" spans="1:7" x14ac:dyDescent="0.2">
      <c r="A402" s="54">
        <v>45687</v>
      </c>
      <c r="B402" s="52" t="s">
        <v>15</v>
      </c>
      <c r="C402" s="53">
        <v>50315</v>
      </c>
      <c r="D402" s="61">
        <v>200.76</v>
      </c>
      <c r="E402" s="62"/>
      <c r="F402" s="61">
        <f t="shared" si="6"/>
        <v>-200.76</v>
      </c>
      <c r="G402" s="15">
        <v>56</v>
      </c>
    </row>
    <row r="403" spans="1:7" x14ac:dyDescent="0.2">
      <c r="A403" s="54">
        <v>45687</v>
      </c>
      <c r="B403" s="52" t="s">
        <v>12</v>
      </c>
      <c r="C403" s="53">
        <v>50314</v>
      </c>
      <c r="D403" s="61">
        <v>5.74</v>
      </c>
      <c r="E403" s="62"/>
      <c r="F403" s="61">
        <f t="shared" si="6"/>
        <v>-5.74</v>
      </c>
      <c r="G403" s="15">
        <v>57</v>
      </c>
    </row>
    <row r="404" spans="1:7" x14ac:dyDescent="0.2">
      <c r="A404" s="54">
        <v>45687</v>
      </c>
      <c r="B404" s="52" t="s">
        <v>12</v>
      </c>
      <c r="C404" s="53">
        <v>50315</v>
      </c>
      <c r="D404" s="61">
        <v>1.2</v>
      </c>
      <c r="E404" s="62"/>
      <c r="F404" s="61">
        <f t="shared" si="6"/>
        <v>-1.2</v>
      </c>
      <c r="G404" s="15">
        <v>58</v>
      </c>
    </row>
    <row r="405" spans="1:7" x14ac:dyDescent="0.2">
      <c r="A405" s="54">
        <v>45688</v>
      </c>
      <c r="B405" s="52" t="s">
        <v>8</v>
      </c>
      <c r="C405" s="53">
        <v>50319</v>
      </c>
      <c r="D405" s="61">
        <v>23400</v>
      </c>
      <c r="E405" s="62"/>
      <c r="F405" s="61">
        <f t="shared" si="6"/>
        <v>-23400</v>
      </c>
      <c r="G405" s="15">
        <v>59</v>
      </c>
    </row>
    <row r="406" spans="1:7" x14ac:dyDescent="0.2">
      <c r="A406" s="54">
        <v>45688</v>
      </c>
      <c r="B406" s="52" t="s">
        <v>15</v>
      </c>
      <c r="C406" s="53">
        <v>50320</v>
      </c>
      <c r="D406" s="61">
        <v>4914</v>
      </c>
      <c r="E406" s="62"/>
      <c r="F406" s="61">
        <f t="shared" si="6"/>
        <v>-4914</v>
      </c>
      <c r="G406" s="15">
        <v>60</v>
      </c>
    </row>
    <row r="407" spans="1:7" x14ac:dyDescent="0.2">
      <c r="A407" s="54">
        <v>45688</v>
      </c>
      <c r="B407" s="52" t="s">
        <v>18</v>
      </c>
      <c r="C407" s="53">
        <v>50320</v>
      </c>
      <c r="D407" s="61">
        <v>702</v>
      </c>
      <c r="E407" s="62"/>
      <c r="F407" s="61">
        <f t="shared" si="6"/>
        <v>-702</v>
      </c>
      <c r="G407" s="15">
        <v>61</v>
      </c>
    </row>
    <row r="408" spans="1:7" x14ac:dyDescent="0.2">
      <c r="A408" s="54">
        <v>45688</v>
      </c>
      <c r="B408" s="52" t="s">
        <v>12</v>
      </c>
      <c r="C408" s="53">
        <v>50319</v>
      </c>
      <c r="D408" s="61">
        <v>140.4</v>
      </c>
      <c r="E408" s="62"/>
      <c r="F408" s="61">
        <f t="shared" si="6"/>
        <v>-140.4</v>
      </c>
      <c r="G408" s="15">
        <v>62</v>
      </c>
    </row>
    <row r="409" spans="1:7" x14ac:dyDescent="0.2">
      <c r="A409" s="54">
        <v>45688</v>
      </c>
      <c r="B409" s="52" t="s">
        <v>13</v>
      </c>
      <c r="C409" s="53">
        <v>50319</v>
      </c>
      <c r="D409" s="61">
        <v>351</v>
      </c>
      <c r="E409" s="62"/>
      <c r="F409" s="61">
        <f t="shared" si="6"/>
        <v>-351</v>
      </c>
      <c r="G409" s="15">
        <v>63</v>
      </c>
    </row>
    <row r="410" spans="1:7" x14ac:dyDescent="0.2">
      <c r="A410" s="54">
        <v>45688</v>
      </c>
      <c r="B410" s="52" t="s">
        <v>12</v>
      </c>
      <c r="C410" s="53">
        <v>50320</v>
      </c>
      <c r="D410" s="61">
        <v>29.48</v>
      </c>
      <c r="E410" s="62"/>
      <c r="F410" s="61">
        <f t="shared" si="6"/>
        <v>-29.48</v>
      </c>
      <c r="G410" s="15">
        <v>64</v>
      </c>
    </row>
    <row r="411" spans="1:7" x14ac:dyDescent="0.2">
      <c r="A411" s="54">
        <v>45688</v>
      </c>
      <c r="B411" s="52" t="s">
        <v>12</v>
      </c>
      <c r="C411" s="53">
        <v>50320</v>
      </c>
      <c r="D411" s="61">
        <v>4.21</v>
      </c>
      <c r="E411" s="62"/>
      <c r="F411" s="61">
        <f t="shared" si="6"/>
        <v>-4.21</v>
      </c>
      <c r="G411" s="15">
        <v>65</v>
      </c>
    </row>
    <row r="412" spans="1:7" x14ac:dyDescent="0.2">
      <c r="A412" s="54">
        <v>45688</v>
      </c>
      <c r="B412" s="52" t="s">
        <v>12</v>
      </c>
      <c r="C412" s="53">
        <v>50319</v>
      </c>
      <c r="D412" s="61">
        <v>2.11</v>
      </c>
      <c r="E412" s="62"/>
      <c r="F412" s="61">
        <f t="shared" si="6"/>
        <v>-2.11</v>
      </c>
      <c r="G412" s="15">
        <v>66</v>
      </c>
    </row>
    <row r="413" spans="1:7" x14ac:dyDescent="0.2">
      <c r="A413" s="51">
        <v>45702</v>
      </c>
      <c r="B413" s="52" t="s">
        <v>7</v>
      </c>
      <c r="C413" s="53">
        <v>7197083</v>
      </c>
      <c r="D413" s="62"/>
      <c r="E413" s="61">
        <v>303125301.74000001</v>
      </c>
      <c r="F413" s="61">
        <f t="shared" si="6"/>
        <v>303125301.74000001</v>
      </c>
      <c r="G413" s="13">
        <v>2</v>
      </c>
    </row>
    <row r="414" spans="1:7" x14ac:dyDescent="0.2">
      <c r="A414" s="51">
        <v>45702</v>
      </c>
      <c r="B414" s="52" t="s">
        <v>14</v>
      </c>
      <c r="C414" s="53">
        <v>7197083</v>
      </c>
      <c r="D414" s="61">
        <v>1818751.81</v>
      </c>
      <c r="E414" s="62"/>
      <c r="F414" s="61">
        <f t="shared" si="6"/>
        <v>-1818751.81</v>
      </c>
      <c r="G414" s="13">
        <v>3</v>
      </c>
    </row>
    <row r="415" spans="1:7" x14ac:dyDescent="0.2">
      <c r="A415" s="51">
        <v>45702</v>
      </c>
      <c r="B415" s="52" t="s">
        <v>17</v>
      </c>
      <c r="C415" s="53">
        <v>7197083</v>
      </c>
      <c r="D415" s="61">
        <v>303125.3</v>
      </c>
      <c r="E415" s="62"/>
      <c r="F415" s="61">
        <f t="shared" si="6"/>
        <v>-303125.3</v>
      </c>
      <c r="G415" s="13">
        <v>4</v>
      </c>
    </row>
    <row r="416" spans="1:7" x14ac:dyDescent="0.2">
      <c r="A416" s="51">
        <v>45702</v>
      </c>
      <c r="B416" s="52" t="s">
        <v>12</v>
      </c>
      <c r="C416" s="53">
        <v>7197083</v>
      </c>
      <c r="D416" s="61">
        <v>1818.75</v>
      </c>
      <c r="E416" s="62"/>
      <c r="F416" s="61">
        <f t="shared" si="6"/>
        <v>-1818.75</v>
      </c>
      <c r="G416" s="13">
        <v>5</v>
      </c>
    </row>
    <row r="417" spans="1:7" x14ac:dyDescent="0.2">
      <c r="A417" s="51">
        <v>45705</v>
      </c>
      <c r="B417" s="52" t="s">
        <v>11</v>
      </c>
      <c r="C417" s="53">
        <v>50343</v>
      </c>
      <c r="D417" s="61">
        <v>100000000</v>
      </c>
      <c r="E417" s="62"/>
      <c r="F417" s="61">
        <f t="shared" si="6"/>
        <v>-100000000</v>
      </c>
      <c r="G417" s="13">
        <v>6</v>
      </c>
    </row>
    <row r="418" spans="1:7" x14ac:dyDescent="0.2">
      <c r="A418" s="51">
        <v>45705</v>
      </c>
      <c r="B418" s="52" t="s">
        <v>16</v>
      </c>
      <c r="C418" s="53">
        <v>112947000</v>
      </c>
      <c r="D418" s="61">
        <v>1799004.14</v>
      </c>
      <c r="E418" s="62"/>
      <c r="F418" s="61">
        <f t="shared" si="6"/>
        <v>-1799004.14</v>
      </c>
      <c r="G418" s="13">
        <v>7</v>
      </c>
    </row>
    <row r="419" spans="1:7" x14ac:dyDescent="0.2">
      <c r="A419" s="51">
        <v>45705</v>
      </c>
      <c r="B419" s="52" t="s">
        <v>16</v>
      </c>
      <c r="C419" s="53">
        <v>112947000</v>
      </c>
      <c r="D419" s="61">
        <v>6599142.2400000002</v>
      </c>
      <c r="E419" s="62"/>
      <c r="F419" s="61">
        <f t="shared" si="6"/>
        <v>-6599142.2400000002</v>
      </c>
      <c r="G419" s="13">
        <v>8</v>
      </c>
    </row>
    <row r="420" spans="1:7" x14ac:dyDescent="0.2">
      <c r="A420" s="51">
        <v>45705</v>
      </c>
      <c r="B420" s="52" t="s">
        <v>16</v>
      </c>
      <c r="C420" s="53">
        <v>112947000</v>
      </c>
      <c r="D420" s="61">
        <v>3174713.2</v>
      </c>
      <c r="E420" s="62"/>
      <c r="F420" s="61">
        <f t="shared" si="6"/>
        <v>-3174713.2</v>
      </c>
      <c r="G420" s="13">
        <v>9</v>
      </c>
    </row>
    <row r="421" spans="1:7" x14ac:dyDescent="0.2">
      <c r="A421" s="51">
        <v>45705</v>
      </c>
      <c r="B421" s="52" t="s">
        <v>16</v>
      </c>
      <c r="C421" s="53">
        <v>112947000</v>
      </c>
      <c r="D421" s="61">
        <v>16709.55</v>
      </c>
      <c r="E421" s="62"/>
      <c r="F421" s="61">
        <f t="shared" si="6"/>
        <v>-16709.55</v>
      </c>
      <c r="G421" s="13">
        <v>10</v>
      </c>
    </row>
    <row r="422" spans="1:7" x14ac:dyDescent="0.2">
      <c r="A422" s="51">
        <v>45705</v>
      </c>
      <c r="B422" s="52" t="s">
        <v>16</v>
      </c>
      <c r="C422" s="53">
        <v>112947000</v>
      </c>
      <c r="D422" s="61">
        <v>2838800.56</v>
      </c>
      <c r="E422" s="62"/>
      <c r="F422" s="61">
        <f t="shared" si="6"/>
        <v>-2838800.56</v>
      </c>
      <c r="G422" s="13">
        <v>11</v>
      </c>
    </row>
    <row r="423" spans="1:7" x14ac:dyDescent="0.2">
      <c r="A423" s="51">
        <v>45705</v>
      </c>
      <c r="B423" s="52" t="s">
        <v>12</v>
      </c>
      <c r="C423" s="53">
        <v>112947000</v>
      </c>
      <c r="D423" s="61">
        <v>10794.02</v>
      </c>
      <c r="E423" s="62"/>
      <c r="F423" s="61">
        <f t="shared" si="6"/>
        <v>-10794.02</v>
      </c>
      <c r="G423" s="13">
        <v>12</v>
      </c>
    </row>
    <row r="424" spans="1:7" x14ac:dyDescent="0.2">
      <c r="A424" s="51">
        <v>45705</v>
      </c>
      <c r="B424" s="52" t="s">
        <v>12</v>
      </c>
      <c r="C424" s="53">
        <v>112947000</v>
      </c>
      <c r="D424" s="61">
        <v>39594.85</v>
      </c>
      <c r="E424" s="62"/>
      <c r="F424" s="61">
        <f t="shared" si="6"/>
        <v>-39594.85</v>
      </c>
      <c r="G424" s="13">
        <v>13</v>
      </c>
    </row>
    <row r="425" spans="1:7" x14ac:dyDescent="0.2">
      <c r="A425" s="51">
        <v>45705</v>
      </c>
      <c r="B425" s="52" t="s">
        <v>12</v>
      </c>
      <c r="C425" s="53">
        <v>112947000</v>
      </c>
      <c r="D425" s="61">
        <v>19048.28</v>
      </c>
      <c r="E425" s="62"/>
      <c r="F425" s="61">
        <f t="shared" si="6"/>
        <v>-19048.28</v>
      </c>
      <c r="G425" s="13">
        <v>14</v>
      </c>
    </row>
    <row r="426" spans="1:7" x14ac:dyDescent="0.2">
      <c r="A426" s="51">
        <v>45705</v>
      </c>
      <c r="B426" s="52" t="s">
        <v>12</v>
      </c>
      <c r="C426" s="53">
        <v>112947000</v>
      </c>
      <c r="D426" s="61">
        <v>100.26</v>
      </c>
      <c r="E426" s="62"/>
      <c r="F426" s="61">
        <f t="shared" si="6"/>
        <v>-100.26</v>
      </c>
      <c r="G426" s="13">
        <v>15</v>
      </c>
    </row>
    <row r="427" spans="1:7" x14ac:dyDescent="0.2">
      <c r="A427" s="51">
        <v>45705</v>
      </c>
      <c r="B427" s="52" t="s">
        <v>12</v>
      </c>
      <c r="C427" s="53">
        <v>112947000</v>
      </c>
      <c r="D427" s="61">
        <v>17032.8</v>
      </c>
      <c r="E427" s="62"/>
      <c r="F427" s="61">
        <f t="shared" si="6"/>
        <v>-17032.8</v>
      </c>
      <c r="G427" s="13">
        <v>16</v>
      </c>
    </row>
    <row r="428" spans="1:7" x14ac:dyDescent="0.2">
      <c r="A428" s="51">
        <v>45706</v>
      </c>
      <c r="B428" s="52" t="s">
        <v>9</v>
      </c>
      <c r="C428" s="53">
        <v>50363</v>
      </c>
      <c r="D428" s="61">
        <v>956</v>
      </c>
      <c r="E428" s="62"/>
      <c r="F428" s="61">
        <f t="shared" si="6"/>
        <v>-956</v>
      </c>
      <c r="G428" s="13">
        <v>17</v>
      </c>
    </row>
    <row r="429" spans="1:7" x14ac:dyDescent="0.2">
      <c r="A429" s="51">
        <v>45706</v>
      </c>
      <c r="B429" s="52" t="s">
        <v>15</v>
      </c>
      <c r="C429" s="53">
        <v>50364</v>
      </c>
      <c r="D429" s="61">
        <v>200.76</v>
      </c>
      <c r="E429" s="62"/>
      <c r="F429" s="61">
        <f t="shared" si="6"/>
        <v>-200.76</v>
      </c>
      <c r="G429" s="13">
        <v>18</v>
      </c>
    </row>
    <row r="430" spans="1:7" x14ac:dyDescent="0.2">
      <c r="A430" s="51">
        <v>45706</v>
      </c>
      <c r="B430" s="52" t="s">
        <v>12</v>
      </c>
      <c r="C430" s="53">
        <v>50363</v>
      </c>
      <c r="D430" s="61">
        <v>5.74</v>
      </c>
      <c r="E430" s="62"/>
      <c r="F430" s="61">
        <f t="shared" si="6"/>
        <v>-5.74</v>
      </c>
      <c r="G430" s="13">
        <v>19</v>
      </c>
    </row>
    <row r="431" spans="1:7" x14ac:dyDescent="0.2">
      <c r="A431" s="51">
        <v>45706</v>
      </c>
      <c r="B431" s="52" t="s">
        <v>12</v>
      </c>
      <c r="C431" s="53">
        <v>50364</v>
      </c>
      <c r="D431" s="61">
        <v>1.2</v>
      </c>
      <c r="E431" s="62"/>
      <c r="F431" s="61">
        <f t="shared" si="6"/>
        <v>-1.2</v>
      </c>
      <c r="G431" s="13">
        <v>20</v>
      </c>
    </row>
    <row r="432" spans="1:7" x14ac:dyDescent="0.2">
      <c r="A432" s="51">
        <v>45712</v>
      </c>
      <c r="B432" s="52" t="s">
        <v>11</v>
      </c>
      <c r="C432" s="53">
        <v>50369</v>
      </c>
      <c r="D432" s="61">
        <v>40000000</v>
      </c>
      <c r="E432" s="62"/>
      <c r="F432" s="61">
        <f t="shared" si="6"/>
        <v>-40000000</v>
      </c>
      <c r="G432" s="13">
        <v>21</v>
      </c>
    </row>
    <row r="433" spans="1:7" x14ac:dyDescent="0.2">
      <c r="A433" s="51">
        <v>45713</v>
      </c>
      <c r="B433" s="52" t="s">
        <v>9</v>
      </c>
      <c r="C433" s="53">
        <v>50373</v>
      </c>
      <c r="D433" s="61">
        <v>956</v>
      </c>
      <c r="E433" s="62"/>
      <c r="F433" s="61">
        <f t="shared" si="6"/>
        <v>-956</v>
      </c>
      <c r="G433" s="13">
        <v>22</v>
      </c>
    </row>
    <row r="434" spans="1:7" x14ac:dyDescent="0.2">
      <c r="A434" s="51">
        <v>45713</v>
      </c>
      <c r="B434" s="52" t="s">
        <v>15</v>
      </c>
      <c r="C434" s="53">
        <v>50374</v>
      </c>
      <c r="D434" s="61">
        <v>200.76</v>
      </c>
      <c r="E434" s="62"/>
      <c r="F434" s="61">
        <f t="shared" si="6"/>
        <v>-200.76</v>
      </c>
      <c r="G434" s="13">
        <v>23</v>
      </c>
    </row>
    <row r="435" spans="1:7" x14ac:dyDescent="0.2">
      <c r="A435" s="51">
        <v>45713</v>
      </c>
      <c r="B435" s="52" t="s">
        <v>12</v>
      </c>
      <c r="C435" s="53">
        <v>50373</v>
      </c>
      <c r="D435" s="61">
        <v>5.74</v>
      </c>
      <c r="E435" s="62"/>
      <c r="F435" s="61">
        <f t="shared" si="6"/>
        <v>-5.74</v>
      </c>
      <c r="G435" s="13">
        <v>24</v>
      </c>
    </row>
    <row r="436" spans="1:7" x14ac:dyDescent="0.2">
      <c r="A436" s="51">
        <v>45713</v>
      </c>
      <c r="B436" s="52" t="s">
        <v>12</v>
      </c>
      <c r="C436" s="53">
        <v>50374</v>
      </c>
      <c r="D436" s="61">
        <v>1.2</v>
      </c>
      <c r="E436" s="62"/>
      <c r="F436" s="61">
        <f t="shared" si="6"/>
        <v>-1.2</v>
      </c>
      <c r="G436" s="13">
        <v>25</v>
      </c>
    </row>
    <row r="437" spans="1:7" x14ac:dyDescent="0.2">
      <c r="A437" s="51">
        <v>45715</v>
      </c>
      <c r="B437" s="52" t="s">
        <v>11</v>
      </c>
      <c r="C437" s="53">
        <v>50379</v>
      </c>
      <c r="D437" s="61">
        <v>145000000</v>
      </c>
      <c r="E437" s="62"/>
      <c r="F437" s="61">
        <f t="shared" si="6"/>
        <v>-145000000</v>
      </c>
      <c r="G437" s="13">
        <v>26</v>
      </c>
    </row>
    <row r="438" spans="1:7" x14ac:dyDescent="0.2">
      <c r="A438" s="51">
        <v>45716</v>
      </c>
      <c r="B438" s="52" t="s">
        <v>10</v>
      </c>
      <c r="C438" s="53">
        <v>50384</v>
      </c>
      <c r="D438" s="61">
        <v>2000000</v>
      </c>
      <c r="E438" s="62"/>
      <c r="F438" s="61">
        <f t="shared" si="6"/>
        <v>-2000000</v>
      </c>
      <c r="G438" s="13">
        <v>27</v>
      </c>
    </row>
    <row r="439" spans="1:7" x14ac:dyDescent="0.2">
      <c r="A439" s="51">
        <v>45716</v>
      </c>
      <c r="B439" s="52" t="s">
        <v>8</v>
      </c>
      <c r="C439" s="53">
        <v>50385</v>
      </c>
      <c r="D439" s="61">
        <v>27000</v>
      </c>
      <c r="E439" s="62"/>
      <c r="F439" s="61">
        <f t="shared" si="6"/>
        <v>-27000</v>
      </c>
      <c r="G439" s="13">
        <v>28</v>
      </c>
    </row>
    <row r="440" spans="1:7" x14ac:dyDescent="0.2">
      <c r="A440" s="51">
        <v>45716</v>
      </c>
      <c r="B440" s="52" t="s">
        <v>9</v>
      </c>
      <c r="C440" s="53">
        <v>50386</v>
      </c>
      <c r="D440" s="61">
        <v>956</v>
      </c>
      <c r="E440" s="62"/>
      <c r="F440" s="61">
        <f t="shared" si="6"/>
        <v>-956</v>
      </c>
      <c r="G440" s="13">
        <v>29</v>
      </c>
    </row>
    <row r="441" spans="1:7" x14ac:dyDescent="0.2">
      <c r="A441" s="51">
        <v>45716</v>
      </c>
      <c r="B441" s="52" t="s">
        <v>15</v>
      </c>
      <c r="C441" s="53">
        <v>50387</v>
      </c>
      <c r="D441" s="61">
        <v>5870.76</v>
      </c>
      <c r="E441" s="62"/>
      <c r="F441" s="61">
        <f t="shared" si="6"/>
        <v>-5870.76</v>
      </c>
      <c r="G441" s="13">
        <v>30</v>
      </c>
    </row>
    <row r="442" spans="1:7" x14ac:dyDescent="0.2">
      <c r="A442" s="51">
        <v>45716</v>
      </c>
      <c r="B442" s="52" t="s">
        <v>18</v>
      </c>
      <c r="C442" s="53">
        <v>50387</v>
      </c>
      <c r="D442" s="61">
        <v>838.68</v>
      </c>
      <c r="E442" s="62"/>
      <c r="F442" s="61">
        <f t="shared" si="6"/>
        <v>-838.68</v>
      </c>
      <c r="G442" s="13">
        <v>31</v>
      </c>
    </row>
    <row r="443" spans="1:7" x14ac:dyDescent="0.2">
      <c r="A443" s="51">
        <v>45716</v>
      </c>
      <c r="B443" s="52" t="s">
        <v>12</v>
      </c>
      <c r="C443" s="53">
        <v>50384</v>
      </c>
      <c r="D443" s="61">
        <v>12000</v>
      </c>
      <c r="E443" s="62"/>
      <c r="F443" s="61">
        <f t="shared" si="6"/>
        <v>-12000</v>
      </c>
      <c r="G443" s="13">
        <v>32</v>
      </c>
    </row>
    <row r="444" spans="1:7" x14ac:dyDescent="0.2">
      <c r="A444" s="51">
        <v>45716</v>
      </c>
      <c r="B444" s="52" t="s">
        <v>12</v>
      </c>
      <c r="C444" s="53">
        <v>50385</v>
      </c>
      <c r="D444" s="61">
        <v>162</v>
      </c>
      <c r="E444" s="62"/>
      <c r="F444" s="61">
        <f t="shared" si="6"/>
        <v>-162</v>
      </c>
      <c r="G444" s="13">
        <v>33</v>
      </c>
    </row>
    <row r="445" spans="1:7" x14ac:dyDescent="0.2">
      <c r="A445" s="51">
        <v>45716</v>
      </c>
      <c r="B445" s="52" t="s">
        <v>13</v>
      </c>
      <c r="C445" s="53">
        <v>50385</v>
      </c>
      <c r="D445" s="61">
        <v>405</v>
      </c>
      <c r="E445" s="62"/>
      <c r="F445" s="61">
        <f t="shared" si="6"/>
        <v>-405</v>
      </c>
      <c r="G445" s="13">
        <v>34</v>
      </c>
    </row>
    <row r="446" spans="1:7" x14ac:dyDescent="0.2">
      <c r="A446" s="51">
        <v>45716</v>
      </c>
      <c r="B446" s="52" t="s">
        <v>12</v>
      </c>
      <c r="C446" s="53">
        <v>50386</v>
      </c>
      <c r="D446" s="61">
        <v>5.74</v>
      </c>
      <c r="E446" s="62"/>
      <c r="F446" s="61">
        <f t="shared" si="6"/>
        <v>-5.74</v>
      </c>
      <c r="G446" s="13">
        <v>35</v>
      </c>
    </row>
    <row r="447" spans="1:7" x14ac:dyDescent="0.2">
      <c r="A447" s="51">
        <v>45716</v>
      </c>
      <c r="B447" s="52" t="s">
        <v>12</v>
      </c>
      <c r="C447" s="53">
        <v>50387</v>
      </c>
      <c r="D447" s="61">
        <v>35.22</v>
      </c>
      <c r="E447" s="62"/>
      <c r="F447" s="61">
        <f t="shared" si="6"/>
        <v>-35.22</v>
      </c>
      <c r="G447" s="13">
        <v>36</v>
      </c>
    </row>
    <row r="448" spans="1:7" x14ac:dyDescent="0.2">
      <c r="A448" s="51">
        <v>45716</v>
      </c>
      <c r="B448" s="52" t="s">
        <v>12</v>
      </c>
      <c r="C448" s="53">
        <v>50387</v>
      </c>
      <c r="D448" s="61">
        <v>5.03</v>
      </c>
      <c r="E448" s="62"/>
      <c r="F448" s="61">
        <f t="shared" si="6"/>
        <v>-5.03</v>
      </c>
      <c r="G448" s="13">
        <v>37</v>
      </c>
    </row>
    <row r="449" spans="1:7" x14ac:dyDescent="0.2">
      <c r="A449" s="51">
        <v>45716</v>
      </c>
      <c r="B449" s="52" t="s">
        <v>12</v>
      </c>
      <c r="C449" s="53">
        <v>50385</v>
      </c>
      <c r="D449" s="61">
        <v>2.4300000000000002</v>
      </c>
      <c r="E449" s="62"/>
      <c r="F449" s="61">
        <f t="shared" si="6"/>
        <v>-2.4300000000000002</v>
      </c>
      <c r="G449" s="13">
        <v>38</v>
      </c>
    </row>
    <row r="450" spans="1:7" x14ac:dyDescent="0.2">
      <c r="A450" s="51">
        <v>45721</v>
      </c>
      <c r="B450" s="52" t="s">
        <v>9</v>
      </c>
      <c r="C450" s="53">
        <v>50397</v>
      </c>
      <c r="D450" s="61">
        <v>956</v>
      </c>
      <c r="E450" s="62"/>
      <c r="F450" s="61">
        <f t="shared" si="6"/>
        <v>-956</v>
      </c>
      <c r="G450" s="15">
        <v>2</v>
      </c>
    </row>
    <row r="451" spans="1:7" x14ac:dyDescent="0.2">
      <c r="A451" s="51">
        <v>45721</v>
      </c>
      <c r="B451" s="52" t="s">
        <v>15</v>
      </c>
      <c r="C451" s="53">
        <v>50398</v>
      </c>
      <c r="D451" s="61">
        <v>200.76</v>
      </c>
      <c r="E451" s="62"/>
      <c r="F451" s="61">
        <f t="shared" ref="F451:F514" si="7">+E451-D451</f>
        <v>-200.76</v>
      </c>
      <c r="G451" s="15">
        <v>3</v>
      </c>
    </row>
    <row r="452" spans="1:7" x14ac:dyDescent="0.2">
      <c r="A452" s="51">
        <v>45721</v>
      </c>
      <c r="B452" s="52" t="s">
        <v>12</v>
      </c>
      <c r="C452" s="53">
        <v>50397</v>
      </c>
      <c r="D452" s="61">
        <v>5.74</v>
      </c>
      <c r="E452" s="62"/>
      <c r="F452" s="61">
        <f t="shared" si="7"/>
        <v>-5.74</v>
      </c>
      <c r="G452" s="15">
        <v>4</v>
      </c>
    </row>
    <row r="453" spans="1:7" x14ac:dyDescent="0.2">
      <c r="A453" s="51">
        <v>45721</v>
      </c>
      <c r="B453" s="52" t="s">
        <v>12</v>
      </c>
      <c r="C453" s="53">
        <v>50398</v>
      </c>
      <c r="D453" s="61">
        <v>1.2</v>
      </c>
      <c r="E453" s="62"/>
      <c r="F453" s="61">
        <f t="shared" si="7"/>
        <v>-1.2</v>
      </c>
      <c r="G453" s="15">
        <v>5</v>
      </c>
    </row>
    <row r="454" spans="1:7" x14ac:dyDescent="0.2">
      <c r="A454" s="51">
        <v>45729</v>
      </c>
      <c r="B454" s="52" t="s">
        <v>7</v>
      </c>
      <c r="C454" s="53">
        <v>6086017</v>
      </c>
      <c r="D454" s="62"/>
      <c r="E454" s="61">
        <v>337042684.43000001</v>
      </c>
      <c r="F454" s="61">
        <f t="shared" si="7"/>
        <v>337042684.43000001</v>
      </c>
      <c r="G454" s="15">
        <v>6</v>
      </c>
    </row>
    <row r="455" spans="1:7" x14ac:dyDescent="0.2">
      <c r="A455" s="51">
        <v>45729</v>
      </c>
      <c r="B455" s="52" t="s">
        <v>14</v>
      </c>
      <c r="C455" s="53">
        <v>6086017</v>
      </c>
      <c r="D455" s="61">
        <v>2022256.11</v>
      </c>
      <c r="E455" s="62"/>
      <c r="F455" s="61">
        <f t="shared" si="7"/>
        <v>-2022256.11</v>
      </c>
      <c r="G455" s="15">
        <v>7</v>
      </c>
    </row>
    <row r="456" spans="1:7" x14ac:dyDescent="0.2">
      <c r="A456" s="51">
        <v>45729</v>
      </c>
      <c r="B456" s="52" t="s">
        <v>17</v>
      </c>
      <c r="C456" s="53">
        <v>6086017</v>
      </c>
      <c r="D456" s="61">
        <v>674085.37</v>
      </c>
      <c r="E456" s="62"/>
      <c r="F456" s="61">
        <f t="shared" si="7"/>
        <v>-674085.37</v>
      </c>
      <c r="G456" s="15">
        <v>8</v>
      </c>
    </row>
    <row r="457" spans="1:7" x14ac:dyDescent="0.2">
      <c r="A457" s="51">
        <v>45729</v>
      </c>
      <c r="B457" s="52" t="s">
        <v>12</v>
      </c>
      <c r="C457" s="53">
        <v>6086017</v>
      </c>
      <c r="D457" s="61">
        <v>4044.51</v>
      </c>
      <c r="E457" s="62"/>
      <c r="F457" s="61">
        <f t="shared" si="7"/>
        <v>-4044.51</v>
      </c>
      <c r="G457" s="15">
        <v>9</v>
      </c>
    </row>
    <row r="458" spans="1:7" x14ac:dyDescent="0.2">
      <c r="A458" s="51">
        <v>45734</v>
      </c>
      <c r="B458" s="52" t="s">
        <v>11</v>
      </c>
      <c r="C458" s="53">
        <v>50439</v>
      </c>
      <c r="D458" s="61">
        <v>40000000</v>
      </c>
      <c r="E458" s="62"/>
      <c r="F458" s="61">
        <f t="shared" si="7"/>
        <v>-40000000</v>
      </c>
      <c r="G458" s="15">
        <v>10</v>
      </c>
    </row>
    <row r="459" spans="1:7" x14ac:dyDescent="0.2">
      <c r="A459" s="51">
        <v>45735</v>
      </c>
      <c r="B459" s="52" t="s">
        <v>16</v>
      </c>
      <c r="C459" s="53">
        <v>112947000</v>
      </c>
      <c r="D459" s="61">
        <v>3194098.47</v>
      </c>
      <c r="E459" s="62"/>
      <c r="F459" s="61">
        <f t="shared" si="7"/>
        <v>-3194098.47</v>
      </c>
      <c r="G459" s="15">
        <v>11</v>
      </c>
    </row>
    <row r="460" spans="1:7" x14ac:dyDescent="0.2">
      <c r="A460" s="51">
        <v>45735</v>
      </c>
      <c r="B460" s="52" t="s">
        <v>16</v>
      </c>
      <c r="C460" s="53">
        <v>112947000</v>
      </c>
      <c r="D460" s="61">
        <v>4142236.53</v>
      </c>
      <c r="E460" s="62"/>
      <c r="F460" s="61">
        <f t="shared" si="7"/>
        <v>-4142236.53</v>
      </c>
      <c r="G460" s="15">
        <v>12</v>
      </c>
    </row>
    <row r="461" spans="1:7" x14ac:dyDescent="0.2">
      <c r="A461" s="51">
        <v>45735</v>
      </c>
      <c r="B461" s="52" t="s">
        <v>16</v>
      </c>
      <c r="C461" s="53">
        <v>112947000</v>
      </c>
      <c r="D461" s="61">
        <v>6639589.2199999997</v>
      </c>
      <c r="E461" s="62"/>
      <c r="F461" s="61">
        <f t="shared" si="7"/>
        <v>-6639589.2199999997</v>
      </c>
      <c r="G461" s="15">
        <v>13</v>
      </c>
    </row>
    <row r="462" spans="1:7" x14ac:dyDescent="0.2">
      <c r="A462" s="51">
        <v>45735</v>
      </c>
      <c r="B462" s="52" t="s">
        <v>16</v>
      </c>
      <c r="C462" s="53">
        <v>112947000</v>
      </c>
      <c r="D462" s="61">
        <v>16709.55</v>
      </c>
      <c r="E462" s="62"/>
      <c r="F462" s="61">
        <f t="shared" si="7"/>
        <v>-16709.55</v>
      </c>
      <c r="G462" s="15">
        <v>14</v>
      </c>
    </row>
    <row r="463" spans="1:7" x14ac:dyDescent="0.2">
      <c r="A463" s="51">
        <v>45735</v>
      </c>
      <c r="B463" s="52" t="s">
        <v>16</v>
      </c>
      <c r="C463" s="53">
        <v>112947000</v>
      </c>
      <c r="D463" s="61">
        <v>4144859.35</v>
      </c>
      <c r="E463" s="62"/>
      <c r="F463" s="61">
        <f t="shared" si="7"/>
        <v>-4144859.35</v>
      </c>
      <c r="G463" s="15">
        <v>15</v>
      </c>
    </row>
    <row r="464" spans="1:7" x14ac:dyDescent="0.2">
      <c r="A464" s="51">
        <v>45735</v>
      </c>
      <c r="B464" s="52" t="s">
        <v>16</v>
      </c>
      <c r="C464" s="53">
        <v>112947000</v>
      </c>
      <c r="D464" s="61">
        <v>1809989.17</v>
      </c>
      <c r="E464" s="62"/>
      <c r="F464" s="61">
        <f t="shared" si="7"/>
        <v>-1809989.17</v>
      </c>
      <c r="G464" s="15">
        <v>16</v>
      </c>
    </row>
    <row r="465" spans="1:7" x14ac:dyDescent="0.2">
      <c r="A465" s="51">
        <v>45735</v>
      </c>
      <c r="B465" s="52" t="s">
        <v>9</v>
      </c>
      <c r="C465" s="53">
        <v>50458</v>
      </c>
      <c r="D465" s="61">
        <v>956</v>
      </c>
      <c r="E465" s="62"/>
      <c r="F465" s="61">
        <f t="shared" si="7"/>
        <v>-956</v>
      </c>
      <c r="G465" s="15">
        <v>17</v>
      </c>
    </row>
    <row r="466" spans="1:7" x14ac:dyDescent="0.2">
      <c r="A466" s="51">
        <v>45735</v>
      </c>
      <c r="B466" s="52" t="s">
        <v>15</v>
      </c>
      <c r="C466" s="53">
        <v>50459</v>
      </c>
      <c r="D466" s="61">
        <v>200.76</v>
      </c>
      <c r="E466" s="62"/>
      <c r="F466" s="61">
        <f t="shared" si="7"/>
        <v>-200.76</v>
      </c>
      <c r="G466" s="15">
        <v>18</v>
      </c>
    </row>
    <row r="467" spans="1:7" x14ac:dyDescent="0.2">
      <c r="A467" s="51">
        <v>45735</v>
      </c>
      <c r="B467" s="52" t="s">
        <v>12</v>
      </c>
      <c r="C467" s="53">
        <v>112947000</v>
      </c>
      <c r="D467" s="61">
        <v>19164.59</v>
      </c>
      <c r="E467" s="62"/>
      <c r="F467" s="61">
        <f t="shared" si="7"/>
        <v>-19164.59</v>
      </c>
      <c r="G467" s="15">
        <v>19</v>
      </c>
    </row>
    <row r="468" spans="1:7" x14ac:dyDescent="0.2">
      <c r="A468" s="51">
        <v>45735</v>
      </c>
      <c r="B468" s="52" t="s">
        <v>12</v>
      </c>
      <c r="C468" s="53">
        <v>112947000</v>
      </c>
      <c r="D468" s="61">
        <v>24853.42</v>
      </c>
      <c r="E468" s="62"/>
      <c r="F468" s="61">
        <f t="shared" si="7"/>
        <v>-24853.42</v>
      </c>
      <c r="G468" s="15">
        <v>20</v>
      </c>
    </row>
    <row r="469" spans="1:7" x14ac:dyDescent="0.2">
      <c r="A469" s="51">
        <v>45735</v>
      </c>
      <c r="B469" s="52" t="s">
        <v>12</v>
      </c>
      <c r="C469" s="53">
        <v>112947000</v>
      </c>
      <c r="D469" s="61">
        <v>39837.54</v>
      </c>
      <c r="E469" s="62"/>
      <c r="F469" s="61">
        <f t="shared" si="7"/>
        <v>-39837.54</v>
      </c>
      <c r="G469" s="15">
        <v>21</v>
      </c>
    </row>
    <row r="470" spans="1:7" x14ac:dyDescent="0.2">
      <c r="A470" s="51">
        <v>45735</v>
      </c>
      <c r="B470" s="52" t="s">
        <v>12</v>
      </c>
      <c r="C470" s="53">
        <v>112947000</v>
      </c>
      <c r="D470" s="61">
        <v>100.26</v>
      </c>
      <c r="E470" s="62"/>
      <c r="F470" s="61">
        <f t="shared" si="7"/>
        <v>-100.26</v>
      </c>
      <c r="G470" s="15">
        <v>22</v>
      </c>
    </row>
    <row r="471" spans="1:7" x14ac:dyDescent="0.2">
      <c r="A471" s="51">
        <v>45735</v>
      </c>
      <c r="B471" s="52" t="s">
        <v>12</v>
      </c>
      <c r="C471" s="53">
        <v>112947000</v>
      </c>
      <c r="D471" s="61">
        <v>24869.16</v>
      </c>
      <c r="E471" s="62"/>
      <c r="F471" s="61">
        <f t="shared" si="7"/>
        <v>-24869.16</v>
      </c>
      <c r="G471" s="15">
        <v>23</v>
      </c>
    </row>
    <row r="472" spans="1:7" x14ac:dyDescent="0.2">
      <c r="A472" s="51">
        <v>45735</v>
      </c>
      <c r="B472" s="52" t="s">
        <v>12</v>
      </c>
      <c r="C472" s="53">
        <v>112947000</v>
      </c>
      <c r="D472" s="61">
        <v>10859.94</v>
      </c>
      <c r="E472" s="62"/>
      <c r="F472" s="61">
        <f t="shared" si="7"/>
        <v>-10859.94</v>
      </c>
      <c r="G472" s="15">
        <v>24</v>
      </c>
    </row>
    <row r="473" spans="1:7" x14ac:dyDescent="0.2">
      <c r="A473" s="51">
        <v>45735</v>
      </c>
      <c r="B473" s="52" t="s">
        <v>12</v>
      </c>
      <c r="C473" s="53">
        <v>50458</v>
      </c>
      <c r="D473" s="61">
        <v>5.74</v>
      </c>
      <c r="E473" s="62"/>
      <c r="F473" s="61">
        <f t="shared" si="7"/>
        <v>-5.74</v>
      </c>
      <c r="G473" s="15">
        <v>25</v>
      </c>
    </row>
    <row r="474" spans="1:7" x14ac:dyDescent="0.2">
      <c r="A474" s="51">
        <v>45735</v>
      </c>
      <c r="B474" s="52" t="s">
        <v>12</v>
      </c>
      <c r="C474" s="53">
        <v>50459</v>
      </c>
      <c r="D474" s="61">
        <v>1.2</v>
      </c>
      <c r="E474" s="62"/>
      <c r="F474" s="61">
        <f t="shared" si="7"/>
        <v>-1.2</v>
      </c>
      <c r="G474" s="15">
        <v>26</v>
      </c>
    </row>
    <row r="475" spans="1:7" x14ac:dyDescent="0.2">
      <c r="A475" s="51">
        <v>45741</v>
      </c>
      <c r="B475" s="52" t="s">
        <v>11</v>
      </c>
      <c r="C475" s="53">
        <v>50470</v>
      </c>
      <c r="D475" s="61">
        <v>50000000</v>
      </c>
      <c r="E475" s="62"/>
      <c r="F475" s="61">
        <f t="shared" si="7"/>
        <v>-50000000</v>
      </c>
      <c r="G475" s="15">
        <v>27</v>
      </c>
    </row>
    <row r="476" spans="1:7" x14ac:dyDescent="0.2">
      <c r="A476" s="51">
        <v>45742</v>
      </c>
      <c r="B476" s="52" t="s">
        <v>11</v>
      </c>
      <c r="C476" s="53">
        <v>50478</v>
      </c>
      <c r="D476" s="61">
        <v>70000000</v>
      </c>
      <c r="E476" s="62"/>
      <c r="F476" s="61">
        <f t="shared" si="7"/>
        <v>-70000000</v>
      </c>
      <c r="G476" s="15">
        <v>28</v>
      </c>
    </row>
    <row r="477" spans="1:7" x14ac:dyDescent="0.2">
      <c r="A477" s="51">
        <v>45742</v>
      </c>
      <c r="B477" s="52" t="s">
        <v>9</v>
      </c>
      <c r="C477" s="53">
        <v>50481</v>
      </c>
      <c r="D477" s="61">
        <v>956</v>
      </c>
      <c r="E477" s="62"/>
      <c r="F477" s="61">
        <f t="shared" si="7"/>
        <v>-956</v>
      </c>
      <c r="G477" s="15">
        <v>29</v>
      </c>
    </row>
    <row r="478" spans="1:7" x14ac:dyDescent="0.2">
      <c r="A478" s="51">
        <v>45742</v>
      </c>
      <c r="B478" s="52" t="s">
        <v>15</v>
      </c>
      <c r="C478" s="53">
        <v>50482</v>
      </c>
      <c r="D478" s="61">
        <v>200.76</v>
      </c>
      <c r="E478" s="62"/>
      <c r="F478" s="61">
        <f t="shared" si="7"/>
        <v>-200.76</v>
      </c>
      <c r="G478" s="15">
        <v>30</v>
      </c>
    </row>
    <row r="479" spans="1:7" x14ac:dyDescent="0.2">
      <c r="A479" s="51">
        <v>45742</v>
      </c>
      <c r="B479" s="52" t="s">
        <v>12</v>
      </c>
      <c r="C479" s="53">
        <v>50481</v>
      </c>
      <c r="D479" s="61">
        <v>5.74</v>
      </c>
      <c r="E479" s="62"/>
      <c r="F479" s="61">
        <f t="shared" si="7"/>
        <v>-5.74</v>
      </c>
      <c r="G479" s="15">
        <v>31</v>
      </c>
    </row>
    <row r="480" spans="1:7" x14ac:dyDescent="0.2">
      <c r="A480" s="51">
        <v>45742</v>
      </c>
      <c r="B480" s="52" t="s">
        <v>12</v>
      </c>
      <c r="C480" s="53">
        <v>50482</v>
      </c>
      <c r="D480" s="61">
        <v>1.2</v>
      </c>
      <c r="E480" s="62"/>
      <c r="F480" s="61">
        <f t="shared" si="7"/>
        <v>-1.2</v>
      </c>
      <c r="G480" s="15">
        <v>32</v>
      </c>
    </row>
    <row r="481" spans="1:7" x14ac:dyDescent="0.2">
      <c r="A481" s="51">
        <v>45743</v>
      </c>
      <c r="B481" s="52" t="s">
        <v>9</v>
      </c>
      <c r="C481" s="53">
        <v>50503</v>
      </c>
      <c r="D481" s="61">
        <v>956</v>
      </c>
      <c r="E481" s="62"/>
      <c r="F481" s="61">
        <f t="shared" si="7"/>
        <v>-956</v>
      </c>
      <c r="G481" s="15">
        <v>33</v>
      </c>
    </row>
    <row r="482" spans="1:7" x14ac:dyDescent="0.2">
      <c r="A482" s="51">
        <v>45743</v>
      </c>
      <c r="B482" s="52" t="s">
        <v>15</v>
      </c>
      <c r="C482" s="53">
        <v>50504</v>
      </c>
      <c r="D482" s="61">
        <v>200.76</v>
      </c>
      <c r="E482" s="62"/>
      <c r="F482" s="61">
        <f t="shared" si="7"/>
        <v>-200.76</v>
      </c>
      <c r="G482" s="15">
        <v>34</v>
      </c>
    </row>
    <row r="483" spans="1:7" x14ac:dyDescent="0.2">
      <c r="A483" s="51">
        <v>45743</v>
      </c>
      <c r="B483" s="52" t="s">
        <v>12</v>
      </c>
      <c r="C483" s="53">
        <v>50503</v>
      </c>
      <c r="D483" s="61">
        <v>5.74</v>
      </c>
      <c r="E483" s="62"/>
      <c r="F483" s="61">
        <f t="shared" si="7"/>
        <v>-5.74</v>
      </c>
      <c r="G483" s="15">
        <v>35</v>
      </c>
    </row>
    <row r="484" spans="1:7" x14ac:dyDescent="0.2">
      <c r="A484" s="51">
        <v>45743</v>
      </c>
      <c r="B484" s="52" t="s">
        <v>12</v>
      </c>
      <c r="C484" s="53">
        <v>50504</v>
      </c>
      <c r="D484" s="61">
        <v>1.2</v>
      </c>
      <c r="E484" s="62"/>
      <c r="F484" s="61">
        <f t="shared" si="7"/>
        <v>-1.2</v>
      </c>
      <c r="G484" s="15">
        <v>36</v>
      </c>
    </row>
    <row r="485" spans="1:7" x14ac:dyDescent="0.2">
      <c r="A485" s="51">
        <v>45744</v>
      </c>
      <c r="B485" s="52" t="s">
        <v>11</v>
      </c>
      <c r="C485" s="53">
        <v>50509</v>
      </c>
      <c r="D485" s="61">
        <v>150000000</v>
      </c>
      <c r="E485" s="62"/>
      <c r="F485" s="61">
        <f t="shared" si="7"/>
        <v>-150000000</v>
      </c>
      <c r="G485" s="15">
        <v>37</v>
      </c>
    </row>
    <row r="486" spans="1:7" x14ac:dyDescent="0.2">
      <c r="A486" s="51">
        <v>45744</v>
      </c>
      <c r="B486" s="52" t="s">
        <v>10</v>
      </c>
      <c r="C486" s="53">
        <v>50515</v>
      </c>
      <c r="D486" s="61">
        <v>2000000</v>
      </c>
      <c r="E486" s="62"/>
      <c r="F486" s="61">
        <f t="shared" si="7"/>
        <v>-2000000</v>
      </c>
      <c r="G486" s="15">
        <v>38</v>
      </c>
    </row>
    <row r="487" spans="1:7" x14ac:dyDescent="0.2">
      <c r="A487" s="51">
        <v>45744</v>
      </c>
      <c r="B487" s="52" t="s">
        <v>8</v>
      </c>
      <c r="C487" s="53">
        <v>50518</v>
      </c>
      <c r="D487" s="61">
        <v>27000</v>
      </c>
      <c r="E487" s="62"/>
      <c r="F487" s="61">
        <f t="shared" si="7"/>
        <v>-27000</v>
      </c>
      <c r="G487" s="15">
        <v>39</v>
      </c>
    </row>
    <row r="488" spans="1:7" x14ac:dyDescent="0.2">
      <c r="A488" s="51">
        <v>45744</v>
      </c>
      <c r="B488" s="52" t="s">
        <v>15</v>
      </c>
      <c r="C488" s="53">
        <v>50519</v>
      </c>
      <c r="D488" s="61">
        <v>5670</v>
      </c>
      <c r="E488" s="62"/>
      <c r="F488" s="61">
        <f t="shared" si="7"/>
        <v>-5670</v>
      </c>
      <c r="G488" s="15">
        <v>40</v>
      </c>
    </row>
    <row r="489" spans="1:7" x14ac:dyDescent="0.2">
      <c r="A489" s="51">
        <v>45744</v>
      </c>
      <c r="B489" s="52" t="s">
        <v>18</v>
      </c>
      <c r="C489" s="53">
        <v>50519</v>
      </c>
      <c r="D489" s="61">
        <v>810</v>
      </c>
      <c r="E489" s="62"/>
      <c r="F489" s="61">
        <f t="shared" si="7"/>
        <v>-810</v>
      </c>
      <c r="G489" s="15">
        <v>41</v>
      </c>
    </row>
    <row r="490" spans="1:7" x14ac:dyDescent="0.2">
      <c r="A490" s="51">
        <v>45744</v>
      </c>
      <c r="B490" s="52" t="s">
        <v>12</v>
      </c>
      <c r="C490" s="53">
        <v>50515</v>
      </c>
      <c r="D490" s="61">
        <v>12000</v>
      </c>
      <c r="E490" s="61"/>
      <c r="F490" s="61">
        <f t="shared" si="7"/>
        <v>-12000</v>
      </c>
      <c r="G490" s="15">
        <v>42</v>
      </c>
    </row>
    <row r="491" spans="1:7" x14ac:dyDescent="0.2">
      <c r="A491" s="51">
        <v>45744</v>
      </c>
      <c r="B491" s="52" t="s">
        <v>12</v>
      </c>
      <c r="C491" s="53">
        <v>50518</v>
      </c>
      <c r="D491" s="61">
        <v>162</v>
      </c>
      <c r="E491" s="61"/>
      <c r="F491" s="61">
        <f t="shared" si="7"/>
        <v>-162</v>
      </c>
      <c r="G491" s="15">
        <v>43</v>
      </c>
    </row>
    <row r="492" spans="1:7" x14ac:dyDescent="0.2">
      <c r="A492" s="51">
        <v>45744</v>
      </c>
      <c r="B492" s="52" t="s">
        <v>13</v>
      </c>
      <c r="C492" s="53">
        <v>50518</v>
      </c>
      <c r="D492" s="61">
        <v>405</v>
      </c>
      <c r="E492" s="61"/>
      <c r="F492" s="61">
        <f t="shared" si="7"/>
        <v>-405</v>
      </c>
      <c r="G492" s="15">
        <v>44</v>
      </c>
    </row>
    <row r="493" spans="1:7" x14ac:dyDescent="0.2">
      <c r="A493" s="51">
        <v>45744</v>
      </c>
      <c r="B493" s="52" t="s">
        <v>12</v>
      </c>
      <c r="C493" s="53">
        <v>50519</v>
      </c>
      <c r="D493" s="61">
        <v>34.020000000000003</v>
      </c>
      <c r="E493" s="61"/>
      <c r="F493" s="61">
        <f t="shared" si="7"/>
        <v>-34.020000000000003</v>
      </c>
      <c r="G493" s="15">
        <v>45</v>
      </c>
    </row>
    <row r="494" spans="1:7" x14ac:dyDescent="0.2">
      <c r="A494" s="51">
        <v>45744</v>
      </c>
      <c r="B494" s="52" t="s">
        <v>12</v>
      </c>
      <c r="C494" s="53">
        <v>50519</v>
      </c>
      <c r="D494" s="61">
        <v>4.8600000000000003</v>
      </c>
      <c r="E494" s="61"/>
      <c r="F494" s="61">
        <f t="shared" si="7"/>
        <v>-4.8600000000000003</v>
      </c>
      <c r="G494" s="15">
        <v>46</v>
      </c>
    </row>
    <row r="495" spans="1:7" x14ac:dyDescent="0.2">
      <c r="A495" s="51">
        <v>45744</v>
      </c>
      <c r="B495" s="52" t="s">
        <v>12</v>
      </c>
      <c r="C495" s="53">
        <v>50518</v>
      </c>
      <c r="D495" s="61">
        <v>2.4300000000000002</v>
      </c>
      <c r="E495" s="61"/>
      <c r="F495" s="61">
        <f t="shared" si="7"/>
        <v>-2.4300000000000002</v>
      </c>
      <c r="G495" s="15">
        <v>47</v>
      </c>
    </row>
    <row r="496" spans="1:7" x14ac:dyDescent="0.2">
      <c r="A496" s="51">
        <v>45747</v>
      </c>
      <c r="B496" s="52" t="s">
        <v>9</v>
      </c>
      <c r="C496" s="53">
        <v>50528</v>
      </c>
      <c r="D496" s="61">
        <v>956</v>
      </c>
      <c r="E496" s="61"/>
      <c r="F496" s="61">
        <f t="shared" si="7"/>
        <v>-956</v>
      </c>
      <c r="G496" s="15">
        <v>48</v>
      </c>
    </row>
    <row r="497" spans="1:7" x14ac:dyDescent="0.2">
      <c r="A497" s="51">
        <v>45747</v>
      </c>
      <c r="B497" s="52" t="s">
        <v>9</v>
      </c>
      <c r="C497" s="53">
        <v>50529</v>
      </c>
      <c r="D497" s="61">
        <v>956</v>
      </c>
      <c r="E497" s="61"/>
      <c r="F497" s="61">
        <f t="shared" si="7"/>
        <v>-956</v>
      </c>
      <c r="G497" s="15">
        <v>49</v>
      </c>
    </row>
    <row r="498" spans="1:7" x14ac:dyDescent="0.2">
      <c r="A498" s="51">
        <v>45747</v>
      </c>
      <c r="B498" s="52" t="s">
        <v>15</v>
      </c>
      <c r="C498" s="53">
        <v>50530</v>
      </c>
      <c r="D498" s="61">
        <v>401.52</v>
      </c>
      <c r="E498" s="61"/>
      <c r="F498" s="61">
        <f t="shared" si="7"/>
        <v>-401.52</v>
      </c>
      <c r="G498" s="15">
        <v>50</v>
      </c>
    </row>
    <row r="499" spans="1:7" x14ac:dyDescent="0.2">
      <c r="A499" s="51">
        <v>45747</v>
      </c>
      <c r="B499" s="52" t="s">
        <v>12</v>
      </c>
      <c r="C499" s="53">
        <v>50528</v>
      </c>
      <c r="D499" s="61">
        <v>5.74</v>
      </c>
      <c r="E499" s="61"/>
      <c r="F499" s="61">
        <f t="shared" si="7"/>
        <v>-5.74</v>
      </c>
      <c r="G499" s="15">
        <v>51</v>
      </c>
    </row>
    <row r="500" spans="1:7" x14ac:dyDescent="0.2">
      <c r="A500" s="51">
        <v>45747</v>
      </c>
      <c r="B500" s="52" t="s">
        <v>12</v>
      </c>
      <c r="C500" s="53">
        <v>50529</v>
      </c>
      <c r="D500" s="61">
        <v>5.74</v>
      </c>
      <c r="E500" s="61"/>
      <c r="F500" s="61">
        <f t="shared" si="7"/>
        <v>-5.74</v>
      </c>
      <c r="G500" s="15">
        <v>52</v>
      </c>
    </row>
    <row r="501" spans="1:7" x14ac:dyDescent="0.2">
      <c r="A501" s="51">
        <v>45747</v>
      </c>
      <c r="B501" s="52" t="s">
        <v>12</v>
      </c>
      <c r="C501" s="53">
        <v>50530</v>
      </c>
      <c r="D501" s="61">
        <v>2.41</v>
      </c>
      <c r="E501" s="61"/>
      <c r="F501" s="61">
        <f t="shared" si="7"/>
        <v>-2.41</v>
      </c>
      <c r="G501" s="15">
        <v>53</v>
      </c>
    </row>
    <row r="502" spans="1:7" x14ac:dyDescent="0.2">
      <c r="A502" s="51">
        <v>45754</v>
      </c>
      <c r="B502" s="57" t="s">
        <v>20</v>
      </c>
      <c r="C502" s="53">
        <v>10741571</v>
      </c>
      <c r="D502" s="61">
        <v>27806.54</v>
      </c>
      <c r="E502" s="62"/>
      <c r="F502" s="61">
        <f t="shared" si="7"/>
        <v>-27806.54</v>
      </c>
      <c r="G502" s="15">
        <v>2</v>
      </c>
    </row>
    <row r="503" spans="1:7" x14ac:dyDescent="0.2">
      <c r="A503" s="51">
        <v>45754</v>
      </c>
      <c r="B503" s="57" t="s">
        <v>12</v>
      </c>
      <c r="C503" s="53">
        <v>10741571</v>
      </c>
      <c r="D503" s="61">
        <v>166.84</v>
      </c>
      <c r="E503" s="62"/>
      <c r="F503" s="61">
        <f t="shared" si="7"/>
        <v>-166.84</v>
      </c>
      <c r="G503" s="15">
        <v>3</v>
      </c>
    </row>
    <row r="504" spans="1:7" x14ac:dyDescent="0.2">
      <c r="A504" s="51">
        <v>45762</v>
      </c>
      <c r="B504" s="57" t="s">
        <v>7</v>
      </c>
      <c r="C504" s="53">
        <v>5668642</v>
      </c>
      <c r="D504" s="62"/>
      <c r="E504" s="61">
        <v>308322201.72000003</v>
      </c>
      <c r="F504" s="61">
        <f t="shared" si="7"/>
        <v>308322201.72000003</v>
      </c>
      <c r="G504" s="15">
        <v>4</v>
      </c>
    </row>
    <row r="505" spans="1:7" x14ac:dyDescent="0.2">
      <c r="A505" s="51">
        <v>45762</v>
      </c>
      <c r="B505" s="57" t="s">
        <v>11</v>
      </c>
      <c r="C505" s="53">
        <v>50572</v>
      </c>
      <c r="D505" s="61">
        <v>40000000</v>
      </c>
      <c r="E505" s="62"/>
      <c r="F505" s="61">
        <f t="shared" si="7"/>
        <v>-40000000</v>
      </c>
      <c r="G505" s="15">
        <v>5</v>
      </c>
    </row>
    <row r="506" spans="1:7" x14ac:dyDescent="0.2">
      <c r="A506" s="51">
        <v>45762</v>
      </c>
      <c r="B506" s="57" t="s">
        <v>14</v>
      </c>
      <c r="C506" s="53">
        <v>5668642</v>
      </c>
      <c r="D506" s="61">
        <v>1849933.21</v>
      </c>
      <c r="E506" s="62"/>
      <c r="F506" s="61">
        <f t="shared" si="7"/>
        <v>-1849933.21</v>
      </c>
      <c r="G506" s="15">
        <v>6</v>
      </c>
    </row>
    <row r="507" spans="1:7" x14ac:dyDescent="0.2">
      <c r="A507" s="51">
        <v>45762</v>
      </c>
      <c r="B507" s="57" t="s">
        <v>17</v>
      </c>
      <c r="C507" s="53">
        <v>5668642</v>
      </c>
      <c r="D507" s="61">
        <v>616644.4</v>
      </c>
      <c r="E507" s="62"/>
      <c r="F507" s="61">
        <f t="shared" si="7"/>
        <v>-616644.4</v>
      </c>
      <c r="G507" s="15">
        <v>7</v>
      </c>
    </row>
    <row r="508" spans="1:7" x14ac:dyDescent="0.2">
      <c r="A508" s="51">
        <v>45762</v>
      </c>
      <c r="B508" s="57" t="s">
        <v>12</v>
      </c>
      <c r="C508" s="53">
        <v>5668642</v>
      </c>
      <c r="D508" s="61">
        <v>3699.87</v>
      </c>
      <c r="E508" s="62"/>
      <c r="F508" s="61">
        <f t="shared" si="7"/>
        <v>-3699.87</v>
      </c>
      <c r="G508" s="15">
        <v>8</v>
      </c>
    </row>
    <row r="509" spans="1:7" x14ac:dyDescent="0.2">
      <c r="A509" s="51">
        <v>45763</v>
      </c>
      <c r="B509" s="57" t="s">
        <v>9</v>
      </c>
      <c r="C509" s="53">
        <v>50578</v>
      </c>
      <c r="D509" s="61">
        <v>956</v>
      </c>
      <c r="E509" s="62"/>
      <c r="F509" s="61">
        <f t="shared" si="7"/>
        <v>-956</v>
      </c>
      <c r="G509" s="15">
        <v>9</v>
      </c>
    </row>
    <row r="510" spans="1:7" x14ac:dyDescent="0.2">
      <c r="A510" s="51">
        <v>45763</v>
      </c>
      <c r="B510" s="57" t="s">
        <v>15</v>
      </c>
      <c r="C510" s="53">
        <v>50579</v>
      </c>
      <c r="D510" s="61">
        <v>200.76</v>
      </c>
      <c r="E510" s="62"/>
      <c r="F510" s="61">
        <f t="shared" si="7"/>
        <v>-200.76</v>
      </c>
      <c r="G510" s="15">
        <v>10</v>
      </c>
    </row>
    <row r="511" spans="1:7" x14ac:dyDescent="0.2">
      <c r="A511" s="51">
        <v>45763</v>
      </c>
      <c r="B511" s="57" t="s">
        <v>12</v>
      </c>
      <c r="C511" s="53">
        <v>50578</v>
      </c>
      <c r="D511" s="61">
        <v>5.74</v>
      </c>
      <c r="E511" s="62"/>
      <c r="F511" s="61">
        <f t="shared" si="7"/>
        <v>-5.74</v>
      </c>
      <c r="G511" s="15">
        <v>11</v>
      </c>
    </row>
    <row r="512" spans="1:7" x14ac:dyDescent="0.2">
      <c r="A512" s="51">
        <v>45763</v>
      </c>
      <c r="B512" s="57" t="s">
        <v>12</v>
      </c>
      <c r="C512" s="53">
        <v>50579</v>
      </c>
      <c r="D512" s="61">
        <v>1.2</v>
      </c>
      <c r="E512" s="62"/>
      <c r="F512" s="61">
        <f t="shared" si="7"/>
        <v>-1.2</v>
      </c>
      <c r="G512" s="15">
        <v>12</v>
      </c>
    </row>
    <row r="513" spans="1:7" x14ac:dyDescent="0.2">
      <c r="A513" s="51">
        <v>45768</v>
      </c>
      <c r="B513" s="57" t="s">
        <v>11</v>
      </c>
      <c r="C513" s="53">
        <v>50587</v>
      </c>
      <c r="D513" s="61">
        <v>40000000</v>
      </c>
      <c r="E513" s="62"/>
      <c r="F513" s="61">
        <f t="shared" si="7"/>
        <v>-40000000</v>
      </c>
      <c r="G513" s="15">
        <v>13</v>
      </c>
    </row>
    <row r="514" spans="1:7" x14ac:dyDescent="0.2">
      <c r="A514" s="51">
        <v>45768</v>
      </c>
      <c r="B514" s="57" t="s">
        <v>9</v>
      </c>
      <c r="C514" s="53">
        <v>50592</v>
      </c>
      <c r="D514" s="61">
        <v>956</v>
      </c>
      <c r="E514" s="62"/>
      <c r="F514" s="61">
        <f t="shared" si="7"/>
        <v>-956</v>
      </c>
      <c r="G514" s="15">
        <v>14</v>
      </c>
    </row>
    <row r="515" spans="1:7" x14ac:dyDescent="0.2">
      <c r="A515" s="51">
        <v>45768</v>
      </c>
      <c r="B515" s="57" t="s">
        <v>15</v>
      </c>
      <c r="C515" s="53">
        <v>50593</v>
      </c>
      <c r="D515" s="61">
        <v>200.76</v>
      </c>
      <c r="E515" s="62"/>
      <c r="F515" s="61">
        <f t="shared" ref="F515:F578" si="8">+E515-D515</f>
        <v>-200.76</v>
      </c>
      <c r="G515" s="15">
        <v>15</v>
      </c>
    </row>
    <row r="516" spans="1:7" x14ac:dyDescent="0.2">
      <c r="A516" s="51">
        <v>45768</v>
      </c>
      <c r="B516" s="57" t="s">
        <v>12</v>
      </c>
      <c r="C516" s="53">
        <v>50592</v>
      </c>
      <c r="D516" s="61">
        <v>5.74</v>
      </c>
      <c r="E516" s="62"/>
      <c r="F516" s="61">
        <f t="shared" si="8"/>
        <v>-5.74</v>
      </c>
      <c r="G516" s="15">
        <v>16</v>
      </c>
    </row>
    <row r="517" spans="1:7" x14ac:dyDescent="0.2">
      <c r="A517" s="51">
        <v>45768</v>
      </c>
      <c r="B517" s="57" t="s">
        <v>12</v>
      </c>
      <c r="C517" s="53">
        <v>50593</v>
      </c>
      <c r="D517" s="61">
        <v>1.2</v>
      </c>
      <c r="E517" s="62"/>
      <c r="F517" s="61">
        <f t="shared" si="8"/>
        <v>-1.2</v>
      </c>
      <c r="G517" s="15">
        <v>17</v>
      </c>
    </row>
    <row r="518" spans="1:7" x14ac:dyDescent="0.2">
      <c r="A518" s="51">
        <v>45772</v>
      </c>
      <c r="B518" s="57" t="s">
        <v>21</v>
      </c>
      <c r="C518" s="53">
        <v>4634646</v>
      </c>
      <c r="D518" s="61">
        <v>60000000</v>
      </c>
      <c r="E518" s="62"/>
      <c r="F518" s="61">
        <f t="shared" si="8"/>
        <v>-60000000</v>
      </c>
      <c r="G518" s="15">
        <v>18</v>
      </c>
    </row>
    <row r="519" spans="1:7" x14ac:dyDescent="0.2">
      <c r="A519" s="51">
        <v>45772</v>
      </c>
      <c r="B519" s="57" t="s">
        <v>22</v>
      </c>
      <c r="C519" s="53">
        <v>50615</v>
      </c>
      <c r="D519" s="61">
        <v>8575</v>
      </c>
      <c r="E519" s="62"/>
      <c r="F519" s="61">
        <f t="shared" si="8"/>
        <v>-8575</v>
      </c>
      <c r="G519" s="15">
        <v>19</v>
      </c>
    </row>
    <row r="520" spans="1:7" x14ac:dyDescent="0.2">
      <c r="A520" s="51">
        <v>45772</v>
      </c>
      <c r="B520" s="57" t="s">
        <v>23</v>
      </c>
      <c r="C520" s="53">
        <v>50616</v>
      </c>
      <c r="D520" s="61">
        <v>1800.75</v>
      </c>
      <c r="E520" s="62"/>
      <c r="F520" s="61">
        <f t="shared" si="8"/>
        <v>-1800.75</v>
      </c>
      <c r="G520" s="15">
        <v>20</v>
      </c>
    </row>
    <row r="521" spans="1:7" x14ac:dyDescent="0.2">
      <c r="A521" s="51">
        <v>45772</v>
      </c>
      <c r="B521" s="57" t="s">
        <v>24</v>
      </c>
      <c r="C521" s="53">
        <v>50617</v>
      </c>
      <c r="D521" s="61">
        <v>257.25</v>
      </c>
      <c r="E521" s="62"/>
      <c r="F521" s="61">
        <f t="shared" si="8"/>
        <v>-257.25</v>
      </c>
      <c r="G521" s="15">
        <v>21</v>
      </c>
    </row>
    <row r="522" spans="1:7" x14ac:dyDescent="0.2">
      <c r="A522" s="51">
        <v>45772</v>
      </c>
      <c r="B522" s="57" t="s">
        <v>21</v>
      </c>
      <c r="C522" s="53">
        <v>4634647</v>
      </c>
      <c r="D522" s="61">
        <v>60000000</v>
      </c>
      <c r="E522" s="62"/>
      <c r="F522" s="61">
        <f t="shared" si="8"/>
        <v>-60000000</v>
      </c>
      <c r="G522" s="15">
        <v>22</v>
      </c>
    </row>
    <row r="523" spans="1:7" x14ac:dyDescent="0.2">
      <c r="A523" s="51">
        <v>45772</v>
      </c>
      <c r="B523" s="57" t="s">
        <v>22</v>
      </c>
      <c r="C523" s="53">
        <v>50619</v>
      </c>
      <c r="D523" s="61">
        <v>8575</v>
      </c>
      <c r="E523" s="62"/>
      <c r="F523" s="61">
        <f t="shared" si="8"/>
        <v>-8575</v>
      </c>
      <c r="G523" s="15">
        <v>23</v>
      </c>
    </row>
    <row r="524" spans="1:7" x14ac:dyDescent="0.2">
      <c r="A524" s="51">
        <v>45772</v>
      </c>
      <c r="B524" s="57" t="s">
        <v>23</v>
      </c>
      <c r="C524" s="53">
        <v>50620</v>
      </c>
      <c r="D524" s="61">
        <v>1800.75</v>
      </c>
      <c r="E524" s="62"/>
      <c r="F524" s="61">
        <f t="shared" si="8"/>
        <v>-1800.75</v>
      </c>
      <c r="G524" s="15">
        <v>24</v>
      </c>
    </row>
    <row r="525" spans="1:7" x14ac:dyDescent="0.2">
      <c r="A525" s="51">
        <v>45772</v>
      </c>
      <c r="B525" s="57" t="s">
        <v>24</v>
      </c>
      <c r="C525" s="53">
        <v>50621</v>
      </c>
      <c r="D525" s="61">
        <v>257.25</v>
      </c>
      <c r="E525" s="62"/>
      <c r="F525" s="61">
        <f t="shared" si="8"/>
        <v>-257.25</v>
      </c>
      <c r="G525" s="15">
        <v>25</v>
      </c>
    </row>
    <row r="526" spans="1:7" x14ac:dyDescent="0.2">
      <c r="A526" s="51">
        <v>45772</v>
      </c>
      <c r="B526" s="57" t="s">
        <v>12</v>
      </c>
      <c r="C526" s="53">
        <v>50615</v>
      </c>
      <c r="D526" s="61">
        <v>51.45</v>
      </c>
      <c r="E526" s="62"/>
      <c r="F526" s="61">
        <f t="shared" si="8"/>
        <v>-51.45</v>
      </c>
      <c r="G526" s="15">
        <v>26</v>
      </c>
    </row>
    <row r="527" spans="1:7" x14ac:dyDescent="0.2">
      <c r="A527" s="51">
        <v>45772</v>
      </c>
      <c r="B527" s="57" t="s">
        <v>13</v>
      </c>
      <c r="C527" s="53">
        <v>50615</v>
      </c>
      <c r="D527" s="61">
        <v>128.63</v>
      </c>
      <c r="E527" s="62"/>
      <c r="F527" s="61">
        <f t="shared" si="8"/>
        <v>-128.63</v>
      </c>
      <c r="G527" s="15">
        <v>27</v>
      </c>
    </row>
    <row r="528" spans="1:7" x14ac:dyDescent="0.2">
      <c r="A528" s="51">
        <v>45772</v>
      </c>
      <c r="B528" s="57" t="s">
        <v>12</v>
      </c>
      <c r="C528" s="53">
        <v>50616</v>
      </c>
      <c r="D528" s="61">
        <v>10.8</v>
      </c>
      <c r="E528" s="62"/>
      <c r="F528" s="61">
        <f t="shared" si="8"/>
        <v>-10.8</v>
      </c>
      <c r="G528" s="15">
        <v>28</v>
      </c>
    </row>
    <row r="529" spans="1:7" x14ac:dyDescent="0.2">
      <c r="A529" s="51">
        <v>45772</v>
      </c>
      <c r="B529" s="57" t="s">
        <v>12</v>
      </c>
      <c r="C529" s="53">
        <v>50617</v>
      </c>
      <c r="D529" s="61">
        <v>1.54</v>
      </c>
      <c r="E529" s="62"/>
      <c r="F529" s="61">
        <f t="shared" si="8"/>
        <v>-1.54</v>
      </c>
      <c r="G529" s="15">
        <v>29</v>
      </c>
    </row>
    <row r="530" spans="1:7" x14ac:dyDescent="0.2">
      <c r="A530" s="51">
        <v>45772</v>
      </c>
      <c r="B530" s="57" t="s">
        <v>12</v>
      </c>
      <c r="C530" s="53">
        <v>50619</v>
      </c>
      <c r="D530" s="61">
        <v>51.45</v>
      </c>
      <c r="E530" s="62"/>
      <c r="F530" s="61">
        <f t="shared" si="8"/>
        <v>-51.45</v>
      </c>
      <c r="G530" s="15">
        <v>30</v>
      </c>
    </row>
    <row r="531" spans="1:7" x14ac:dyDescent="0.2">
      <c r="A531" s="51">
        <v>45772</v>
      </c>
      <c r="B531" s="57" t="s">
        <v>13</v>
      </c>
      <c r="C531" s="53">
        <v>50619</v>
      </c>
      <c r="D531" s="61">
        <v>128.63</v>
      </c>
      <c r="E531" s="62"/>
      <c r="F531" s="61">
        <f t="shared" si="8"/>
        <v>-128.63</v>
      </c>
      <c r="G531" s="15">
        <v>31</v>
      </c>
    </row>
    <row r="532" spans="1:7" x14ac:dyDescent="0.2">
      <c r="A532" s="51">
        <v>45772</v>
      </c>
      <c r="B532" s="57" t="s">
        <v>12</v>
      </c>
      <c r="C532" s="53">
        <v>50620</v>
      </c>
      <c r="D532" s="61">
        <v>10.8</v>
      </c>
      <c r="E532" s="62"/>
      <c r="F532" s="61">
        <f t="shared" si="8"/>
        <v>-10.8</v>
      </c>
      <c r="G532" s="15">
        <v>32</v>
      </c>
    </row>
    <row r="533" spans="1:7" x14ac:dyDescent="0.2">
      <c r="A533" s="51">
        <v>45772</v>
      </c>
      <c r="B533" s="57" t="s">
        <v>12</v>
      </c>
      <c r="C533" s="53">
        <v>50621</v>
      </c>
      <c r="D533" s="61">
        <v>1.54</v>
      </c>
      <c r="E533" s="62"/>
      <c r="F533" s="61">
        <f t="shared" si="8"/>
        <v>-1.54</v>
      </c>
      <c r="G533" s="15">
        <v>33</v>
      </c>
    </row>
    <row r="534" spans="1:7" x14ac:dyDescent="0.2">
      <c r="A534" s="51">
        <v>45772</v>
      </c>
      <c r="B534" s="57" t="s">
        <v>12</v>
      </c>
      <c r="C534" s="53">
        <v>50615</v>
      </c>
      <c r="D534" s="61">
        <v>0.77</v>
      </c>
      <c r="E534" s="62"/>
      <c r="F534" s="61">
        <f t="shared" si="8"/>
        <v>-0.77</v>
      </c>
      <c r="G534" s="15">
        <v>34</v>
      </c>
    </row>
    <row r="535" spans="1:7" x14ac:dyDescent="0.2">
      <c r="A535" s="51">
        <v>45772</v>
      </c>
      <c r="B535" s="57" t="s">
        <v>12</v>
      </c>
      <c r="C535" s="53">
        <v>50619</v>
      </c>
      <c r="D535" s="61">
        <v>0.77</v>
      </c>
      <c r="E535" s="62"/>
      <c r="F535" s="61">
        <f t="shared" si="8"/>
        <v>-0.77</v>
      </c>
      <c r="G535" s="15">
        <v>35</v>
      </c>
    </row>
    <row r="536" spans="1:7" x14ac:dyDescent="0.2">
      <c r="A536" s="51">
        <v>45776</v>
      </c>
      <c r="B536" s="57" t="s">
        <v>21</v>
      </c>
      <c r="C536" s="53">
        <v>4634649</v>
      </c>
      <c r="D536" s="61">
        <v>50000000</v>
      </c>
      <c r="E536" s="62"/>
      <c r="F536" s="61">
        <f t="shared" si="8"/>
        <v>-50000000</v>
      </c>
      <c r="G536" s="15">
        <v>36</v>
      </c>
    </row>
    <row r="537" spans="1:7" x14ac:dyDescent="0.2">
      <c r="A537" s="51">
        <v>45776</v>
      </c>
      <c r="B537" s="57" t="s">
        <v>22</v>
      </c>
      <c r="C537" s="53">
        <v>50655</v>
      </c>
      <c r="D537" s="61">
        <v>8575</v>
      </c>
      <c r="E537" s="62"/>
      <c r="F537" s="61">
        <f t="shared" si="8"/>
        <v>-8575</v>
      </c>
      <c r="G537" s="15">
        <v>37</v>
      </c>
    </row>
    <row r="538" spans="1:7" x14ac:dyDescent="0.2">
      <c r="A538" s="51">
        <v>45776</v>
      </c>
      <c r="B538" s="57" t="s">
        <v>23</v>
      </c>
      <c r="C538" s="53">
        <v>50656</v>
      </c>
      <c r="D538" s="61">
        <v>1800.75</v>
      </c>
      <c r="E538" s="62"/>
      <c r="F538" s="61">
        <f t="shared" si="8"/>
        <v>-1800.75</v>
      </c>
      <c r="G538" s="15">
        <v>38</v>
      </c>
    </row>
    <row r="539" spans="1:7" x14ac:dyDescent="0.2">
      <c r="A539" s="51">
        <v>45776</v>
      </c>
      <c r="B539" s="57" t="s">
        <v>24</v>
      </c>
      <c r="C539" s="53">
        <v>50657</v>
      </c>
      <c r="D539" s="61">
        <v>257.25</v>
      </c>
      <c r="E539" s="62"/>
      <c r="F539" s="61">
        <f t="shared" si="8"/>
        <v>-257.25</v>
      </c>
      <c r="G539" s="15">
        <v>39</v>
      </c>
    </row>
    <row r="540" spans="1:7" x14ac:dyDescent="0.2">
      <c r="A540" s="51">
        <v>45776</v>
      </c>
      <c r="B540" s="57" t="s">
        <v>21</v>
      </c>
      <c r="C540" s="53">
        <v>4634648</v>
      </c>
      <c r="D540" s="61">
        <v>50000000</v>
      </c>
      <c r="E540" s="62"/>
      <c r="F540" s="61">
        <f t="shared" si="8"/>
        <v>-50000000</v>
      </c>
      <c r="G540" s="15">
        <v>40</v>
      </c>
    </row>
    <row r="541" spans="1:7" x14ac:dyDescent="0.2">
      <c r="A541" s="51">
        <v>45776</v>
      </c>
      <c r="B541" s="57" t="s">
        <v>22</v>
      </c>
      <c r="C541" s="53">
        <v>50659</v>
      </c>
      <c r="D541" s="61">
        <v>8575</v>
      </c>
      <c r="E541" s="62"/>
      <c r="F541" s="61">
        <f t="shared" si="8"/>
        <v>-8575</v>
      </c>
      <c r="G541" s="15">
        <v>41</v>
      </c>
    </row>
    <row r="542" spans="1:7" x14ac:dyDescent="0.2">
      <c r="A542" s="54">
        <v>45776</v>
      </c>
      <c r="B542" s="57" t="s">
        <v>23</v>
      </c>
      <c r="C542" s="53">
        <v>50660</v>
      </c>
      <c r="D542" s="61">
        <v>1800.75</v>
      </c>
      <c r="E542" s="62"/>
      <c r="F542" s="61">
        <f t="shared" si="8"/>
        <v>-1800.75</v>
      </c>
      <c r="G542" s="15">
        <v>42</v>
      </c>
    </row>
    <row r="543" spans="1:7" x14ac:dyDescent="0.2">
      <c r="A543" s="54">
        <v>45776</v>
      </c>
      <c r="B543" s="57" t="s">
        <v>24</v>
      </c>
      <c r="C543" s="53">
        <v>50661</v>
      </c>
      <c r="D543" s="61">
        <v>257.25</v>
      </c>
      <c r="E543" s="62"/>
      <c r="F543" s="61">
        <f t="shared" si="8"/>
        <v>-257.25</v>
      </c>
      <c r="G543" s="15">
        <v>43</v>
      </c>
    </row>
    <row r="544" spans="1:7" x14ac:dyDescent="0.2">
      <c r="A544" s="54">
        <v>45776</v>
      </c>
      <c r="B544" s="57" t="s">
        <v>12</v>
      </c>
      <c r="C544" s="53">
        <v>50655</v>
      </c>
      <c r="D544" s="61">
        <v>51.45</v>
      </c>
      <c r="E544" s="61"/>
      <c r="F544" s="61">
        <f t="shared" si="8"/>
        <v>-51.45</v>
      </c>
      <c r="G544" s="15">
        <v>44</v>
      </c>
    </row>
    <row r="545" spans="1:7" x14ac:dyDescent="0.2">
      <c r="A545" s="54">
        <v>45776</v>
      </c>
      <c r="B545" s="57" t="s">
        <v>13</v>
      </c>
      <c r="C545" s="53">
        <v>50655</v>
      </c>
      <c r="D545" s="61">
        <v>128.63</v>
      </c>
      <c r="E545" s="61"/>
      <c r="F545" s="61">
        <f t="shared" si="8"/>
        <v>-128.63</v>
      </c>
      <c r="G545" s="15">
        <v>45</v>
      </c>
    </row>
    <row r="546" spans="1:7" x14ac:dyDescent="0.2">
      <c r="A546" s="54">
        <v>45776</v>
      </c>
      <c r="B546" s="57" t="s">
        <v>12</v>
      </c>
      <c r="C546" s="53">
        <v>50656</v>
      </c>
      <c r="D546" s="61">
        <v>10.8</v>
      </c>
      <c r="E546" s="61"/>
      <c r="F546" s="61">
        <f t="shared" si="8"/>
        <v>-10.8</v>
      </c>
      <c r="G546" s="15">
        <v>46</v>
      </c>
    </row>
    <row r="547" spans="1:7" x14ac:dyDescent="0.2">
      <c r="A547" s="54">
        <v>45776</v>
      </c>
      <c r="B547" s="57" t="s">
        <v>12</v>
      </c>
      <c r="C547" s="53">
        <v>50657</v>
      </c>
      <c r="D547" s="61">
        <v>1.54</v>
      </c>
      <c r="E547" s="61"/>
      <c r="F547" s="61">
        <f t="shared" si="8"/>
        <v>-1.54</v>
      </c>
      <c r="G547" s="15">
        <v>47</v>
      </c>
    </row>
    <row r="548" spans="1:7" x14ac:dyDescent="0.2">
      <c r="A548" s="54">
        <v>45776</v>
      </c>
      <c r="B548" s="57" t="s">
        <v>12</v>
      </c>
      <c r="C548" s="53">
        <v>50659</v>
      </c>
      <c r="D548" s="61">
        <v>51.45</v>
      </c>
      <c r="E548" s="61"/>
      <c r="F548" s="61">
        <f t="shared" si="8"/>
        <v>-51.45</v>
      </c>
      <c r="G548" s="15">
        <v>48</v>
      </c>
    </row>
    <row r="549" spans="1:7" x14ac:dyDescent="0.2">
      <c r="A549" s="54">
        <v>45776</v>
      </c>
      <c r="B549" s="57" t="s">
        <v>13</v>
      </c>
      <c r="C549" s="53">
        <v>50659</v>
      </c>
      <c r="D549" s="61">
        <v>128.63</v>
      </c>
      <c r="E549" s="61"/>
      <c r="F549" s="61">
        <f t="shared" si="8"/>
        <v>-128.63</v>
      </c>
      <c r="G549" s="15">
        <v>49</v>
      </c>
    </row>
    <row r="550" spans="1:7" x14ac:dyDescent="0.2">
      <c r="A550" s="54">
        <v>45776</v>
      </c>
      <c r="B550" s="57" t="s">
        <v>12</v>
      </c>
      <c r="C550" s="53">
        <v>50660</v>
      </c>
      <c r="D550" s="61">
        <v>10.8</v>
      </c>
      <c r="E550" s="61"/>
      <c r="F550" s="61">
        <f t="shared" si="8"/>
        <v>-10.8</v>
      </c>
      <c r="G550" s="15">
        <v>50</v>
      </c>
    </row>
    <row r="551" spans="1:7" x14ac:dyDescent="0.2">
      <c r="A551" s="54">
        <v>45776</v>
      </c>
      <c r="B551" s="57" t="s">
        <v>12</v>
      </c>
      <c r="C551" s="53">
        <v>50661</v>
      </c>
      <c r="D551" s="61">
        <v>1.54</v>
      </c>
      <c r="E551" s="61"/>
      <c r="F551" s="61">
        <f t="shared" si="8"/>
        <v>-1.54</v>
      </c>
      <c r="G551" s="15">
        <v>51</v>
      </c>
    </row>
    <row r="552" spans="1:7" x14ac:dyDescent="0.2">
      <c r="A552" s="54">
        <v>45776</v>
      </c>
      <c r="B552" s="57" t="s">
        <v>12</v>
      </c>
      <c r="C552" s="53">
        <v>50655</v>
      </c>
      <c r="D552" s="61">
        <v>0.77</v>
      </c>
      <c r="E552" s="61"/>
      <c r="F552" s="61">
        <f t="shared" si="8"/>
        <v>-0.77</v>
      </c>
      <c r="G552" s="15">
        <v>52</v>
      </c>
    </row>
    <row r="553" spans="1:7" x14ac:dyDescent="0.2">
      <c r="A553" s="54">
        <v>45776</v>
      </c>
      <c r="B553" s="57" t="s">
        <v>12</v>
      </c>
      <c r="C553" s="53">
        <v>50659</v>
      </c>
      <c r="D553" s="61">
        <v>0.77</v>
      </c>
      <c r="E553" s="61"/>
      <c r="F553" s="61">
        <f t="shared" si="8"/>
        <v>-0.77</v>
      </c>
      <c r="G553" s="15">
        <v>53</v>
      </c>
    </row>
    <row r="554" spans="1:7" x14ac:dyDescent="0.2">
      <c r="A554" s="54">
        <v>45777</v>
      </c>
      <c r="B554" s="57" t="s">
        <v>25</v>
      </c>
      <c r="C554" s="53">
        <v>50694</v>
      </c>
      <c r="D554" s="61">
        <v>27000</v>
      </c>
      <c r="E554" s="61"/>
      <c r="F554" s="61">
        <f t="shared" si="8"/>
        <v>-27000</v>
      </c>
      <c r="G554" s="15">
        <v>54</v>
      </c>
    </row>
    <row r="555" spans="1:7" x14ac:dyDescent="0.2">
      <c r="A555" s="54">
        <v>45777</v>
      </c>
      <c r="B555" s="57" t="s">
        <v>15</v>
      </c>
      <c r="C555" s="53">
        <v>50695</v>
      </c>
      <c r="D555" s="61">
        <v>5670</v>
      </c>
      <c r="E555" s="62"/>
      <c r="F555" s="61">
        <f t="shared" si="8"/>
        <v>-5670</v>
      </c>
      <c r="G555" s="15">
        <v>55</v>
      </c>
    </row>
    <row r="556" spans="1:7" x14ac:dyDescent="0.2">
      <c r="A556" s="54">
        <v>45777</v>
      </c>
      <c r="B556" s="57" t="s">
        <v>18</v>
      </c>
      <c r="C556" s="53">
        <v>50695</v>
      </c>
      <c r="D556" s="61">
        <v>810</v>
      </c>
      <c r="E556" s="62"/>
      <c r="F556" s="61">
        <f t="shared" si="8"/>
        <v>-810</v>
      </c>
      <c r="G556" s="15">
        <v>56</v>
      </c>
    </row>
    <row r="557" spans="1:7" x14ac:dyDescent="0.2">
      <c r="A557" s="54">
        <v>45777</v>
      </c>
      <c r="B557" s="57" t="s">
        <v>12</v>
      </c>
      <c r="C557" s="53">
        <v>50694</v>
      </c>
      <c r="D557" s="61">
        <v>162</v>
      </c>
      <c r="E557" s="62"/>
      <c r="F557" s="61">
        <f t="shared" si="8"/>
        <v>-162</v>
      </c>
      <c r="G557" s="15">
        <v>57</v>
      </c>
    </row>
    <row r="558" spans="1:7" x14ac:dyDescent="0.2">
      <c r="A558" s="54">
        <v>45777</v>
      </c>
      <c r="B558" s="57" t="s">
        <v>13</v>
      </c>
      <c r="C558" s="53">
        <v>50694</v>
      </c>
      <c r="D558" s="61">
        <v>405</v>
      </c>
      <c r="E558" s="62"/>
      <c r="F558" s="61">
        <f t="shared" si="8"/>
        <v>-405</v>
      </c>
      <c r="G558" s="15">
        <v>58</v>
      </c>
    </row>
    <row r="559" spans="1:7" x14ac:dyDescent="0.2">
      <c r="A559" s="54">
        <v>45777</v>
      </c>
      <c r="B559" s="57" t="s">
        <v>12</v>
      </c>
      <c r="C559" s="53">
        <v>50695</v>
      </c>
      <c r="D559" s="61">
        <v>34.020000000000003</v>
      </c>
      <c r="E559" s="62"/>
      <c r="F559" s="61">
        <f t="shared" si="8"/>
        <v>-34.020000000000003</v>
      </c>
      <c r="G559" s="15">
        <v>59</v>
      </c>
    </row>
    <row r="560" spans="1:7" x14ac:dyDescent="0.2">
      <c r="A560" s="54">
        <v>45777</v>
      </c>
      <c r="B560" s="57" t="s">
        <v>12</v>
      </c>
      <c r="C560" s="53">
        <v>50695</v>
      </c>
      <c r="D560" s="61">
        <v>4.8600000000000003</v>
      </c>
      <c r="E560" s="62"/>
      <c r="F560" s="61">
        <f t="shared" si="8"/>
        <v>-4.8600000000000003</v>
      </c>
      <c r="G560" s="15">
        <v>60</v>
      </c>
    </row>
    <row r="561" spans="1:7" x14ac:dyDescent="0.2">
      <c r="A561" s="54">
        <v>45777</v>
      </c>
      <c r="B561" s="57" t="s">
        <v>12</v>
      </c>
      <c r="C561" s="53">
        <v>50694</v>
      </c>
      <c r="D561" s="61">
        <v>2.4300000000000002</v>
      </c>
      <c r="E561" s="62"/>
      <c r="F561" s="61">
        <f t="shared" si="8"/>
        <v>-2.4300000000000002</v>
      </c>
      <c r="G561" s="15">
        <v>61</v>
      </c>
    </row>
    <row r="562" spans="1:7" x14ac:dyDescent="0.2">
      <c r="A562" s="51">
        <v>45786</v>
      </c>
      <c r="B562" s="52" t="s">
        <v>11</v>
      </c>
      <c r="C562" s="53">
        <v>50712</v>
      </c>
      <c r="D562" s="61">
        <v>6000000</v>
      </c>
      <c r="E562" s="62"/>
      <c r="F562" s="61">
        <f t="shared" si="8"/>
        <v>-6000000</v>
      </c>
      <c r="G562" s="13">
        <v>2</v>
      </c>
    </row>
    <row r="563" spans="1:7" x14ac:dyDescent="0.2">
      <c r="A563" s="51">
        <v>45789</v>
      </c>
      <c r="B563" s="52" t="s">
        <v>9</v>
      </c>
      <c r="C563" s="53">
        <v>50715</v>
      </c>
      <c r="D563" s="61">
        <v>956</v>
      </c>
      <c r="E563" s="62"/>
      <c r="F563" s="61">
        <f t="shared" si="8"/>
        <v>-956</v>
      </c>
      <c r="G563" s="13">
        <v>3</v>
      </c>
    </row>
    <row r="564" spans="1:7" x14ac:dyDescent="0.2">
      <c r="A564" s="51">
        <v>45789</v>
      </c>
      <c r="B564" s="52" t="s">
        <v>15</v>
      </c>
      <c r="C564" s="53">
        <v>50716</v>
      </c>
      <c r="D564" s="61">
        <v>200.76</v>
      </c>
      <c r="E564" s="62"/>
      <c r="F564" s="61">
        <f t="shared" si="8"/>
        <v>-200.76</v>
      </c>
      <c r="G564" s="13">
        <v>4</v>
      </c>
    </row>
    <row r="565" spans="1:7" x14ac:dyDescent="0.2">
      <c r="A565" s="51">
        <v>45789</v>
      </c>
      <c r="B565" s="52" t="s">
        <v>12</v>
      </c>
      <c r="C565" s="53">
        <v>50715</v>
      </c>
      <c r="D565" s="61">
        <v>5.74</v>
      </c>
      <c r="E565" s="62"/>
      <c r="F565" s="61">
        <f t="shared" si="8"/>
        <v>-5.74</v>
      </c>
      <c r="G565" s="13">
        <v>5</v>
      </c>
    </row>
    <row r="566" spans="1:7" x14ac:dyDescent="0.2">
      <c r="A566" s="51">
        <v>45789</v>
      </c>
      <c r="B566" s="52" t="s">
        <v>12</v>
      </c>
      <c r="C566" s="53">
        <v>50716</v>
      </c>
      <c r="D566" s="61">
        <v>1.2</v>
      </c>
      <c r="E566" s="62"/>
      <c r="F566" s="61">
        <f t="shared" si="8"/>
        <v>-1.2</v>
      </c>
      <c r="G566" s="13">
        <v>6</v>
      </c>
    </row>
    <row r="567" spans="1:7" x14ac:dyDescent="0.2">
      <c r="A567" s="51">
        <v>45791</v>
      </c>
      <c r="B567" s="52" t="s">
        <v>7</v>
      </c>
      <c r="C567" s="53">
        <v>9646338</v>
      </c>
      <c r="D567" s="62"/>
      <c r="E567" s="61">
        <v>339831779.42000002</v>
      </c>
      <c r="F567" s="61">
        <f t="shared" si="8"/>
        <v>339831779.42000002</v>
      </c>
      <c r="G567" s="13">
        <v>7</v>
      </c>
    </row>
    <row r="568" spans="1:7" x14ac:dyDescent="0.2">
      <c r="A568" s="51">
        <v>45791</v>
      </c>
      <c r="B568" s="52" t="s">
        <v>14</v>
      </c>
      <c r="C568" s="53">
        <v>9646338</v>
      </c>
      <c r="D568" s="61">
        <v>2038990.68</v>
      </c>
      <c r="E568" s="62"/>
      <c r="F568" s="61">
        <f t="shared" si="8"/>
        <v>-2038990.68</v>
      </c>
      <c r="G568" s="13">
        <v>8</v>
      </c>
    </row>
    <row r="569" spans="1:7" x14ac:dyDescent="0.2">
      <c r="A569" s="51">
        <v>45791</v>
      </c>
      <c r="B569" s="52" t="s">
        <v>17</v>
      </c>
      <c r="C569" s="53">
        <v>9646338</v>
      </c>
      <c r="D569" s="61">
        <v>679663.56</v>
      </c>
      <c r="E569" s="62"/>
      <c r="F569" s="61">
        <f t="shared" si="8"/>
        <v>-679663.56</v>
      </c>
      <c r="G569" s="13">
        <v>9</v>
      </c>
    </row>
    <row r="570" spans="1:7" x14ac:dyDescent="0.2">
      <c r="A570" s="51">
        <v>45791</v>
      </c>
      <c r="B570" s="52" t="s">
        <v>12</v>
      </c>
      <c r="C570" s="53">
        <v>9646338</v>
      </c>
      <c r="D570" s="61">
        <v>4077.98</v>
      </c>
      <c r="E570" s="62"/>
      <c r="F570" s="61">
        <f t="shared" si="8"/>
        <v>-4077.98</v>
      </c>
      <c r="G570" s="13">
        <v>10</v>
      </c>
    </row>
    <row r="571" spans="1:7" x14ac:dyDescent="0.2">
      <c r="A571" s="51">
        <v>45793</v>
      </c>
      <c r="B571" s="52" t="s">
        <v>11</v>
      </c>
      <c r="C571" s="53">
        <v>50726</v>
      </c>
      <c r="D571" s="61">
        <v>50000000</v>
      </c>
      <c r="E571" s="62"/>
      <c r="F571" s="61">
        <f t="shared" si="8"/>
        <v>-50000000</v>
      </c>
      <c r="G571" s="13">
        <v>11</v>
      </c>
    </row>
    <row r="572" spans="1:7" x14ac:dyDescent="0.2">
      <c r="A572" s="51">
        <v>45796</v>
      </c>
      <c r="B572" s="52" t="s">
        <v>11</v>
      </c>
      <c r="C572" s="53">
        <v>50743</v>
      </c>
      <c r="D572" s="61">
        <v>200000000</v>
      </c>
      <c r="E572" s="62"/>
      <c r="F572" s="61">
        <f t="shared" si="8"/>
        <v>-200000000</v>
      </c>
      <c r="G572" s="13">
        <v>12</v>
      </c>
    </row>
    <row r="573" spans="1:7" x14ac:dyDescent="0.2">
      <c r="A573" s="51">
        <v>45796</v>
      </c>
      <c r="B573" s="52" t="s">
        <v>9</v>
      </c>
      <c r="C573" s="53">
        <v>50746</v>
      </c>
      <c r="D573" s="61">
        <v>956</v>
      </c>
      <c r="E573" s="62"/>
      <c r="F573" s="61">
        <f t="shared" si="8"/>
        <v>-956</v>
      </c>
      <c r="G573" s="13">
        <v>13</v>
      </c>
    </row>
    <row r="574" spans="1:7" x14ac:dyDescent="0.2">
      <c r="A574" s="51">
        <v>45796</v>
      </c>
      <c r="B574" s="52" t="s">
        <v>15</v>
      </c>
      <c r="C574" s="53">
        <v>50747</v>
      </c>
      <c r="D574" s="61">
        <v>200.76</v>
      </c>
      <c r="E574" s="62"/>
      <c r="F574" s="61">
        <f t="shared" si="8"/>
        <v>-200.76</v>
      </c>
      <c r="G574" s="13">
        <v>14</v>
      </c>
    </row>
    <row r="575" spans="1:7" x14ac:dyDescent="0.2">
      <c r="A575" s="51">
        <v>45796</v>
      </c>
      <c r="B575" s="52" t="s">
        <v>12</v>
      </c>
      <c r="C575" s="53">
        <v>50746</v>
      </c>
      <c r="D575" s="61">
        <v>5.74</v>
      </c>
      <c r="E575" s="62"/>
      <c r="F575" s="61">
        <f t="shared" si="8"/>
        <v>-5.74</v>
      </c>
      <c r="G575" s="13">
        <v>15</v>
      </c>
    </row>
    <row r="576" spans="1:7" x14ac:dyDescent="0.2">
      <c r="A576" s="51">
        <v>45796</v>
      </c>
      <c r="B576" s="52" t="s">
        <v>12</v>
      </c>
      <c r="C576" s="53">
        <v>50747</v>
      </c>
      <c r="D576" s="61">
        <v>1.2</v>
      </c>
      <c r="E576" s="62"/>
      <c r="F576" s="61">
        <f t="shared" si="8"/>
        <v>-1.2</v>
      </c>
      <c r="G576" s="13">
        <v>16</v>
      </c>
    </row>
    <row r="577" spans="1:7" x14ac:dyDescent="0.2">
      <c r="A577" s="51">
        <v>45797</v>
      </c>
      <c r="B577" s="52" t="s">
        <v>9</v>
      </c>
      <c r="C577" s="53">
        <v>50750</v>
      </c>
      <c r="D577" s="61">
        <v>956</v>
      </c>
      <c r="E577" s="62"/>
      <c r="F577" s="61">
        <f t="shared" si="8"/>
        <v>-956</v>
      </c>
      <c r="G577" s="13">
        <v>17</v>
      </c>
    </row>
    <row r="578" spans="1:7" x14ac:dyDescent="0.2">
      <c r="A578" s="51">
        <v>45797</v>
      </c>
      <c r="B578" s="52" t="s">
        <v>15</v>
      </c>
      <c r="C578" s="53">
        <v>50751</v>
      </c>
      <c r="D578" s="61">
        <v>200.76</v>
      </c>
      <c r="E578" s="62"/>
      <c r="F578" s="61">
        <f t="shared" si="8"/>
        <v>-200.76</v>
      </c>
      <c r="G578" s="13">
        <v>18</v>
      </c>
    </row>
    <row r="579" spans="1:7" x14ac:dyDescent="0.2">
      <c r="A579" s="51">
        <v>45797</v>
      </c>
      <c r="B579" s="52" t="s">
        <v>12</v>
      </c>
      <c r="C579" s="53">
        <v>50750</v>
      </c>
      <c r="D579" s="61">
        <v>5.74</v>
      </c>
      <c r="E579" s="62"/>
      <c r="F579" s="61">
        <f t="shared" ref="F579:F642" si="9">+E579-D579</f>
        <v>-5.74</v>
      </c>
      <c r="G579" s="13">
        <v>19</v>
      </c>
    </row>
    <row r="580" spans="1:7" x14ac:dyDescent="0.2">
      <c r="A580" s="51">
        <v>45797</v>
      </c>
      <c r="B580" s="52" t="s">
        <v>12</v>
      </c>
      <c r="C580" s="53">
        <v>50751</v>
      </c>
      <c r="D580" s="61">
        <v>1.2</v>
      </c>
      <c r="E580" s="62"/>
      <c r="F580" s="61">
        <f t="shared" si="9"/>
        <v>-1.2</v>
      </c>
      <c r="G580" s="13">
        <v>20</v>
      </c>
    </row>
    <row r="581" spans="1:7" x14ac:dyDescent="0.2">
      <c r="A581" s="51">
        <v>45798</v>
      </c>
      <c r="B581" s="52" t="s">
        <v>11</v>
      </c>
      <c r="C581" s="53">
        <v>50757</v>
      </c>
      <c r="D581" s="61">
        <v>85000000</v>
      </c>
      <c r="E581" s="62"/>
      <c r="F581" s="61">
        <f t="shared" si="9"/>
        <v>-85000000</v>
      </c>
      <c r="G581" s="13">
        <v>21</v>
      </c>
    </row>
    <row r="582" spans="1:7" x14ac:dyDescent="0.2">
      <c r="A582" s="51">
        <v>45799</v>
      </c>
      <c r="B582" s="52" t="s">
        <v>9</v>
      </c>
      <c r="C582" s="53">
        <v>50776</v>
      </c>
      <c r="D582" s="61">
        <v>956</v>
      </c>
      <c r="E582" s="62"/>
      <c r="F582" s="61">
        <f t="shared" si="9"/>
        <v>-956</v>
      </c>
      <c r="G582" s="13">
        <v>22</v>
      </c>
    </row>
    <row r="583" spans="1:7" x14ac:dyDescent="0.2">
      <c r="A583" s="51">
        <v>45799</v>
      </c>
      <c r="B583" s="52" t="s">
        <v>15</v>
      </c>
      <c r="C583" s="53">
        <v>50777</v>
      </c>
      <c r="D583" s="61">
        <v>200.76</v>
      </c>
      <c r="E583" s="62"/>
      <c r="F583" s="61">
        <f t="shared" si="9"/>
        <v>-200.76</v>
      </c>
      <c r="G583" s="13">
        <v>23</v>
      </c>
    </row>
    <row r="584" spans="1:7" x14ac:dyDescent="0.2">
      <c r="A584" s="51">
        <v>45799</v>
      </c>
      <c r="B584" s="52" t="s">
        <v>12</v>
      </c>
      <c r="C584" s="53">
        <v>50776</v>
      </c>
      <c r="D584" s="61">
        <v>5.74</v>
      </c>
      <c r="E584" s="62"/>
      <c r="F584" s="61">
        <f t="shared" si="9"/>
        <v>-5.74</v>
      </c>
      <c r="G584" s="13">
        <v>24</v>
      </c>
    </row>
    <row r="585" spans="1:7" x14ac:dyDescent="0.2">
      <c r="A585" s="51">
        <v>45799</v>
      </c>
      <c r="B585" s="52" t="s">
        <v>12</v>
      </c>
      <c r="C585" s="53">
        <v>50777</v>
      </c>
      <c r="D585" s="61">
        <v>1.2</v>
      </c>
      <c r="E585" s="62"/>
      <c r="F585" s="61">
        <f t="shared" si="9"/>
        <v>-1.2</v>
      </c>
      <c r="G585" s="13">
        <v>25</v>
      </c>
    </row>
    <row r="586" spans="1:7" x14ac:dyDescent="0.2">
      <c r="A586" s="51">
        <v>45800</v>
      </c>
      <c r="B586" s="52" t="s">
        <v>26</v>
      </c>
      <c r="C586" s="53">
        <v>4038901</v>
      </c>
      <c r="D586" s="62"/>
      <c r="E586" s="61">
        <v>20000000</v>
      </c>
      <c r="F586" s="61">
        <f t="shared" si="9"/>
        <v>20000000</v>
      </c>
      <c r="G586" s="13">
        <v>26</v>
      </c>
    </row>
    <row r="587" spans="1:7" x14ac:dyDescent="0.2">
      <c r="A587" s="51">
        <v>45800</v>
      </c>
      <c r="B587" s="52" t="s">
        <v>16</v>
      </c>
      <c r="C587" s="53">
        <v>112947000</v>
      </c>
      <c r="D587" s="61">
        <v>73172.179999999993</v>
      </c>
      <c r="E587" s="62"/>
      <c r="F587" s="61">
        <f t="shared" si="9"/>
        <v>-73172.179999999993</v>
      </c>
      <c r="G587" s="13">
        <v>27</v>
      </c>
    </row>
    <row r="588" spans="1:7" x14ac:dyDescent="0.2">
      <c r="A588" s="51">
        <v>45800</v>
      </c>
      <c r="B588" s="52" t="s">
        <v>16</v>
      </c>
      <c r="C588" s="53">
        <v>112947000</v>
      </c>
      <c r="D588" s="61">
        <v>3398939.11</v>
      </c>
      <c r="E588" s="62"/>
      <c r="F588" s="61">
        <f t="shared" si="9"/>
        <v>-3398939.11</v>
      </c>
      <c r="G588" s="13">
        <v>28</v>
      </c>
    </row>
    <row r="589" spans="1:7" x14ac:dyDescent="0.2">
      <c r="A589" s="51">
        <v>45800</v>
      </c>
      <c r="B589" s="52" t="s">
        <v>16</v>
      </c>
      <c r="C589" s="53">
        <v>112947000</v>
      </c>
      <c r="D589" s="61">
        <v>5230237.05</v>
      </c>
      <c r="E589" s="62"/>
      <c r="F589" s="61">
        <f t="shared" si="9"/>
        <v>-5230237.05</v>
      </c>
      <c r="G589" s="13">
        <v>29</v>
      </c>
    </row>
    <row r="590" spans="1:7" x14ac:dyDescent="0.2">
      <c r="A590" s="51">
        <v>45800</v>
      </c>
      <c r="B590" s="52" t="s">
        <v>16</v>
      </c>
      <c r="C590" s="53">
        <v>112947000</v>
      </c>
      <c r="D590" s="61">
        <v>72458.12</v>
      </c>
      <c r="E590" s="62"/>
      <c r="F590" s="61">
        <f t="shared" si="9"/>
        <v>-72458.12</v>
      </c>
      <c r="G590" s="13">
        <v>30</v>
      </c>
    </row>
    <row r="591" spans="1:7" x14ac:dyDescent="0.2">
      <c r="A591" s="51">
        <v>45800</v>
      </c>
      <c r="B591" s="52" t="s">
        <v>16</v>
      </c>
      <c r="C591" s="53">
        <v>112947000</v>
      </c>
      <c r="D591" s="61">
        <v>3628228.88</v>
      </c>
      <c r="E591" s="62"/>
      <c r="F591" s="61">
        <f t="shared" si="9"/>
        <v>-3628228.88</v>
      </c>
      <c r="G591" s="13">
        <v>31</v>
      </c>
    </row>
    <row r="592" spans="1:7" x14ac:dyDescent="0.2">
      <c r="A592" s="51">
        <v>45800</v>
      </c>
      <c r="B592" s="52" t="s">
        <v>16</v>
      </c>
      <c r="C592" s="53">
        <v>112947000</v>
      </c>
      <c r="D592" s="61">
        <v>4355836.96</v>
      </c>
      <c r="E592" s="62"/>
      <c r="F592" s="61">
        <f t="shared" si="9"/>
        <v>-4355836.96</v>
      </c>
      <c r="G592" s="13">
        <v>32</v>
      </c>
    </row>
    <row r="593" spans="1:7" x14ac:dyDescent="0.2">
      <c r="A593" s="51">
        <v>45800</v>
      </c>
      <c r="B593" s="52" t="s">
        <v>16</v>
      </c>
      <c r="C593" s="53">
        <v>112947000</v>
      </c>
      <c r="D593" s="61">
        <v>3982062.22</v>
      </c>
      <c r="E593" s="62"/>
      <c r="F593" s="61">
        <f t="shared" si="9"/>
        <v>-3982062.22</v>
      </c>
      <c r="G593" s="13">
        <v>33</v>
      </c>
    </row>
    <row r="594" spans="1:7" x14ac:dyDescent="0.2">
      <c r="A594" s="51">
        <v>45800</v>
      </c>
      <c r="B594" s="52" t="s">
        <v>12</v>
      </c>
      <c r="C594" s="53">
        <v>112947000</v>
      </c>
      <c r="D594" s="61">
        <v>439.03</v>
      </c>
      <c r="E594" s="61"/>
      <c r="F594" s="61">
        <f t="shared" si="9"/>
        <v>-439.03</v>
      </c>
      <c r="G594" s="13">
        <v>34</v>
      </c>
    </row>
    <row r="595" spans="1:7" x14ac:dyDescent="0.2">
      <c r="A595" s="51">
        <v>45800</v>
      </c>
      <c r="B595" s="52" t="s">
        <v>12</v>
      </c>
      <c r="C595" s="53">
        <v>112947000</v>
      </c>
      <c r="D595" s="61">
        <v>20393.63</v>
      </c>
      <c r="E595" s="61"/>
      <c r="F595" s="61">
        <f t="shared" si="9"/>
        <v>-20393.63</v>
      </c>
      <c r="G595" s="13">
        <v>35</v>
      </c>
    </row>
    <row r="596" spans="1:7" x14ac:dyDescent="0.2">
      <c r="A596" s="51">
        <v>45800</v>
      </c>
      <c r="B596" s="52" t="s">
        <v>12</v>
      </c>
      <c r="C596" s="53">
        <v>112947000</v>
      </c>
      <c r="D596" s="61">
        <v>31381.42</v>
      </c>
      <c r="E596" s="61"/>
      <c r="F596" s="61">
        <f t="shared" si="9"/>
        <v>-31381.42</v>
      </c>
      <c r="G596" s="13">
        <v>36</v>
      </c>
    </row>
    <row r="597" spans="1:7" x14ac:dyDescent="0.2">
      <c r="A597" s="51">
        <v>45800</v>
      </c>
      <c r="B597" s="52" t="s">
        <v>12</v>
      </c>
      <c r="C597" s="53">
        <v>112947000</v>
      </c>
      <c r="D597" s="61">
        <v>434.75</v>
      </c>
      <c r="E597" s="61"/>
      <c r="F597" s="61">
        <f t="shared" si="9"/>
        <v>-434.75</v>
      </c>
      <c r="G597" s="13">
        <v>37</v>
      </c>
    </row>
    <row r="598" spans="1:7" x14ac:dyDescent="0.2">
      <c r="A598" s="51">
        <v>45800</v>
      </c>
      <c r="B598" s="52" t="s">
        <v>12</v>
      </c>
      <c r="C598" s="53">
        <v>112947000</v>
      </c>
      <c r="D598" s="61">
        <v>21769.37</v>
      </c>
      <c r="E598" s="61"/>
      <c r="F598" s="61">
        <f t="shared" si="9"/>
        <v>-21769.37</v>
      </c>
      <c r="G598" s="13">
        <v>38</v>
      </c>
    </row>
    <row r="599" spans="1:7" x14ac:dyDescent="0.2">
      <c r="A599" s="51">
        <v>45800</v>
      </c>
      <c r="B599" s="52" t="s">
        <v>12</v>
      </c>
      <c r="C599" s="53">
        <v>112947000</v>
      </c>
      <c r="D599" s="61">
        <v>26135.02</v>
      </c>
      <c r="E599" s="61"/>
      <c r="F599" s="61">
        <f t="shared" si="9"/>
        <v>-26135.02</v>
      </c>
      <c r="G599" s="13">
        <v>39</v>
      </c>
    </row>
    <row r="600" spans="1:7" x14ac:dyDescent="0.2">
      <c r="A600" s="51">
        <v>45800</v>
      </c>
      <c r="B600" s="52" t="s">
        <v>12</v>
      </c>
      <c r="C600" s="53">
        <v>112947000</v>
      </c>
      <c r="D600" s="61">
        <v>23892.37</v>
      </c>
      <c r="E600" s="61"/>
      <c r="F600" s="61">
        <f t="shared" si="9"/>
        <v>-23892.37</v>
      </c>
      <c r="G600" s="13">
        <v>40</v>
      </c>
    </row>
    <row r="601" spans="1:7" x14ac:dyDescent="0.2">
      <c r="A601" s="51">
        <v>45804</v>
      </c>
      <c r="B601" s="52" t="s">
        <v>11</v>
      </c>
      <c r="C601" s="53">
        <v>50831</v>
      </c>
      <c r="D601" s="61">
        <v>3000000</v>
      </c>
      <c r="E601" s="61"/>
      <c r="F601" s="61">
        <f t="shared" si="9"/>
        <v>-3000000</v>
      </c>
      <c r="G601" s="13">
        <v>41</v>
      </c>
    </row>
    <row r="602" spans="1:7" x14ac:dyDescent="0.2">
      <c r="A602" s="54">
        <v>45805</v>
      </c>
      <c r="B602" s="52" t="s">
        <v>9</v>
      </c>
      <c r="C602" s="53">
        <v>50834</v>
      </c>
      <c r="D602" s="61">
        <v>956</v>
      </c>
      <c r="E602" s="62"/>
      <c r="F602" s="61">
        <f t="shared" si="9"/>
        <v>-956</v>
      </c>
      <c r="G602" s="13">
        <v>42</v>
      </c>
    </row>
    <row r="603" spans="1:7" x14ac:dyDescent="0.2">
      <c r="A603" s="54">
        <v>45805</v>
      </c>
      <c r="B603" s="52" t="s">
        <v>15</v>
      </c>
      <c r="C603" s="53">
        <v>50835</v>
      </c>
      <c r="D603" s="61">
        <v>200.76</v>
      </c>
      <c r="E603" s="62"/>
      <c r="F603" s="61">
        <f t="shared" si="9"/>
        <v>-200.76</v>
      </c>
      <c r="G603" s="13">
        <v>43</v>
      </c>
    </row>
    <row r="604" spans="1:7" x14ac:dyDescent="0.2">
      <c r="A604" s="54">
        <v>45805</v>
      </c>
      <c r="B604" s="52" t="s">
        <v>12</v>
      </c>
      <c r="C604" s="53">
        <v>50834</v>
      </c>
      <c r="D604" s="61">
        <v>5.74</v>
      </c>
      <c r="E604" s="62"/>
      <c r="F604" s="61">
        <f t="shared" si="9"/>
        <v>-5.74</v>
      </c>
      <c r="G604" s="13">
        <v>44</v>
      </c>
    </row>
    <row r="605" spans="1:7" x14ac:dyDescent="0.2">
      <c r="A605" s="54">
        <v>45805</v>
      </c>
      <c r="B605" s="52" t="s">
        <v>12</v>
      </c>
      <c r="C605" s="53">
        <v>50835</v>
      </c>
      <c r="D605" s="61">
        <v>1.2</v>
      </c>
      <c r="E605" s="62"/>
      <c r="F605" s="61">
        <f t="shared" si="9"/>
        <v>-1.2</v>
      </c>
      <c r="G605" s="13">
        <v>45</v>
      </c>
    </row>
    <row r="606" spans="1:7" x14ac:dyDescent="0.2">
      <c r="A606" s="54">
        <v>45807</v>
      </c>
      <c r="B606" s="52" t="s">
        <v>8</v>
      </c>
      <c r="C606" s="53">
        <v>50838</v>
      </c>
      <c r="D606" s="61">
        <v>27000</v>
      </c>
      <c r="E606" s="62"/>
      <c r="F606" s="61">
        <f t="shared" si="9"/>
        <v>-27000</v>
      </c>
      <c r="G606" s="13">
        <v>46</v>
      </c>
    </row>
    <row r="607" spans="1:7" x14ac:dyDescent="0.2">
      <c r="A607" s="54">
        <v>45807</v>
      </c>
      <c r="B607" s="52" t="s">
        <v>15</v>
      </c>
      <c r="C607" s="53">
        <v>50839</v>
      </c>
      <c r="D607" s="61">
        <v>5670</v>
      </c>
      <c r="E607" s="62"/>
      <c r="F607" s="61">
        <f t="shared" si="9"/>
        <v>-5670</v>
      </c>
      <c r="G607" s="13">
        <v>47</v>
      </c>
    </row>
    <row r="608" spans="1:7" x14ac:dyDescent="0.2">
      <c r="A608" s="54">
        <v>45807</v>
      </c>
      <c r="B608" s="52" t="s">
        <v>18</v>
      </c>
      <c r="C608" s="53">
        <v>50839</v>
      </c>
      <c r="D608" s="61">
        <v>810</v>
      </c>
      <c r="E608" s="62"/>
      <c r="F608" s="61">
        <f t="shared" si="9"/>
        <v>-810</v>
      </c>
      <c r="G608" s="13">
        <v>48</v>
      </c>
    </row>
    <row r="609" spans="1:7" x14ac:dyDescent="0.2">
      <c r="A609" s="54">
        <v>45807</v>
      </c>
      <c r="B609" s="52" t="s">
        <v>12</v>
      </c>
      <c r="C609" s="53">
        <v>50838</v>
      </c>
      <c r="D609" s="61">
        <v>162</v>
      </c>
      <c r="E609" s="62"/>
      <c r="F609" s="61">
        <f t="shared" si="9"/>
        <v>-162</v>
      </c>
      <c r="G609" s="13">
        <v>49</v>
      </c>
    </row>
    <row r="610" spans="1:7" x14ac:dyDescent="0.2">
      <c r="A610" s="54">
        <v>45807</v>
      </c>
      <c r="B610" s="52" t="s">
        <v>13</v>
      </c>
      <c r="C610" s="53">
        <v>50838</v>
      </c>
      <c r="D610" s="61">
        <v>405</v>
      </c>
      <c r="E610" s="62"/>
      <c r="F610" s="61">
        <f t="shared" si="9"/>
        <v>-405</v>
      </c>
      <c r="G610" s="13">
        <v>50</v>
      </c>
    </row>
    <row r="611" spans="1:7" x14ac:dyDescent="0.2">
      <c r="A611" s="54">
        <v>45807</v>
      </c>
      <c r="B611" s="52" t="s">
        <v>12</v>
      </c>
      <c r="C611" s="53">
        <v>50839</v>
      </c>
      <c r="D611" s="61">
        <v>34.020000000000003</v>
      </c>
      <c r="E611" s="62"/>
      <c r="F611" s="61">
        <f t="shared" si="9"/>
        <v>-34.020000000000003</v>
      </c>
      <c r="G611" s="13">
        <v>51</v>
      </c>
    </row>
    <row r="612" spans="1:7" x14ac:dyDescent="0.2">
      <c r="A612" s="54">
        <v>45807</v>
      </c>
      <c r="B612" s="52" t="s">
        <v>12</v>
      </c>
      <c r="C612" s="53">
        <v>50839</v>
      </c>
      <c r="D612" s="61">
        <v>4.8600000000000003</v>
      </c>
      <c r="E612" s="62"/>
      <c r="F612" s="61">
        <f t="shared" si="9"/>
        <v>-4.8600000000000003</v>
      </c>
      <c r="G612" s="13">
        <v>52</v>
      </c>
    </row>
    <row r="613" spans="1:7" x14ac:dyDescent="0.2">
      <c r="A613" s="54">
        <v>45807</v>
      </c>
      <c r="B613" s="52" t="s">
        <v>12</v>
      </c>
      <c r="C613" s="53">
        <v>50838</v>
      </c>
      <c r="D613" s="61">
        <v>2.4300000000000002</v>
      </c>
      <c r="E613" s="62"/>
      <c r="F613" s="61">
        <f t="shared" si="9"/>
        <v>-2.4300000000000002</v>
      </c>
      <c r="G613" s="13">
        <v>53</v>
      </c>
    </row>
    <row r="614" spans="1:7" x14ac:dyDescent="0.2">
      <c r="A614" s="51">
        <v>45820</v>
      </c>
      <c r="B614" s="52" t="s">
        <v>7</v>
      </c>
      <c r="C614" s="53">
        <v>9019419</v>
      </c>
      <c r="D614" s="62"/>
      <c r="E614" s="61">
        <v>319578350.22000003</v>
      </c>
      <c r="F614" s="61">
        <f t="shared" si="9"/>
        <v>319578350.22000003</v>
      </c>
      <c r="G614" s="15">
        <v>2</v>
      </c>
    </row>
    <row r="615" spans="1:7" x14ac:dyDescent="0.2">
      <c r="A615" s="51">
        <v>45820</v>
      </c>
      <c r="B615" s="52" t="s">
        <v>14</v>
      </c>
      <c r="C615" s="53">
        <v>9019419</v>
      </c>
      <c r="D615" s="61">
        <v>1917470.1</v>
      </c>
      <c r="E615" s="62"/>
      <c r="F615" s="61">
        <f t="shared" si="9"/>
        <v>-1917470.1</v>
      </c>
      <c r="G615" s="15">
        <v>3</v>
      </c>
    </row>
    <row r="616" spans="1:7" x14ac:dyDescent="0.2">
      <c r="A616" s="51">
        <v>45820</v>
      </c>
      <c r="B616" s="52" t="s">
        <v>17</v>
      </c>
      <c r="C616" s="53">
        <v>9019419</v>
      </c>
      <c r="D616" s="61">
        <v>639156.69999999995</v>
      </c>
      <c r="E616" s="62"/>
      <c r="F616" s="61">
        <f t="shared" si="9"/>
        <v>-639156.69999999995</v>
      </c>
      <c r="G616" s="15">
        <v>4</v>
      </c>
    </row>
    <row r="617" spans="1:7" x14ac:dyDescent="0.2">
      <c r="A617" s="51">
        <v>45820</v>
      </c>
      <c r="B617" s="52" t="s">
        <v>12</v>
      </c>
      <c r="C617" s="53">
        <v>9019419</v>
      </c>
      <c r="D617" s="61">
        <v>3834.94</v>
      </c>
      <c r="E617" s="62"/>
      <c r="F617" s="61">
        <f t="shared" si="9"/>
        <v>-3834.94</v>
      </c>
      <c r="G617" s="15">
        <v>5</v>
      </c>
    </row>
    <row r="618" spans="1:7" x14ac:dyDescent="0.2">
      <c r="A618" s="51">
        <v>45821</v>
      </c>
      <c r="B618" s="52" t="s">
        <v>11</v>
      </c>
      <c r="C618" s="53">
        <v>50898</v>
      </c>
      <c r="D618" s="61">
        <v>50000000</v>
      </c>
      <c r="E618" s="62"/>
      <c r="F618" s="61">
        <f t="shared" si="9"/>
        <v>-50000000</v>
      </c>
      <c r="G618" s="15">
        <v>6</v>
      </c>
    </row>
    <row r="619" spans="1:7" x14ac:dyDescent="0.2">
      <c r="A619" s="51">
        <v>45825</v>
      </c>
      <c r="B619" s="52" t="s">
        <v>11</v>
      </c>
      <c r="C619" s="53">
        <v>50906</v>
      </c>
      <c r="D619" s="61">
        <v>150000000</v>
      </c>
      <c r="E619" s="62"/>
      <c r="F619" s="61">
        <f t="shared" si="9"/>
        <v>-150000000</v>
      </c>
      <c r="G619" s="15">
        <v>7</v>
      </c>
    </row>
    <row r="620" spans="1:7" x14ac:dyDescent="0.2">
      <c r="A620" s="51">
        <v>45825</v>
      </c>
      <c r="B620" s="52" t="s">
        <v>9</v>
      </c>
      <c r="C620" s="53">
        <v>50913</v>
      </c>
      <c r="D620" s="61">
        <v>956</v>
      </c>
      <c r="E620" s="62"/>
      <c r="F620" s="61">
        <f t="shared" si="9"/>
        <v>-956</v>
      </c>
      <c r="G620" s="15">
        <v>8</v>
      </c>
    </row>
    <row r="621" spans="1:7" x14ac:dyDescent="0.2">
      <c r="A621" s="51">
        <v>45825</v>
      </c>
      <c r="B621" s="52" t="s">
        <v>15</v>
      </c>
      <c r="C621" s="53">
        <v>50914</v>
      </c>
      <c r="D621" s="61">
        <v>200.76</v>
      </c>
      <c r="E621" s="62"/>
      <c r="F621" s="61">
        <f t="shared" si="9"/>
        <v>-200.76</v>
      </c>
      <c r="G621" s="15">
        <v>9</v>
      </c>
    </row>
    <row r="622" spans="1:7" x14ac:dyDescent="0.2">
      <c r="A622" s="51">
        <v>45825</v>
      </c>
      <c r="B622" s="52" t="s">
        <v>12</v>
      </c>
      <c r="C622" s="53">
        <v>50913</v>
      </c>
      <c r="D622" s="61">
        <v>5.74</v>
      </c>
      <c r="E622" s="62"/>
      <c r="F622" s="61">
        <f t="shared" si="9"/>
        <v>-5.74</v>
      </c>
      <c r="G622" s="15">
        <v>10</v>
      </c>
    </row>
    <row r="623" spans="1:7" x14ac:dyDescent="0.2">
      <c r="A623" s="51">
        <v>45825</v>
      </c>
      <c r="B623" s="52" t="s">
        <v>12</v>
      </c>
      <c r="C623" s="53">
        <v>50914</v>
      </c>
      <c r="D623" s="61">
        <v>1.2</v>
      </c>
      <c r="E623" s="62"/>
      <c r="F623" s="61">
        <f t="shared" si="9"/>
        <v>-1.2</v>
      </c>
      <c r="G623" s="15">
        <v>11</v>
      </c>
    </row>
    <row r="624" spans="1:7" x14ac:dyDescent="0.2">
      <c r="A624" s="51">
        <v>45826</v>
      </c>
      <c r="B624" s="52" t="s">
        <v>9</v>
      </c>
      <c r="C624" s="53">
        <v>50917</v>
      </c>
      <c r="D624" s="61">
        <v>956</v>
      </c>
      <c r="E624" s="62"/>
      <c r="F624" s="61">
        <f t="shared" si="9"/>
        <v>-956</v>
      </c>
      <c r="G624" s="15">
        <v>12</v>
      </c>
    </row>
    <row r="625" spans="1:7" x14ac:dyDescent="0.2">
      <c r="A625" s="51">
        <v>45826</v>
      </c>
      <c r="B625" s="52" t="s">
        <v>15</v>
      </c>
      <c r="C625" s="53">
        <v>50918</v>
      </c>
      <c r="D625" s="61">
        <v>200.76</v>
      </c>
      <c r="E625" s="62"/>
      <c r="F625" s="61">
        <f t="shared" si="9"/>
        <v>-200.76</v>
      </c>
      <c r="G625" s="15">
        <v>13</v>
      </c>
    </row>
    <row r="626" spans="1:7" x14ac:dyDescent="0.2">
      <c r="A626" s="51">
        <v>45826</v>
      </c>
      <c r="B626" s="52" t="s">
        <v>12</v>
      </c>
      <c r="C626" s="53">
        <v>50917</v>
      </c>
      <c r="D626" s="61">
        <v>5.74</v>
      </c>
      <c r="E626" s="62"/>
      <c r="F626" s="61">
        <f t="shared" si="9"/>
        <v>-5.74</v>
      </c>
      <c r="G626" s="15">
        <v>14</v>
      </c>
    </row>
    <row r="627" spans="1:7" x14ac:dyDescent="0.2">
      <c r="A627" s="51">
        <v>45826</v>
      </c>
      <c r="B627" s="52" t="s">
        <v>12</v>
      </c>
      <c r="C627" s="53">
        <v>50918</v>
      </c>
      <c r="D627" s="61">
        <v>1.2</v>
      </c>
      <c r="E627" s="62"/>
      <c r="F627" s="61">
        <f t="shared" si="9"/>
        <v>-1.2</v>
      </c>
      <c r="G627" s="15">
        <v>15</v>
      </c>
    </row>
    <row r="628" spans="1:7" x14ac:dyDescent="0.2">
      <c r="A628" s="51">
        <v>45827</v>
      </c>
      <c r="B628" s="52" t="s">
        <v>11</v>
      </c>
      <c r="C628" s="53">
        <v>50930</v>
      </c>
      <c r="D628" s="61">
        <v>100000000</v>
      </c>
      <c r="E628" s="62"/>
      <c r="F628" s="61">
        <f t="shared" si="9"/>
        <v>-100000000</v>
      </c>
      <c r="G628" s="15">
        <v>16</v>
      </c>
    </row>
    <row r="629" spans="1:7" x14ac:dyDescent="0.2">
      <c r="A629" s="51">
        <v>45827</v>
      </c>
      <c r="B629" s="52" t="s">
        <v>16</v>
      </c>
      <c r="C629" s="53">
        <v>112947000</v>
      </c>
      <c r="D629" s="61">
        <v>1890979.18</v>
      </c>
      <c r="E629" s="62"/>
      <c r="F629" s="61">
        <f t="shared" si="9"/>
        <v>-1890979.18</v>
      </c>
      <c r="G629" s="15">
        <v>17</v>
      </c>
    </row>
    <row r="630" spans="1:7" x14ac:dyDescent="0.2">
      <c r="A630" s="51">
        <v>45827</v>
      </c>
      <c r="B630" s="52" t="s">
        <v>16</v>
      </c>
      <c r="C630" s="53">
        <v>112947000</v>
      </c>
      <c r="D630" s="61">
        <v>30790.560000000001</v>
      </c>
      <c r="E630" s="62"/>
      <c r="F630" s="61">
        <f t="shared" si="9"/>
        <v>-30790.560000000001</v>
      </c>
      <c r="G630" s="15">
        <v>18</v>
      </c>
    </row>
    <row r="631" spans="1:7" x14ac:dyDescent="0.2">
      <c r="A631" s="51">
        <v>45827</v>
      </c>
      <c r="B631" s="52" t="s">
        <v>16</v>
      </c>
      <c r="C631" s="53">
        <v>112947000</v>
      </c>
      <c r="D631" s="61">
        <v>3337021.91</v>
      </c>
      <c r="E631" s="62"/>
      <c r="F631" s="61">
        <f t="shared" si="9"/>
        <v>-3337021.91</v>
      </c>
      <c r="G631" s="15">
        <v>19</v>
      </c>
    </row>
    <row r="632" spans="1:7" x14ac:dyDescent="0.2">
      <c r="A632" s="51">
        <v>45827</v>
      </c>
      <c r="B632" s="52" t="s">
        <v>16</v>
      </c>
      <c r="C632" s="53">
        <v>112947000</v>
      </c>
      <c r="D632" s="61">
        <v>6817147.5199999996</v>
      </c>
      <c r="E632" s="62"/>
      <c r="F632" s="61">
        <f t="shared" si="9"/>
        <v>-6817147.5199999996</v>
      </c>
      <c r="G632" s="15">
        <v>20</v>
      </c>
    </row>
    <row r="633" spans="1:7" x14ac:dyDescent="0.2">
      <c r="A633" s="51">
        <v>45827</v>
      </c>
      <c r="B633" s="52" t="s">
        <v>16</v>
      </c>
      <c r="C633" s="53">
        <v>112947000</v>
      </c>
      <c r="D633" s="61">
        <v>4029395.13</v>
      </c>
      <c r="E633" s="62"/>
      <c r="F633" s="61">
        <f t="shared" si="9"/>
        <v>-4029395.13</v>
      </c>
      <c r="G633" s="15">
        <v>21</v>
      </c>
    </row>
    <row r="634" spans="1:7" x14ac:dyDescent="0.2">
      <c r="A634" s="51">
        <v>45827</v>
      </c>
      <c r="B634" s="52" t="s">
        <v>12</v>
      </c>
      <c r="C634" s="53">
        <v>112947000</v>
      </c>
      <c r="D634" s="61">
        <v>11345.88</v>
      </c>
      <c r="E634" s="62"/>
      <c r="F634" s="61">
        <f t="shared" si="9"/>
        <v>-11345.88</v>
      </c>
      <c r="G634" s="15">
        <v>22</v>
      </c>
    </row>
    <row r="635" spans="1:7" x14ac:dyDescent="0.2">
      <c r="A635" s="51">
        <v>45827</v>
      </c>
      <c r="B635" s="52" t="s">
        <v>12</v>
      </c>
      <c r="C635" s="53">
        <v>112947000</v>
      </c>
      <c r="D635" s="61">
        <v>184.74</v>
      </c>
      <c r="E635" s="62"/>
      <c r="F635" s="61">
        <f t="shared" si="9"/>
        <v>-184.74</v>
      </c>
      <c r="G635" s="15">
        <v>23</v>
      </c>
    </row>
    <row r="636" spans="1:7" x14ac:dyDescent="0.2">
      <c r="A636" s="51">
        <v>45827</v>
      </c>
      <c r="B636" s="52" t="s">
        <v>12</v>
      </c>
      <c r="C636" s="53">
        <v>112947000</v>
      </c>
      <c r="D636" s="61">
        <v>20022.13</v>
      </c>
      <c r="E636" s="62"/>
      <c r="F636" s="61">
        <f t="shared" si="9"/>
        <v>-20022.13</v>
      </c>
      <c r="G636" s="15">
        <v>24</v>
      </c>
    </row>
    <row r="637" spans="1:7" x14ac:dyDescent="0.2">
      <c r="A637" s="51">
        <v>45827</v>
      </c>
      <c r="B637" s="52" t="s">
        <v>12</v>
      </c>
      <c r="C637" s="53">
        <v>112947000</v>
      </c>
      <c r="D637" s="61">
        <v>40902.89</v>
      </c>
      <c r="E637" s="62"/>
      <c r="F637" s="61">
        <f t="shared" si="9"/>
        <v>-40902.89</v>
      </c>
      <c r="G637" s="15">
        <v>25</v>
      </c>
    </row>
    <row r="638" spans="1:7" x14ac:dyDescent="0.2">
      <c r="A638" s="51">
        <v>45827</v>
      </c>
      <c r="B638" s="52" t="s">
        <v>12</v>
      </c>
      <c r="C638" s="53">
        <v>112947000</v>
      </c>
      <c r="D638" s="61">
        <v>24176.37</v>
      </c>
      <c r="E638" s="62"/>
      <c r="F638" s="61">
        <f t="shared" si="9"/>
        <v>-24176.37</v>
      </c>
      <c r="G638" s="15">
        <v>26</v>
      </c>
    </row>
    <row r="639" spans="1:7" x14ac:dyDescent="0.2">
      <c r="A639" s="51">
        <v>45831</v>
      </c>
      <c r="B639" s="52" t="s">
        <v>9</v>
      </c>
      <c r="C639" s="53">
        <v>50952</v>
      </c>
      <c r="D639" s="61">
        <v>956</v>
      </c>
      <c r="E639" s="62"/>
      <c r="F639" s="61">
        <f t="shared" si="9"/>
        <v>-956</v>
      </c>
      <c r="G639" s="15">
        <v>27</v>
      </c>
    </row>
    <row r="640" spans="1:7" x14ac:dyDescent="0.2">
      <c r="A640" s="51">
        <v>45831</v>
      </c>
      <c r="B640" s="52" t="s">
        <v>15</v>
      </c>
      <c r="C640" s="53">
        <v>50953</v>
      </c>
      <c r="D640" s="61">
        <v>200.76</v>
      </c>
      <c r="E640" s="62"/>
      <c r="F640" s="61">
        <f t="shared" si="9"/>
        <v>-200.76</v>
      </c>
      <c r="G640" s="15">
        <v>28</v>
      </c>
    </row>
    <row r="641" spans="1:7" x14ac:dyDescent="0.2">
      <c r="A641" s="51">
        <v>45831</v>
      </c>
      <c r="B641" s="52" t="s">
        <v>12</v>
      </c>
      <c r="C641" s="53">
        <v>50952</v>
      </c>
      <c r="D641" s="61">
        <v>5.74</v>
      </c>
      <c r="E641" s="62"/>
      <c r="F641" s="61">
        <f t="shared" si="9"/>
        <v>-5.74</v>
      </c>
      <c r="G641" s="15">
        <v>29</v>
      </c>
    </row>
    <row r="642" spans="1:7" x14ac:dyDescent="0.2">
      <c r="A642" s="51">
        <v>45831</v>
      </c>
      <c r="B642" s="52" t="s">
        <v>12</v>
      </c>
      <c r="C642" s="53">
        <v>50953</v>
      </c>
      <c r="D642" s="61">
        <v>1.2</v>
      </c>
      <c r="E642" s="62"/>
      <c r="F642" s="61">
        <f t="shared" si="9"/>
        <v>-1.2</v>
      </c>
      <c r="G642" s="15">
        <v>30</v>
      </c>
    </row>
    <row r="643" spans="1:7" x14ac:dyDescent="0.2">
      <c r="A643" s="51">
        <v>45834</v>
      </c>
      <c r="B643" s="52" t="s">
        <v>10</v>
      </c>
      <c r="C643" s="53">
        <v>50982</v>
      </c>
      <c r="D643" s="61">
        <v>300000</v>
      </c>
      <c r="E643" s="62"/>
      <c r="F643" s="61">
        <f t="shared" ref="F643:F706" si="10">+E643-D643</f>
        <v>-300000</v>
      </c>
      <c r="G643" s="15">
        <v>31</v>
      </c>
    </row>
    <row r="644" spans="1:7" x14ac:dyDescent="0.2">
      <c r="A644" s="51">
        <v>45834</v>
      </c>
      <c r="B644" s="52" t="s">
        <v>12</v>
      </c>
      <c r="C644" s="53">
        <v>50982</v>
      </c>
      <c r="D644" s="61">
        <v>1800</v>
      </c>
      <c r="E644" s="62"/>
      <c r="F644" s="61">
        <f t="shared" si="10"/>
        <v>-1800</v>
      </c>
      <c r="G644" s="15">
        <v>32</v>
      </c>
    </row>
    <row r="645" spans="1:7" x14ac:dyDescent="0.2">
      <c r="A645" s="51">
        <v>45835</v>
      </c>
      <c r="B645" s="52" t="s">
        <v>8</v>
      </c>
      <c r="C645" s="53">
        <v>50986</v>
      </c>
      <c r="D645" s="61">
        <v>27000</v>
      </c>
      <c r="E645" s="62"/>
      <c r="F645" s="61">
        <f t="shared" si="10"/>
        <v>-27000</v>
      </c>
      <c r="G645" s="15">
        <v>33</v>
      </c>
    </row>
    <row r="646" spans="1:7" x14ac:dyDescent="0.2">
      <c r="A646" s="51">
        <v>45835</v>
      </c>
      <c r="B646" s="52" t="s">
        <v>9</v>
      </c>
      <c r="C646" s="53">
        <v>50987</v>
      </c>
      <c r="D646" s="61">
        <v>535</v>
      </c>
      <c r="E646" s="62"/>
      <c r="F646" s="61">
        <f t="shared" si="10"/>
        <v>-535</v>
      </c>
      <c r="G646" s="15">
        <v>34</v>
      </c>
    </row>
    <row r="647" spans="1:7" x14ac:dyDescent="0.2">
      <c r="A647" s="51">
        <v>45835</v>
      </c>
      <c r="B647" s="52" t="s">
        <v>15</v>
      </c>
      <c r="C647" s="53">
        <v>50988</v>
      </c>
      <c r="D647" s="61">
        <v>5782.35</v>
      </c>
      <c r="E647" s="62"/>
      <c r="F647" s="61">
        <f t="shared" si="10"/>
        <v>-5782.35</v>
      </c>
      <c r="G647" s="15">
        <v>35</v>
      </c>
    </row>
    <row r="648" spans="1:7" x14ac:dyDescent="0.2">
      <c r="A648" s="51">
        <v>45835</v>
      </c>
      <c r="B648" s="52" t="s">
        <v>18</v>
      </c>
      <c r="C648" s="53">
        <v>50988</v>
      </c>
      <c r="D648" s="61">
        <v>826.05</v>
      </c>
      <c r="E648" s="62"/>
      <c r="F648" s="61">
        <f t="shared" si="10"/>
        <v>-826.05</v>
      </c>
      <c r="G648" s="15">
        <v>36</v>
      </c>
    </row>
    <row r="649" spans="1:7" x14ac:dyDescent="0.2">
      <c r="A649" s="51">
        <v>45835</v>
      </c>
      <c r="B649" s="52" t="s">
        <v>12</v>
      </c>
      <c r="C649" s="53">
        <v>50986</v>
      </c>
      <c r="D649" s="61">
        <v>162</v>
      </c>
      <c r="E649" s="62"/>
      <c r="F649" s="61">
        <f t="shared" si="10"/>
        <v>-162</v>
      </c>
      <c r="G649" s="15">
        <v>37</v>
      </c>
    </row>
    <row r="650" spans="1:7" x14ac:dyDescent="0.2">
      <c r="A650" s="51">
        <v>45835</v>
      </c>
      <c r="B650" s="52" t="s">
        <v>13</v>
      </c>
      <c r="C650" s="53">
        <v>50986</v>
      </c>
      <c r="D650" s="61">
        <v>405</v>
      </c>
      <c r="E650" s="62"/>
      <c r="F650" s="61">
        <f t="shared" si="10"/>
        <v>-405</v>
      </c>
      <c r="G650" s="15">
        <v>38</v>
      </c>
    </row>
    <row r="651" spans="1:7" x14ac:dyDescent="0.2">
      <c r="A651" s="51">
        <v>45835</v>
      </c>
      <c r="B651" s="52" t="s">
        <v>12</v>
      </c>
      <c r="C651" s="53">
        <v>50987</v>
      </c>
      <c r="D651" s="61">
        <v>3.21</v>
      </c>
      <c r="E651" s="62"/>
      <c r="F651" s="61">
        <f t="shared" si="10"/>
        <v>-3.21</v>
      </c>
      <c r="G651" s="15">
        <v>39</v>
      </c>
    </row>
    <row r="652" spans="1:7" x14ac:dyDescent="0.2">
      <c r="A652" s="51">
        <v>45835</v>
      </c>
      <c r="B652" s="52" t="s">
        <v>12</v>
      </c>
      <c r="C652" s="53">
        <v>50988</v>
      </c>
      <c r="D652" s="61">
        <v>34.69</v>
      </c>
      <c r="E652" s="62"/>
      <c r="F652" s="61">
        <f t="shared" si="10"/>
        <v>-34.69</v>
      </c>
      <c r="G652" s="15">
        <v>40</v>
      </c>
    </row>
    <row r="653" spans="1:7" x14ac:dyDescent="0.2">
      <c r="A653" s="51">
        <v>45835</v>
      </c>
      <c r="B653" s="52" t="s">
        <v>12</v>
      </c>
      <c r="C653" s="53">
        <v>50988</v>
      </c>
      <c r="D653" s="61">
        <v>4.96</v>
      </c>
      <c r="E653" s="62"/>
      <c r="F653" s="61">
        <f t="shared" si="10"/>
        <v>-4.96</v>
      </c>
      <c r="G653" s="15">
        <v>41</v>
      </c>
    </row>
    <row r="654" spans="1:7" x14ac:dyDescent="0.2">
      <c r="A654" s="51">
        <v>45835</v>
      </c>
      <c r="B654" s="52" t="s">
        <v>12</v>
      </c>
      <c r="C654" s="58">
        <v>50986</v>
      </c>
      <c r="D654" s="61">
        <v>2.4300000000000002</v>
      </c>
      <c r="E654" s="61"/>
      <c r="F654" s="61">
        <f t="shared" si="10"/>
        <v>-2.4300000000000002</v>
      </c>
      <c r="G654" s="15">
        <v>42</v>
      </c>
    </row>
    <row r="655" spans="1:7" x14ac:dyDescent="0.2">
      <c r="A655" s="59">
        <v>45841</v>
      </c>
      <c r="B655" s="60" t="s">
        <v>29</v>
      </c>
      <c r="C655" s="58">
        <v>51149</v>
      </c>
      <c r="D655" s="61">
        <v>956</v>
      </c>
      <c r="E655" s="61"/>
      <c r="F655" s="61">
        <f t="shared" si="10"/>
        <v>-956</v>
      </c>
      <c r="G655" s="15">
        <v>44</v>
      </c>
    </row>
    <row r="656" spans="1:7" x14ac:dyDescent="0.2">
      <c r="A656" s="59">
        <v>45841</v>
      </c>
      <c r="B656" s="52" t="s">
        <v>15</v>
      </c>
      <c r="C656" s="58">
        <v>51150</v>
      </c>
      <c r="D656" s="61">
        <v>200.76</v>
      </c>
      <c r="E656" s="61"/>
      <c r="F656" s="61">
        <f t="shared" si="10"/>
        <v>-200.76</v>
      </c>
      <c r="G656" s="15">
        <v>45</v>
      </c>
    </row>
    <row r="657" spans="1:7" x14ac:dyDescent="0.2">
      <c r="A657" s="59">
        <v>45841</v>
      </c>
      <c r="B657" s="52" t="s">
        <v>12</v>
      </c>
      <c r="C657" s="58">
        <v>51149</v>
      </c>
      <c r="D657" s="61">
        <v>5.74</v>
      </c>
      <c r="E657" s="61"/>
      <c r="F657" s="61">
        <f t="shared" si="10"/>
        <v>-5.74</v>
      </c>
      <c r="G657" s="15">
        <v>46</v>
      </c>
    </row>
    <row r="658" spans="1:7" x14ac:dyDescent="0.2">
      <c r="A658" s="59">
        <v>45841</v>
      </c>
      <c r="B658" s="52" t="s">
        <v>12</v>
      </c>
      <c r="C658" s="58">
        <v>51150</v>
      </c>
      <c r="D658" s="61">
        <v>1.2</v>
      </c>
      <c r="E658" s="61"/>
      <c r="F658" s="61">
        <f t="shared" si="10"/>
        <v>-1.2</v>
      </c>
      <c r="G658" s="15">
        <v>47</v>
      </c>
    </row>
    <row r="659" spans="1:7" x14ac:dyDescent="0.2">
      <c r="A659" s="51">
        <v>45854</v>
      </c>
      <c r="B659" s="52" t="s">
        <v>27</v>
      </c>
      <c r="C659" s="53">
        <v>9168915</v>
      </c>
      <c r="D659" s="62"/>
      <c r="E659" s="61">
        <v>370209185.57999998</v>
      </c>
      <c r="F659" s="61">
        <f t="shared" si="10"/>
        <v>370209185.57999998</v>
      </c>
      <c r="G659" s="15">
        <v>2</v>
      </c>
    </row>
    <row r="660" spans="1:7" x14ac:dyDescent="0.2">
      <c r="A660" s="51">
        <v>45854</v>
      </c>
      <c r="B660" s="52" t="s">
        <v>14</v>
      </c>
      <c r="C660" s="53">
        <v>9168915</v>
      </c>
      <c r="D660" s="61">
        <v>2221255.11</v>
      </c>
      <c r="E660" s="62"/>
      <c r="F660" s="61">
        <f t="shared" si="10"/>
        <v>-2221255.11</v>
      </c>
      <c r="G660" s="15">
        <v>3</v>
      </c>
    </row>
    <row r="661" spans="1:7" x14ac:dyDescent="0.2">
      <c r="A661" s="51">
        <v>45854</v>
      </c>
      <c r="B661" s="52" t="s">
        <v>17</v>
      </c>
      <c r="C661" s="53">
        <v>9168915</v>
      </c>
      <c r="D661" s="61">
        <v>370209.19</v>
      </c>
      <c r="E661" s="62"/>
      <c r="F661" s="61">
        <f t="shared" si="10"/>
        <v>-370209.19</v>
      </c>
      <c r="G661" s="15">
        <v>4</v>
      </c>
    </row>
    <row r="662" spans="1:7" x14ac:dyDescent="0.2">
      <c r="A662" s="51">
        <v>45854</v>
      </c>
      <c r="B662" s="52" t="s">
        <v>12</v>
      </c>
      <c r="C662" s="53">
        <v>9168915</v>
      </c>
      <c r="D662" s="61">
        <v>2221.2600000000002</v>
      </c>
      <c r="E662" s="62"/>
      <c r="F662" s="61">
        <f t="shared" si="10"/>
        <v>-2221.2600000000002</v>
      </c>
      <c r="G662" s="15">
        <v>5</v>
      </c>
    </row>
    <row r="663" spans="1:7" x14ac:dyDescent="0.2">
      <c r="A663" s="51">
        <v>45855</v>
      </c>
      <c r="B663" s="52" t="s">
        <v>11</v>
      </c>
      <c r="C663" s="53">
        <v>51042</v>
      </c>
      <c r="D663" s="61">
        <v>200000000</v>
      </c>
      <c r="E663" s="62"/>
      <c r="F663" s="61">
        <f t="shared" si="10"/>
        <v>-200000000</v>
      </c>
      <c r="G663" s="15">
        <v>6</v>
      </c>
    </row>
    <row r="664" spans="1:7" x14ac:dyDescent="0.2">
      <c r="A664" s="51">
        <v>45855</v>
      </c>
      <c r="B664" s="52" t="s">
        <v>16</v>
      </c>
      <c r="C664" s="53">
        <v>112947000</v>
      </c>
      <c r="D664" s="61">
        <v>2881951</v>
      </c>
      <c r="E664" s="62"/>
      <c r="F664" s="61">
        <f t="shared" si="10"/>
        <v>-2881951</v>
      </c>
      <c r="G664" s="15">
        <v>7</v>
      </c>
    </row>
    <row r="665" spans="1:7" x14ac:dyDescent="0.2">
      <c r="A665" s="51">
        <v>45855</v>
      </c>
      <c r="B665" s="52" t="s">
        <v>16</v>
      </c>
      <c r="C665" s="53">
        <v>112947000</v>
      </c>
      <c r="D665" s="61">
        <v>31125.24</v>
      </c>
      <c r="E665" s="62"/>
      <c r="F665" s="61">
        <f t="shared" si="10"/>
        <v>-31125.24</v>
      </c>
      <c r="G665" s="15">
        <v>8</v>
      </c>
    </row>
    <row r="666" spans="1:7" x14ac:dyDescent="0.2">
      <c r="A666" s="51">
        <v>45855</v>
      </c>
      <c r="B666" s="52" t="s">
        <v>16</v>
      </c>
      <c r="C666" s="53">
        <v>112947000</v>
      </c>
      <c r="D666" s="61">
        <v>5085795.96</v>
      </c>
      <c r="E666" s="62"/>
      <c r="F666" s="61">
        <f t="shared" si="10"/>
        <v>-5085795.96</v>
      </c>
      <c r="G666" s="15">
        <v>9</v>
      </c>
    </row>
    <row r="667" spans="1:7" x14ac:dyDescent="0.2">
      <c r="A667" s="51">
        <v>45855</v>
      </c>
      <c r="B667" s="52" t="s">
        <v>16</v>
      </c>
      <c r="C667" s="53">
        <v>112947000</v>
      </c>
      <c r="D667" s="61">
        <v>8582447.7400000002</v>
      </c>
      <c r="E667" s="62"/>
      <c r="F667" s="61">
        <f t="shared" si="10"/>
        <v>-8582447.7400000002</v>
      </c>
      <c r="G667" s="15">
        <v>10</v>
      </c>
    </row>
    <row r="668" spans="1:7" x14ac:dyDescent="0.2">
      <c r="A668" s="51">
        <v>45855</v>
      </c>
      <c r="B668" s="52" t="s">
        <v>16</v>
      </c>
      <c r="C668" s="53">
        <v>112947000</v>
      </c>
      <c r="D668" s="61">
        <v>10412911.93</v>
      </c>
      <c r="E668" s="62"/>
      <c r="F668" s="61">
        <f t="shared" si="10"/>
        <v>-10412911.93</v>
      </c>
      <c r="G668" s="15">
        <v>11</v>
      </c>
    </row>
    <row r="669" spans="1:7" x14ac:dyDescent="0.2">
      <c r="A669" s="51">
        <v>45855</v>
      </c>
      <c r="B669" s="52" t="s">
        <v>16</v>
      </c>
      <c r="C669" s="53">
        <v>112947000</v>
      </c>
      <c r="D669" s="61">
        <v>5243441.34</v>
      </c>
      <c r="E669" s="62"/>
      <c r="F669" s="61">
        <f t="shared" si="10"/>
        <v>-5243441.34</v>
      </c>
      <c r="G669" s="15">
        <v>12</v>
      </c>
    </row>
    <row r="670" spans="1:7" x14ac:dyDescent="0.2">
      <c r="A670" s="51">
        <v>45855</v>
      </c>
      <c r="B670" s="52" t="s">
        <v>12</v>
      </c>
      <c r="C670" s="53">
        <v>112947000</v>
      </c>
      <c r="D670" s="61">
        <v>17291.71</v>
      </c>
      <c r="E670" s="62"/>
      <c r="F670" s="61">
        <f t="shared" si="10"/>
        <v>-17291.71</v>
      </c>
      <c r="G670" s="15">
        <v>13</v>
      </c>
    </row>
    <row r="671" spans="1:7" x14ac:dyDescent="0.2">
      <c r="A671" s="51">
        <v>45855</v>
      </c>
      <c r="B671" s="52" t="s">
        <v>12</v>
      </c>
      <c r="C671" s="53">
        <v>112947000</v>
      </c>
      <c r="D671" s="61">
        <v>186.75</v>
      </c>
      <c r="E671" s="62"/>
      <c r="F671" s="61">
        <f t="shared" si="10"/>
        <v>-186.75</v>
      </c>
      <c r="G671" s="15">
        <v>14</v>
      </c>
    </row>
    <row r="672" spans="1:7" x14ac:dyDescent="0.2">
      <c r="A672" s="51">
        <v>45855</v>
      </c>
      <c r="B672" s="52" t="s">
        <v>12</v>
      </c>
      <c r="C672" s="53">
        <v>112947000</v>
      </c>
      <c r="D672" s="61">
        <v>30514.78</v>
      </c>
      <c r="E672" s="62"/>
      <c r="F672" s="61">
        <f t="shared" si="10"/>
        <v>-30514.78</v>
      </c>
      <c r="G672" s="15">
        <v>15</v>
      </c>
    </row>
    <row r="673" spans="1:7" x14ac:dyDescent="0.2">
      <c r="A673" s="51">
        <v>45855</v>
      </c>
      <c r="B673" s="52" t="s">
        <v>12</v>
      </c>
      <c r="C673" s="53">
        <v>112947000</v>
      </c>
      <c r="D673" s="61">
        <v>51494.69</v>
      </c>
      <c r="E673" s="62"/>
      <c r="F673" s="61">
        <f t="shared" si="10"/>
        <v>-51494.69</v>
      </c>
      <c r="G673" s="15">
        <v>16</v>
      </c>
    </row>
    <row r="674" spans="1:7" x14ac:dyDescent="0.2">
      <c r="A674" s="51">
        <v>45855</v>
      </c>
      <c r="B674" s="52" t="s">
        <v>12</v>
      </c>
      <c r="C674" s="53">
        <v>112947000</v>
      </c>
      <c r="D674" s="61">
        <v>62477.47</v>
      </c>
      <c r="E674" s="62"/>
      <c r="F674" s="61">
        <f t="shared" si="10"/>
        <v>-62477.47</v>
      </c>
      <c r="G674" s="15">
        <v>17</v>
      </c>
    </row>
    <row r="675" spans="1:7" x14ac:dyDescent="0.2">
      <c r="A675" s="51">
        <v>45855</v>
      </c>
      <c r="B675" s="52" t="s">
        <v>12</v>
      </c>
      <c r="C675" s="53">
        <v>112947000</v>
      </c>
      <c r="D675" s="61">
        <v>31460.65</v>
      </c>
      <c r="E675" s="62"/>
      <c r="F675" s="61">
        <f t="shared" si="10"/>
        <v>-31460.65</v>
      </c>
      <c r="G675" s="15">
        <v>18</v>
      </c>
    </row>
    <row r="676" spans="1:7" x14ac:dyDescent="0.2">
      <c r="A676" s="51">
        <v>45856</v>
      </c>
      <c r="B676" s="52" t="s">
        <v>9</v>
      </c>
      <c r="C676" s="53">
        <v>51060</v>
      </c>
      <c r="D676" s="61">
        <v>956</v>
      </c>
      <c r="E676" s="62"/>
      <c r="F676" s="61">
        <f t="shared" si="10"/>
        <v>-956</v>
      </c>
      <c r="G676" s="15">
        <v>19</v>
      </c>
    </row>
    <row r="677" spans="1:7" x14ac:dyDescent="0.2">
      <c r="A677" s="51">
        <v>45856</v>
      </c>
      <c r="B677" s="52" t="s">
        <v>15</v>
      </c>
      <c r="C677" s="53">
        <v>51061</v>
      </c>
      <c r="D677" s="61">
        <v>200.76</v>
      </c>
      <c r="E677" s="62"/>
      <c r="F677" s="61">
        <f t="shared" si="10"/>
        <v>-200.76</v>
      </c>
      <c r="G677" s="15">
        <v>20</v>
      </c>
    </row>
    <row r="678" spans="1:7" x14ac:dyDescent="0.2">
      <c r="A678" s="51">
        <v>45856</v>
      </c>
      <c r="B678" s="52" t="s">
        <v>12</v>
      </c>
      <c r="C678" s="53">
        <v>51060</v>
      </c>
      <c r="D678" s="61">
        <v>5.74</v>
      </c>
      <c r="E678" s="62"/>
      <c r="F678" s="61">
        <f t="shared" si="10"/>
        <v>-5.74</v>
      </c>
      <c r="G678" s="15">
        <v>21</v>
      </c>
    </row>
    <row r="679" spans="1:7" x14ac:dyDescent="0.2">
      <c r="A679" s="51">
        <v>45856</v>
      </c>
      <c r="B679" s="52" t="s">
        <v>12</v>
      </c>
      <c r="C679" s="53">
        <v>51061</v>
      </c>
      <c r="D679" s="61">
        <v>1.2</v>
      </c>
      <c r="E679" s="62"/>
      <c r="F679" s="61">
        <f t="shared" si="10"/>
        <v>-1.2</v>
      </c>
      <c r="G679" s="15">
        <v>22</v>
      </c>
    </row>
    <row r="680" spans="1:7" x14ac:dyDescent="0.2">
      <c r="A680" s="51">
        <v>45859</v>
      </c>
      <c r="B680" s="52" t="s">
        <v>11</v>
      </c>
      <c r="C680" s="53">
        <v>51068</v>
      </c>
      <c r="D680" s="61">
        <v>135000000</v>
      </c>
      <c r="E680" s="62"/>
      <c r="F680" s="61">
        <f t="shared" si="10"/>
        <v>-135000000</v>
      </c>
      <c r="G680" s="15">
        <v>23</v>
      </c>
    </row>
    <row r="681" spans="1:7" x14ac:dyDescent="0.2">
      <c r="A681" s="51">
        <v>45860</v>
      </c>
      <c r="B681" s="52" t="s">
        <v>9</v>
      </c>
      <c r="C681" s="53">
        <v>51077</v>
      </c>
      <c r="D681" s="61">
        <v>956</v>
      </c>
      <c r="E681" s="62"/>
      <c r="F681" s="61">
        <f t="shared" si="10"/>
        <v>-956</v>
      </c>
      <c r="G681" s="15">
        <v>24</v>
      </c>
    </row>
    <row r="682" spans="1:7" x14ac:dyDescent="0.2">
      <c r="A682" s="51">
        <v>45860</v>
      </c>
      <c r="B682" s="52" t="s">
        <v>15</v>
      </c>
      <c r="C682" s="53">
        <v>51078</v>
      </c>
      <c r="D682" s="61">
        <v>200.76</v>
      </c>
      <c r="E682" s="62"/>
      <c r="F682" s="61">
        <f t="shared" si="10"/>
        <v>-200.76</v>
      </c>
      <c r="G682" s="15">
        <v>25</v>
      </c>
    </row>
    <row r="683" spans="1:7" x14ac:dyDescent="0.2">
      <c r="A683" s="51">
        <v>45860</v>
      </c>
      <c r="B683" s="52" t="s">
        <v>12</v>
      </c>
      <c r="C683" s="53">
        <v>51077</v>
      </c>
      <c r="D683" s="61">
        <v>5.74</v>
      </c>
      <c r="E683" s="62"/>
      <c r="F683" s="61">
        <f t="shared" si="10"/>
        <v>-5.74</v>
      </c>
      <c r="G683" s="15">
        <v>26</v>
      </c>
    </row>
    <row r="684" spans="1:7" x14ac:dyDescent="0.2">
      <c r="A684" s="51">
        <v>45860</v>
      </c>
      <c r="B684" s="52" t="s">
        <v>12</v>
      </c>
      <c r="C684" s="53">
        <v>51078</v>
      </c>
      <c r="D684" s="61">
        <v>1.2</v>
      </c>
      <c r="E684" s="62"/>
      <c r="F684" s="61">
        <f t="shared" si="10"/>
        <v>-1.2</v>
      </c>
      <c r="G684" s="15">
        <v>27</v>
      </c>
    </row>
    <row r="685" spans="1:7" x14ac:dyDescent="0.2">
      <c r="A685" s="51">
        <v>45863</v>
      </c>
      <c r="B685" s="52" t="s">
        <v>28</v>
      </c>
      <c r="C685" s="53">
        <v>4223749</v>
      </c>
      <c r="D685" s="62"/>
      <c r="E685" s="61">
        <v>175000000</v>
      </c>
      <c r="F685" s="61">
        <f t="shared" si="10"/>
        <v>175000000</v>
      </c>
      <c r="G685" s="15">
        <v>28</v>
      </c>
    </row>
    <row r="686" spans="1:7" x14ac:dyDescent="0.2">
      <c r="A686" s="51">
        <v>45863</v>
      </c>
      <c r="B686" s="52" t="s">
        <v>8</v>
      </c>
      <c r="C686" s="53">
        <v>51102</v>
      </c>
      <c r="D686" s="61">
        <v>43000</v>
      </c>
      <c r="E686" s="62"/>
      <c r="F686" s="61">
        <f t="shared" si="10"/>
        <v>-43000</v>
      </c>
      <c r="G686" s="15">
        <v>29</v>
      </c>
    </row>
    <row r="687" spans="1:7" x14ac:dyDescent="0.2">
      <c r="A687" s="51">
        <v>45863</v>
      </c>
      <c r="B687" s="52" t="s">
        <v>15</v>
      </c>
      <c r="C687" s="53">
        <v>51103</v>
      </c>
      <c r="D687" s="61">
        <v>9030</v>
      </c>
      <c r="E687" s="62"/>
      <c r="F687" s="61">
        <f t="shared" si="10"/>
        <v>-9030</v>
      </c>
      <c r="G687" s="15">
        <v>30</v>
      </c>
    </row>
    <row r="688" spans="1:7" x14ac:dyDescent="0.2">
      <c r="A688" s="51">
        <v>45863</v>
      </c>
      <c r="B688" s="52" t="s">
        <v>18</v>
      </c>
      <c r="C688" s="53">
        <v>51103</v>
      </c>
      <c r="D688" s="61">
        <v>1290</v>
      </c>
      <c r="E688" s="62"/>
      <c r="F688" s="61">
        <f t="shared" si="10"/>
        <v>-1290</v>
      </c>
      <c r="G688" s="15">
        <v>31</v>
      </c>
    </row>
    <row r="689" spans="1:7" x14ac:dyDescent="0.2">
      <c r="A689" s="51">
        <v>45863</v>
      </c>
      <c r="B689" s="52" t="s">
        <v>12</v>
      </c>
      <c r="C689" s="53">
        <v>51102</v>
      </c>
      <c r="D689" s="61">
        <v>258</v>
      </c>
      <c r="E689" s="62"/>
      <c r="F689" s="61">
        <f t="shared" si="10"/>
        <v>-258</v>
      </c>
      <c r="G689" s="15">
        <v>32</v>
      </c>
    </row>
    <row r="690" spans="1:7" x14ac:dyDescent="0.2">
      <c r="A690" s="51">
        <v>45863</v>
      </c>
      <c r="B690" s="52" t="s">
        <v>13</v>
      </c>
      <c r="C690" s="53">
        <v>51102</v>
      </c>
      <c r="D690" s="61">
        <v>645</v>
      </c>
      <c r="E690" s="62"/>
      <c r="F690" s="61">
        <f t="shared" si="10"/>
        <v>-645</v>
      </c>
      <c r="G690" s="15">
        <v>33</v>
      </c>
    </row>
    <row r="691" spans="1:7" x14ac:dyDescent="0.2">
      <c r="A691" s="51">
        <v>45863</v>
      </c>
      <c r="B691" s="52" t="s">
        <v>12</v>
      </c>
      <c r="C691" s="53">
        <v>51103</v>
      </c>
      <c r="D691" s="61">
        <v>54.18</v>
      </c>
      <c r="E691" s="62"/>
      <c r="F691" s="61">
        <f t="shared" si="10"/>
        <v>-54.18</v>
      </c>
      <c r="G691" s="15">
        <v>34</v>
      </c>
    </row>
    <row r="692" spans="1:7" x14ac:dyDescent="0.2">
      <c r="A692" s="51">
        <v>45863</v>
      </c>
      <c r="B692" s="52" t="s">
        <v>12</v>
      </c>
      <c r="C692" s="53">
        <v>51103</v>
      </c>
      <c r="D692" s="61">
        <v>7.74</v>
      </c>
      <c r="E692" s="62"/>
      <c r="F692" s="61">
        <f t="shared" si="10"/>
        <v>-7.74</v>
      </c>
      <c r="G692" s="15">
        <v>35</v>
      </c>
    </row>
    <row r="693" spans="1:7" x14ac:dyDescent="0.2">
      <c r="A693" s="51">
        <v>45863</v>
      </c>
      <c r="B693" s="52" t="s">
        <v>12</v>
      </c>
      <c r="C693" s="53">
        <v>51102</v>
      </c>
      <c r="D693" s="61">
        <v>3.87</v>
      </c>
      <c r="E693" s="62"/>
      <c r="F693" s="61">
        <f t="shared" si="10"/>
        <v>-3.87</v>
      </c>
      <c r="G693" s="15">
        <v>36</v>
      </c>
    </row>
    <row r="694" spans="1:7" x14ac:dyDescent="0.2">
      <c r="A694" s="51">
        <v>45866</v>
      </c>
      <c r="B694" s="52" t="s">
        <v>11</v>
      </c>
      <c r="C694" s="53">
        <v>51121</v>
      </c>
      <c r="D694" s="61">
        <v>176000000</v>
      </c>
      <c r="E694" s="62"/>
      <c r="F694" s="61">
        <f t="shared" si="10"/>
        <v>-176000000</v>
      </c>
      <c r="G694" s="15">
        <v>37</v>
      </c>
    </row>
    <row r="695" spans="1:7" x14ac:dyDescent="0.2">
      <c r="A695" s="51">
        <v>45866</v>
      </c>
      <c r="B695" s="52" t="s">
        <v>28</v>
      </c>
      <c r="C695" s="53">
        <v>4289293</v>
      </c>
      <c r="D695" s="62"/>
      <c r="E695" s="61">
        <v>175000000</v>
      </c>
      <c r="F695" s="61">
        <f t="shared" si="10"/>
        <v>175000000</v>
      </c>
      <c r="G695" s="15">
        <v>38</v>
      </c>
    </row>
    <row r="696" spans="1:7" x14ac:dyDescent="0.2">
      <c r="A696" s="51">
        <v>45867</v>
      </c>
      <c r="B696" s="52" t="s">
        <v>11</v>
      </c>
      <c r="C696" s="53">
        <v>51134</v>
      </c>
      <c r="D696" s="61">
        <v>175000000</v>
      </c>
      <c r="E696" s="62"/>
      <c r="F696" s="61">
        <f t="shared" si="10"/>
        <v>-175000000</v>
      </c>
      <c r="G696" s="15">
        <v>39</v>
      </c>
    </row>
    <row r="697" spans="1:7" x14ac:dyDescent="0.2">
      <c r="A697" s="51">
        <v>45867</v>
      </c>
      <c r="B697" s="52" t="s">
        <v>9</v>
      </c>
      <c r="C697" s="53">
        <v>51137</v>
      </c>
      <c r="D697" s="61">
        <v>956</v>
      </c>
      <c r="E697" s="62"/>
      <c r="F697" s="61">
        <f t="shared" si="10"/>
        <v>-956</v>
      </c>
      <c r="G697" s="15">
        <v>40</v>
      </c>
    </row>
    <row r="698" spans="1:7" x14ac:dyDescent="0.2">
      <c r="A698" s="51">
        <v>45867</v>
      </c>
      <c r="B698" s="52" t="s">
        <v>15</v>
      </c>
      <c r="C698" s="53">
        <v>51138</v>
      </c>
      <c r="D698" s="61">
        <v>200.76</v>
      </c>
      <c r="E698" s="62"/>
      <c r="F698" s="61">
        <f t="shared" si="10"/>
        <v>-200.76</v>
      </c>
      <c r="G698" s="15">
        <v>41</v>
      </c>
    </row>
    <row r="699" spans="1:7" x14ac:dyDescent="0.2">
      <c r="A699" s="51">
        <v>45867</v>
      </c>
      <c r="B699" s="52" t="s">
        <v>12</v>
      </c>
      <c r="C699" s="58">
        <v>51137</v>
      </c>
      <c r="D699" s="61">
        <v>5.74</v>
      </c>
      <c r="E699" s="61"/>
      <c r="F699" s="61">
        <f t="shared" si="10"/>
        <v>-5.74</v>
      </c>
      <c r="G699" s="15">
        <v>42</v>
      </c>
    </row>
    <row r="700" spans="1:7" x14ac:dyDescent="0.2">
      <c r="A700" s="51">
        <v>45867</v>
      </c>
      <c r="B700" s="52" t="s">
        <v>12</v>
      </c>
      <c r="C700" s="58">
        <v>51138</v>
      </c>
      <c r="D700" s="61">
        <v>1.2</v>
      </c>
      <c r="E700" s="61"/>
      <c r="F700" s="61">
        <f t="shared" si="10"/>
        <v>-1.2</v>
      </c>
      <c r="G700" s="15">
        <v>43</v>
      </c>
    </row>
    <row r="701" spans="1:7" x14ac:dyDescent="0.2">
      <c r="A701" s="51">
        <v>45887</v>
      </c>
      <c r="B701" s="52" t="s">
        <v>27</v>
      </c>
      <c r="C701" s="53">
        <v>8875579</v>
      </c>
      <c r="D701" s="62"/>
      <c r="E701" s="61">
        <v>400357763.85000002</v>
      </c>
      <c r="F701" s="61">
        <f t="shared" si="10"/>
        <v>400357763.85000002</v>
      </c>
      <c r="G701" s="15">
        <v>2</v>
      </c>
    </row>
    <row r="702" spans="1:7" x14ac:dyDescent="0.2">
      <c r="A702" s="51">
        <v>45887</v>
      </c>
      <c r="B702" s="52" t="s">
        <v>14</v>
      </c>
      <c r="C702" s="53">
        <v>8875579</v>
      </c>
      <c r="D702" s="61">
        <v>2402146.58</v>
      </c>
      <c r="E702" s="62"/>
      <c r="F702" s="61">
        <f t="shared" si="10"/>
        <v>-2402146.58</v>
      </c>
      <c r="G702" s="15">
        <v>3</v>
      </c>
    </row>
    <row r="703" spans="1:7" x14ac:dyDescent="0.2">
      <c r="A703" s="51">
        <v>45887</v>
      </c>
      <c r="B703" s="52" t="s">
        <v>17</v>
      </c>
      <c r="C703" s="53">
        <v>8875579</v>
      </c>
      <c r="D703" s="61">
        <v>800715.53</v>
      </c>
      <c r="E703" s="62"/>
      <c r="F703" s="61">
        <f t="shared" si="10"/>
        <v>-800715.53</v>
      </c>
      <c r="G703" s="15">
        <v>4</v>
      </c>
    </row>
    <row r="704" spans="1:7" x14ac:dyDescent="0.2">
      <c r="A704" s="51">
        <v>45887</v>
      </c>
      <c r="B704" s="52" t="s">
        <v>12</v>
      </c>
      <c r="C704" s="53">
        <v>8875579</v>
      </c>
      <c r="D704" s="61">
        <v>4804.29</v>
      </c>
      <c r="E704" s="62"/>
      <c r="F704" s="61">
        <f t="shared" si="10"/>
        <v>-4804.29</v>
      </c>
      <c r="G704" s="15">
        <v>5</v>
      </c>
    </row>
    <row r="705" spans="1:7" x14ac:dyDescent="0.2">
      <c r="A705" s="51">
        <v>45888</v>
      </c>
      <c r="B705" s="52" t="s">
        <v>11</v>
      </c>
      <c r="C705" s="53">
        <v>51202</v>
      </c>
      <c r="D705" s="61">
        <v>10000000</v>
      </c>
      <c r="E705" s="62"/>
      <c r="F705" s="61">
        <f t="shared" si="10"/>
        <v>-10000000</v>
      </c>
      <c r="G705" s="15">
        <v>6</v>
      </c>
    </row>
    <row r="706" spans="1:7" x14ac:dyDescent="0.2">
      <c r="A706" s="51">
        <v>45888</v>
      </c>
      <c r="B706" s="52" t="s">
        <v>11</v>
      </c>
      <c r="C706" s="53">
        <v>51209</v>
      </c>
      <c r="D706" s="61">
        <v>30000000</v>
      </c>
      <c r="E706" s="62"/>
      <c r="F706" s="61">
        <f t="shared" si="10"/>
        <v>-30000000</v>
      </c>
      <c r="G706" s="15">
        <v>7</v>
      </c>
    </row>
    <row r="707" spans="1:7" x14ac:dyDescent="0.2">
      <c r="A707" s="51">
        <v>45889</v>
      </c>
      <c r="B707" s="52" t="s">
        <v>11</v>
      </c>
      <c r="C707" s="53">
        <v>51239</v>
      </c>
      <c r="D707" s="61">
        <v>50000000</v>
      </c>
      <c r="E707" s="62"/>
      <c r="F707" s="61">
        <f t="shared" ref="F707:F744" si="11">+E707-D707</f>
        <v>-50000000</v>
      </c>
      <c r="G707" s="15">
        <v>8</v>
      </c>
    </row>
    <row r="708" spans="1:7" x14ac:dyDescent="0.2">
      <c r="A708" s="51">
        <v>45889</v>
      </c>
      <c r="B708" s="52" t="s">
        <v>11</v>
      </c>
      <c r="C708" s="53">
        <v>51245</v>
      </c>
      <c r="D708" s="61">
        <v>100000000</v>
      </c>
      <c r="E708" s="62"/>
      <c r="F708" s="61">
        <f t="shared" si="11"/>
        <v>-100000000</v>
      </c>
      <c r="G708" s="15">
        <v>9</v>
      </c>
    </row>
    <row r="709" spans="1:7" x14ac:dyDescent="0.2">
      <c r="A709" s="51">
        <v>45889</v>
      </c>
      <c r="B709" s="52" t="s">
        <v>9</v>
      </c>
      <c r="C709" s="53">
        <v>51248</v>
      </c>
      <c r="D709" s="61">
        <v>956</v>
      </c>
      <c r="E709" s="62"/>
      <c r="F709" s="61">
        <f t="shared" si="11"/>
        <v>-956</v>
      </c>
      <c r="G709" s="15">
        <v>10</v>
      </c>
    </row>
    <row r="710" spans="1:7" x14ac:dyDescent="0.2">
      <c r="A710" s="51">
        <v>45889</v>
      </c>
      <c r="B710" s="52" t="s">
        <v>9</v>
      </c>
      <c r="C710" s="53">
        <v>51249</v>
      </c>
      <c r="D710" s="61">
        <v>956</v>
      </c>
      <c r="E710" s="62"/>
      <c r="F710" s="61">
        <f t="shared" si="11"/>
        <v>-956</v>
      </c>
      <c r="G710" s="15">
        <v>11</v>
      </c>
    </row>
    <row r="711" spans="1:7" x14ac:dyDescent="0.2">
      <c r="A711" s="51">
        <v>45889</v>
      </c>
      <c r="B711" s="52" t="s">
        <v>15</v>
      </c>
      <c r="C711" s="53">
        <v>51250</v>
      </c>
      <c r="D711" s="61">
        <v>401.52</v>
      </c>
      <c r="E711" s="62"/>
      <c r="F711" s="61">
        <f t="shared" si="11"/>
        <v>-401.52</v>
      </c>
      <c r="G711" s="15">
        <v>12</v>
      </c>
    </row>
    <row r="712" spans="1:7" x14ac:dyDescent="0.2">
      <c r="A712" s="51">
        <v>45889</v>
      </c>
      <c r="B712" s="52" t="s">
        <v>12</v>
      </c>
      <c r="C712" s="53">
        <v>51248</v>
      </c>
      <c r="D712" s="61">
        <v>5.74</v>
      </c>
      <c r="E712" s="62"/>
      <c r="F712" s="61">
        <f t="shared" si="11"/>
        <v>-5.74</v>
      </c>
      <c r="G712" s="15">
        <v>13</v>
      </c>
    </row>
    <row r="713" spans="1:7" x14ac:dyDescent="0.2">
      <c r="A713" s="51">
        <v>45889</v>
      </c>
      <c r="B713" s="52" t="s">
        <v>12</v>
      </c>
      <c r="C713" s="53">
        <v>51249</v>
      </c>
      <c r="D713" s="61">
        <v>5.74</v>
      </c>
      <c r="E713" s="62"/>
      <c r="F713" s="61">
        <f t="shared" si="11"/>
        <v>-5.74</v>
      </c>
      <c r="G713" s="15">
        <v>14</v>
      </c>
    </row>
    <row r="714" spans="1:7" x14ac:dyDescent="0.2">
      <c r="A714" s="51">
        <v>45889</v>
      </c>
      <c r="B714" s="52" t="s">
        <v>12</v>
      </c>
      <c r="C714" s="53">
        <v>51250</v>
      </c>
      <c r="D714" s="61">
        <v>2.41</v>
      </c>
      <c r="E714" s="62"/>
      <c r="F714" s="61">
        <f t="shared" si="11"/>
        <v>-2.41</v>
      </c>
      <c r="G714" s="15">
        <v>15</v>
      </c>
    </row>
    <row r="715" spans="1:7" x14ac:dyDescent="0.2">
      <c r="A715" s="51">
        <v>45890</v>
      </c>
      <c r="B715" s="52" t="s">
        <v>11</v>
      </c>
      <c r="C715" s="53">
        <v>51258</v>
      </c>
      <c r="D715" s="61">
        <v>150000000</v>
      </c>
      <c r="E715" s="62"/>
      <c r="F715" s="61">
        <f t="shared" si="11"/>
        <v>-150000000</v>
      </c>
      <c r="G715" s="15">
        <v>16</v>
      </c>
    </row>
    <row r="716" spans="1:7" x14ac:dyDescent="0.2">
      <c r="A716" s="51">
        <v>45890</v>
      </c>
      <c r="B716" s="52" t="s">
        <v>9</v>
      </c>
      <c r="C716" s="53">
        <v>51263</v>
      </c>
      <c r="D716" s="61">
        <v>956</v>
      </c>
      <c r="E716" s="62"/>
      <c r="F716" s="61">
        <f t="shared" si="11"/>
        <v>-956</v>
      </c>
      <c r="G716" s="15">
        <v>17</v>
      </c>
    </row>
    <row r="717" spans="1:7" x14ac:dyDescent="0.2">
      <c r="A717" s="51">
        <v>45890</v>
      </c>
      <c r="B717" s="52" t="s">
        <v>9</v>
      </c>
      <c r="C717" s="53">
        <v>51264</v>
      </c>
      <c r="D717" s="61">
        <v>956</v>
      </c>
      <c r="E717" s="62"/>
      <c r="F717" s="61">
        <f t="shared" si="11"/>
        <v>-956</v>
      </c>
      <c r="G717" s="15">
        <v>18</v>
      </c>
    </row>
    <row r="718" spans="1:7" x14ac:dyDescent="0.2">
      <c r="A718" s="51">
        <v>45890</v>
      </c>
      <c r="B718" s="52" t="s">
        <v>15</v>
      </c>
      <c r="C718" s="53">
        <v>51265</v>
      </c>
      <c r="D718" s="61">
        <v>401.52</v>
      </c>
      <c r="E718" s="62"/>
      <c r="F718" s="61">
        <f t="shared" si="11"/>
        <v>-401.52</v>
      </c>
      <c r="G718" s="15">
        <v>19</v>
      </c>
    </row>
    <row r="719" spans="1:7" x14ac:dyDescent="0.2">
      <c r="A719" s="51">
        <v>45890</v>
      </c>
      <c r="B719" s="52" t="s">
        <v>12</v>
      </c>
      <c r="C719" s="53">
        <v>51263</v>
      </c>
      <c r="D719" s="61">
        <v>5.74</v>
      </c>
      <c r="E719" s="62"/>
      <c r="F719" s="61">
        <f t="shared" si="11"/>
        <v>-5.74</v>
      </c>
      <c r="G719" s="15">
        <v>20</v>
      </c>
    </row>
    <row r="720" spans="1:7" x14ac:dyDescent="0.2">
      <c r="A720" s="51">
        <v>45890</v>
      </c>
      <c r="B720" s="52" t="s">
        <v>12</v>
      </c>
      <c r="C720" s="53">
        <v>51264</v>
      </c>
      <c r="D720" s="61">
        <v>5.74</v>
      </c>
      <c r="E720" s="62"/>
      <c r="F720" s="61">
        <f t="shared" si="11"/>
        <v>-5.74</v>
      </c>
      <c r="G720" s="15">
        <v>21</v>
      </c>
    </row>
    <row r="721" spans="1:7" x14ac:dyDescent="0.2">
      <c r="A721" s="51">
        <v>45890</v>
      </c>
      <c r="B721" s="52" t="s">
        <v>12</v>
      </c>
      <c r="C721" s="53">
        <v>51265</v>
      </c>
      <c r="D721" s="61">
        <v>2.41</v>
      </c>
      <c r="E721" s="62"/>
      <c r="F721" s="61">
        <f t="shared" si="11"/>
        <v>-2.41</v>
      </c>
      <c r="G721" s="15">
        <v>22</v>
      </c>
    </row>
    <row r="722" spans="1:7" x14ac:dyDescent="0.2">
      <c r="A722" s="51">
        <v>45891</v>
      </c>
      <c r="B722" s="52" t="s">
        <v>9</v>
      </c>
      <c r="C722" s="53">
        <v>51269</v>
      </c>
      <c r="D722" s="61">
        <v>956</v>
      </c>
      <c r="E722" s="62"/>
      <c r="F722" s="61">
        <f t="shared" si="11"/>
        <v>-956</v>
      </c>
      <c r="G722" s="15">
        <v>23</v>
      </c>
    </row>
    <row r="723" spans="1:7" x14ac:dyDescent="0.2">
      <c r="A723" s="51">
        <v>45891</v>
      </c>
      <c r="B723" s="52" t="s">
        <v>15</v>
      </c>
      <c r="C723" s="53">
        <v>51270</v>
      </c>
      <c r="D723" s="61">
        <v>200.76</v>
      </c>
      <c r="E723" s="62"/>
      <c r="F723" s="61">
        <f t="shared" si="11"/>
        <v>-200.76</v>
      </c>
      <c r="G723" s="15">
        <v>24</v>
      </c>
    </row>
    <row r="724" spans="1:7" x14ac:dyDescent="0.2">
      <c r="A724" s="51">
        <v>45891</v>
      </c>
      <c r="B724" s="52" t="s">
        <v>12</v>
      </c>
      <c r="C724" s="53">
        <v>51269</v>
      </c>
      <c r="D724" s="61">
        <v>5.74</v>
      </c>
      <c r="E724" s="62"/>
      <c r="F724" s="61">
        <f t="shared" si="11"/>
        <v>-5.74</v>
      </c>
      <c r="G724" s="15">
        <v>25</v>
      </c>
    </row>
    <row r="725" spans="1:7" x14ac:dyDescent="0.2">
      <c r="A725" s="51">
        <v>45891</v>
      </c>
      <c r="B725" s="52" t="s">
        <v>12</v>
      </c>
      <c r="C725" s="53">
        <v>51270</v>
      </c>
      <c r="D725" s="61">
        <v>1.2</v>
      </c>
      <c r="E725" s="62"/>
      <c r="F725" s="61">
        <f t="shared" si="11"/>
        <v>-1.2</v>
      </c>
      <c r="G725" s="15">
        <v>26</v>
      </c>
    </row>
    <row r="726" spans="1:7" x14ac:dyDescent="0.2">
      <c r="A726" s="51">
        <v>45894</v>
      </c>
      <c r="B726" s="52" t="s">
        <v>11</v>
      </c>
      <c r="C726" s="53">
        <v>51277</v>
      </c>
      <c r="D726" s="61">
        <v>56000000</v>
      </c>
      <c r="E726" s="62"/>
      <c r="F726" s="61">
        <f t="shared" si="11"/>
        <v>-56000000</v>
      </c>
      <c r="G726" s="15">
        <v>27</v>
      </c>
    </row>
    <row r="727" spans="1:7" x14ac:dyDescent="0.2">
      <c r="A727" s="51">
        <v>45894</v>
      </c>
      <c r="B727" s="52" t="s">
        <v>28</v>
      </c>
      <c r="C727" s="53">
        <v>4280177</v>
      </c>
      <c r="D727" s="62"/>
      <c r="E727" s="61">
        <v>60000000</v>
      </c>
      <c r="F727" s="61">
        <f t="shared" si="11"/>
        <v>60000000</v>
      </c>
      <c r="G727" s="15">
        <v>28</v>
      </c>
    </row>
    <row r="728" spans="1:7" x14ac:dyDescent="0.2">
      <c r="A728" s="51">
        <v>45895</v>
      </c>
      <c r="B728" s="52" t="s">
        <v>9</v>
      </c>
      <c r="C728" s="53">
        <v>51295</v>
      </c>
      <c r="D728" s="61">
        <v>956</v>
      </c>
      <c r="E728" s="62"/>
      <c r="F728" s="61">
        <f t="shared" si="11"/>
        <v>-956</v>
      </c>
      <c r="G728" s="15">
        <v>29</v>
      </c>
    </row>
    <row r="729" spans="1:7" x14ac:dyDescent="0.2">
      <c r="A729" s="51">
        <v>45895</v>
      </c>
      <c r="B729" s="52" t="s">
        <v>15</v>
      </c>
      <c r="C729" s="53">
        <v>51296</v>
      </c>
      <c r="D729" s="61">
        <v>200.76</v>
      </c>
      <c r="E729" s="62"/>
      <c r="F729" s="61">
        <f t="shared" si="11"/>
        <v>-200.76</v>
      </c>
      <c r="G729" s="15">
        <v>30</v>
      </c>
    </row>
    <row r="730" spans="1:7" x14ac:dyDescent="0.2">
      <c r="A730" s="51">
        <v>45895</v>
      </c>
      <c r="B730" s="52" t="s">
        <v>12</v>
      </c>
      <c r="C730" s="53">
        <v>51295</v>
      </c>
      <c r="D730" s="61">
        <v>5.74</v>
      </c>
      <c r="E730" s="62"/>
      <c r="F730" s="61">
        <f t="shared" si="11"/>
        <v>-5.74</v>
      </c>
      <c r="G730" s="15">
        <v>31</v>
      </c>
    </row>
    <row r="731" spans="1:7" x14ac:dyDescent="0.2">
      <c r="A731" s="51">
        <v>45895</v>
      </c>
      <c r="B731" s="52" t="s">
        <v>12</v>
      </c>
      <c r="C731" s="53">
        <v>51296</v>
      </c>
      <c r="D731" s="61">
        <v>1.2</v>
      </c>
      <c r="E731" s="62"/>
      <c r="F731" s="61">
        <f t="shared" si="11"/>
        <v>-1.2</v>
      </c>
      <c r="G731" s="15">
        <v>32</v>
      </c>
    </row>
    <row r="732" spans="1:7" x14ac:dyDescent="0.2">
      <c r="A732" s="51">
        <v>45896</v>
      </c>
      <c r="B732" s="52" t="s">
        <v>11</v>
      </c>
      <c r="C732" s="53">
        <v>51305</v>
      </c>
      <c r="D732" s="61">
        <v>60000000</v>
      </c>
      <c r="E732" s="62"/>
      <c r="F732" s="61">
        <f t="shared" si="11"/>
        <v>-60000000</v>
      </c>
      <c r="G732" s="15">
        <v>33</v>
      </c>
    </row>
    <row r="733" spans="1:7" x14ac:dyDescent="0.2">
      <c r="A733" s="51">
        <v>45897</v>
      </c>
      <c r="B733" s="52" t="s">
        <v>9</v>
      </c>
      <c r="C733" s="53">
        <v>51313</v>
      </c>
      <c r="D733" s="61">
        <v>956</v>
      </c>
      <c r="E733" s="62"/>
      <c r="F733" s="61">
        <f t="shared" si="11"/>
        <v>-956</v>
      </c>
      <c r="G733" s="15">
        <v>34</v>
      </c>
    </row>
    <row r="734" spans="1:7" x14ac:dyDescent="0.2">
      <c r="A734" s="51">
        <v>45897</v>
      </c>
      <c r="B734" s="52" t="s">
        <v>15</v>
      </c>
      <c r="C734" s="53">
        <v>51314</v>
      </c>
      <c r="D734" s="61">
        <v>200.76</v>
      </c>
      <c r="E734" s="62"/>
      <c r="F734" s="61">
        <f t="shared" si="11"/>
        <v>-200.76</v>
      </c>
      <c r="G734" s="15">
        <v>35</v>
      </c>
    </row>
    <row r="735" spans="1:7" x14ac:dyDescent="0.2">
      <c r="A735" s="51">
        <v>45897</v>
      </c>
      <c r="B735" s="52" t="s">
        <v>12</v>
      </c>
      <c r="C735" s="53">
        <v>51313</v>
      </c>
      <c r="D735" s="61">
        <v>5.74</v>
      </c>
      <c r="E735" s="62"/>
      <c r="F735" s="61">
        <f t="shared" si="11"/>
        <v>-5.74</v>
      </c>
      <c r="G735" s="15">
        <v>36</v>
      </c>
    </row>
    <row r="736" spans="1:7" x14ac:dyDescent="0.2">
      <c r="A736" s="51">
        <v>45897</v>
      </c>
      <c r="B736" s="52" t="s">
        <v>12</v>
      </c>
      <c r="C736" s="53">
        <v>51314</v>
      </c>
      <c r="D736" s="61">
        <v>1.2</v>
      </c>
      <c r="E736" s="62"/>
      <c r="F736" s="61">
        <f t="shared" si="11"/>
        <v>-1.2</v>
      </c>
      <c r="G736" s="15">
        <v>37</v>
      </c>
    </row>
    <row r="737" spans="1:7" x14ac:dyDescent="0.2">
      <c r="A737" s="51">
        <v>45898</v>
      </c>
      <c r="B737" s="52" t="s">
        <v>8</v>
      </c>
      <c r="C737" s="53">
        <v>51322</v>
      </c>
      <c r="D737" s="61">
        <v>43000</v>
      </c>
      <c r="E737" s="62"/>
      <c r="F737" s="61">
        <f t="shared" si="11"/>
        <v>-43000</v>
      </c>
      <c r="G737" s="15">
        <v>38</v>
      </c>
    </row>
    <row r="738" spans="1:7" x14ac:dyDescent="0.2">
      <c r="A738" s="51">
        <v>45898</v>
      </c>
      <c r="B738" s="52" t="s">
        <v>15</v>
      </c>
      <c r="C738" s="53">
        <v>51323</v>
      </c>
      <c r="D738" s="61">
        <v>9030</v>
      </c>
      <c r="E738" s="62"/>
      <c r="F738" s="61">
        <f t="shared" si="11"/>
        <v>-9030</v>
      </c>
      <c r="G738" s="15">
        <v>39</v>
      </c>
    </row>
    <row r="739" spans="1:7" x14ac:dyDescent="0.2">
      <c r="A739" s="51">
        <v>45898</v>
      </c>
      <c r="B739" s="52" t="s">
        <v>18</v>
      </c>
      <c r="C739" s="53">
        <v>51323</v>
      </c>
      <c r="D739" s="61">
        <v>1290</v>
      </c>
      <c r="E739" s="62"/>
      <c r="F739" s="61">
        <f t="shared" si="11"/>
        <v>-1290</v>
      </c>
      <c r="G739" s="15">
        <v>40</v>
      </c>
    </row>
    <row r="740" spans="1:7" x14ac:dyDescent="0.2">
      <c r="A740" s="51">
        <v>45898</v>
      </c>
      <c r="B740" s="52" t="s">
        <v>12</v>
      </c>
      <c r="C740" s="53">
        <v>51322</v>
      </c>
      <c r="D740" s="61">
        <v>258</v>
      </c>
      <c r="E740" s="62"/>
      <c r="F740" s="61">
        <f t="shared" si="11"/>
        <v>-258</v>
      </c>
      <c r="G740" s="15">
        <v>41</v>
      </c>
    </row>
    <row r="741" spans="1:7" x14ac:dyDescent="0.2">
      <c r="A741" s="51">
        <v>45898</v>
      </c>
      <c r="B741" s="60" t="s">
        <v>13</v>
      </c>
      <c r="C741" s="53">
        <v>51322</v>
      </c>
      <c r="D741" s="61">
        <v>645</v>
      </c>
      <c r="E741" s="61"/>
      <c r="F741" s="61">
        <f t="shared" si="11"/>
        <v>-645</v>
      </c>
      <c r="G741" s="15">
        <v>42</v>
      </c>
    </row>
    <row r="742" spans="1:7" x14ac:dyDescent="0.2">
      <c r="A742" s="51">
        <v>45898</v>
      </c>
      <c r="B742" s="52" t="s">
        <v>12</v>
      </c>
      <c r="C742" s="53">
        <v>51323</v>
      </c>
      <c r="D742" s="61">
        <v>54.18</v>
      </c>
      <c r="E742" s="61"/>
      <c r="F742" s="61">
        <f t="shared" si="11"/>
        <v>-54.18</v>
      </c>
      <c r="G742" s="15">
        <v>43</v>
      </c>
    </row>
    <row r="743" spans="1:7" x14ac:dyDescent="0.2">
      <c r="A743" s="51">
        <v>45898</v>
      </c>
      <c r="B743" s="52" t="s">
        <v>12</v>
      </c>
      <c r="C743" s="53">
        <v>51323</v>
      </c>
      <c r="D743" s="61">
        <v>7.74</v>
      </c>
      <c r="E743" s="61"/>
      <c r="F743" s="61">
        <f t="shared" si="11"/>
        <v>-7.74</v>
      </c>
      <c r="G743" s="15">
        <v>44</v>
      </c>
    </row>
    <row r="744" spans="1:7" x14ac:dyDescent="0.2">
      <c r="A744" s="51">
        <v>45898</v>
      </c>
      <c r="B744" s="52" t="s">
        <v>12</v>
      </c>
      <c r="C744" s="53">
        <v>51322</v>
      </c>
      <c r="D744" s="61">
        <v>3.87</v>
      </c>
      <c r="E744" s="61"/>
      <c r="F744" s="61">
        <f t="shared" si="11"/>
        <v>-3.87</v>
      </c>
      <c r="G744" s="15">
        <v>45</v>
      </c>
    </row>
  </sheetData>
  <sortState xmlns:xlrd2="http://schemas.microsoft.com/office/spreadsheetml/2017/richdata2" ref="A2:G744">
    <sortCondition ref="A2:A74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8CE30-49D1-42CC-AC83-F79557FBA84E}">
  <dimension ref="C3:E9"/>
  <sheetViews>
    <sheetView tabSelected="1" workbookViewId="0"/>
  </sheetViews>
  <sheetFormatPr baseColWidth="10" defaultRowHeight="10.199999999999999" x14ac:dyDescent="0.2"/>
  <cols>
    <col min="3" max="3" width="11.5703125" bestFit="1" customWidth="1"/>
    <col min="4" max="4" width="12.28515625" bestFit="1" customWidth="1"/>
  </cols>
  <sheetData>
    <row r="3" spans="3:5" x14ac:dyDescent="0.2">
      <c r="C3" s="44" t="s">
        <v>30</v>
      </c>
      <c r="D3" s="45">
        <v>8829365.0100000054</v>
      </c>
    </row>
    <row r="4" spans="3:5" x14ac:dyDescent="0.2">
      <c r="C4" s="44" t="s">
        <v>31</v>
      </c>
      <c r="D4" s="45">
        <v>0</v>
      </c>
    </row>
    <row r="5" spans="3:5" x14ac:dyDescent="0.2">
      <c r="C5" s="44" t="s">
        <v>32</v>
      </c>
      <c r="D5" s="45">
        <v>0</v>
      </c>
    </row>
    <row r="7" spans="3:5" x14ac:dyDescent="0.2">
      <c r="D7" s="46">
        <f>SUM(D3:D6)</f>
        <v>8829365.0100000054</v>
      </c>
    </row>
    <row r="9" spans="3:5" x14ac:dyDescent="0.2">
      <c r="D9" s="47">
        <f>+D7-Extractos!F2</f>
        <v>0</v>
      </c>
      <c r="E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Extractos</vt:lpstr>
      <vt:lpstr>Movimientos</vt:lpstr>
      <vt:lpstr>Saldo Apertura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Martín Príncipe</dc:creator>
  <cp:lastModifiedBy>Gustavo Martín Príncipe</cp:lastModifiedBy>
  <dcterms:created xsi:type="dcterms:W3CDTF">2026-01-30T23:17:40Z</dcterms:created>
  <dcterms:modified xsi:type="dcterms:W3CDTF">2026-01-30T23:33:00Z</dcterms:modified>
</cp:coreProperties>
</file>